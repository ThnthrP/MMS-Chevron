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c47bb89cb88628d/Desktop/Meetings/260811/"/>
    </mc:Choice>
  </mc:AlternateContent>
  <xr:revisionPtr revIDLastSave="36" documentId="8_{8C6DE891-C05E-4909-A2E2-0F60977ACB9C}" xr6:coauthVersionLast="47" xr6:coauthVersionMax="47" xr10:uidLastSave="{1B497398-18DF-49C2-9F8B-9EDD41B933C5}"/>
  <bookViews>
    <workbookView xWindow="-108" yWindow="-108" windowWidth="23256" windowHeight="13896" xr2:uid="{00000000-000D-0000-FFFF-FFFF00000000}"/>
  </bookViews>
  <sheets>
    <sheet name="30-4-2026" sheetId="1" r:id="rId1"/>
    <sheet name="อายุ 55 ปี" sheetId="2" r:id="rId2"/>
    <sheet name="2025 PE tracking template" sheetId="3" r:id="rId3"/>
    <sheet name="Choice_Data" sheetId="4" r:id="rId4"/>
    <sheet name="Indicator" sheetId="5" r:id="rId5"/>
  </sheets>
  <definedNames>
    <definedName name="_xlnm._FilterDatabase" localSheetId="0" hidden="1">'30-4-2026'!$A$1:$AN$1767</definedName>
    <definedName name="_xlnm._FilterDatabase" localSheetId="1" hidden="1">'อายุ 55 ปี'!$A$1:$AN$999</definedName>
    <definedName name="Z_24D4D396_21AC_4EB4_AF6A_EAB2B85EFD7D_.wvu.FilterData" localSheetId="0" hidden="1">'30-4-2026'!$B$1:$AK$127</definedName>
    <definedName name="Z_24D4D396_21AC_4EB4_AF6A_EAB2B85EFD7D_.wvu.FilterData" localSheetId="1" hidden="1">'อายุ 55 ปี'!$A$1:$AK$29</definedName>
    <definedName name="Z_6A3B0D89_6415_4EC3_A852_B0FF309BCA7E_.wvu.FilterData" localSheetId="0" hidden="1">'30-4-2026'!$A$1:$AK$127</definedName>
    <definedName name="Z_EEB4BCB7_F6B5_44EC_A240_E5AA117E3DF6_.wvu.FilterData" localSheetId="1" hidden="1">'อายุ 55 ปี'!$A$1:$AK$29</definedName>
    <definedName name="Z_FEDE0A13_B064_4211_845C_9CCFDF3719ED_.wvu.FilterData" localSheetId="0" hidden="1">'30-4-2026'!$A$1:$AK$179</definedName>
  </definedNames>
  <calcPr calcId="191029"/>
  <customWorkbookViews>
    <customWorkbookView name="อาม" guid="{24D4D396-21AC-4EB4-AF6A-EAB2B85EFD7D}" maximized="1" windowWidth="0" windowHeight="0" activeSheetId="0"/>
    <customWorkbookView name="มด" guid="{EEB4BCB7-F6B5-44EC-A240-E5AA117E3DF6}" maximized="1" windowWidth="0" windowHeight="0" activeSheetId="0"/>
    <customWorkbookView name="ตัวกรอง 1" guid="{FEDE0A13-B064-4211-845C-9CCFDF3719ED}" maximized="1" windowWidth="0" windowHeight="0" activeSheetId="0"/>
    <customWorkbookView name="พี่มด" guid="{6A3B0D89-6415-4EC3-A852-B0FF309BCA7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6MFbOsc45wvc7t27dMNq43y6gX2deJCgaFslAmT1xmM="/>
    </ext>
  </extLst>
</workbook>
</file>

<file path=xl/calcChain.xml><?xml version="1.0" encoding="utf-8"?>
<calcChain xmlns="http://schemas.openxmlformats.org/spreadsheetml/2006/main">
  <c r="AN14" i="1" l="1"/>
  <c r="AL17" i="1"/>
  <c r="AL18" i="1"/>
  <c r="AO25" i="2" l="1"/>
  <c r="AN25" i="2"/>
  <c r="AM25" i="2"/>
  <c r="AL25" i="2"/>
  <c r="N25" i="2"/>
  <c r="I25" i="2"/>
  <c r="AO24" i="2"/>
  <c r="AN24" i="2"/>
  <c r="N24" i="2"/>
  <c r="I24" i="2"/>
  <c r="AO23" i="2"/>
  <c r="AN23" i="2"/>
  <c r="N23" i="2"/>
  <c r="I23" i="2"/>
  <c r="AO22" i="2"/>
  <c r="AN22" i="2"/>
  <c r="N22" i="2"/>
  <c r="I22" i="2"/>
  <c r="AO21" i="2"/>
  <c r="AN21" i="2"/>
  <c r="N21" i="2"/>
  <c r="I21" i="2"/>
  <c r="AO20" i="2"/>
  <c r="AN20" i="2"/>
  <c r="N20" i="2"/>
  <c r="I20" i="2"/>
  <c r="AO19" i="2"/>
  <c r="AN19" i="2"/>
  <c r="AM19" i="2"/>
  <c r="AL19" i="2"/>
  <c r="N19" i="2"/>
  <c r="I19" i="2"/>
  <c r="AO18" i="2"/>
  <c r="AN18" i="2"/>
  <c r="N18" i="2"/>
  <c r="I18" i="2"/>
  <c r="AO17" i="2"/>
  <c r="AN17" i="2"/>
  <c r="N17" i="2"/>
  <c r="I17" i="2"/>
  <c r="AO16" i="2"/>
  <c r="AN16" i="2"/>
  <c r="N16" i="2"/>
  <c r="I16" i="2"/>
  <c r="AO15" i="2"/>
  <c r="AN15" i="2"/>
  <c r="N15" i="2"/>
  <c r="I15" i="2"/>
  <c r="AO14" i="2"/>
  <c r="AN14" i="2"/>
  <c r="AM14" i="2"/>
  <c r="AL14" i="2"/>
  <c r="N14" i="2"/>
  <c r="I14" i="2"/>
  <c r="AO13" i="2"/>
  <c r="AN13" i="2"/>
  <c r="N13" i="2"/>
  <c r="I13" i="2"/>
  <c r="AO12" i="2"/>
  <c r="AN12" i="2"/>
  <c r="N12" i="2"/>
  <c r="I12" i="2"/>
  <c r="AO11" i="2"/>
  <c r="AN11" i="2"/>
  <c r="AM11" i="2"/>
  <c r="AL11" i="2"/>
  <c r="AO10" i="2"/>
  <c r="AN10" i="2"/>
  <c r="AM10" i="2"/>
  <c r="AL10" i="2"/>
  <c r="N10" i="2"/>
  <c r="I10" i="2"/>
  <c r="AO9" i="2"/>
  <c r="AN9" i="2"/>
  <c r="AM9" i="2"/>
  <c r="AL9" i="2"/>
  <c r="N9" i="2"/>
  <c r="I9" i="2"/>
  <c r="AO8" i="2"/>
  <c r="AN8" i="2"/>
  <c r="AM8" i="2"/>
  <c r="AL8" i="2"/>
  <c r="N8" i="2"/>
  <c r="I8" i="2"/>
  <c r="AO7" i="2"/>
  <c r="AN7" i="2"/>
  <c r="N7" i="2"/>
  <c r="I7" i="2"/>
  <c r="AO6" i="2"/>
  <c r="AN6" i="2"/>
  <c r="N6" i="2"/>
  <c r="I6" i="2"/>
  <c r="AO5" i="2"/>
  <c r="AN5" i="2"/>
  <c r="N5" i="2"/>
  <c r="I5" i="2"/>
  <c r="AO4" i="2"/>
  <c r="AN4" i="2"/>
  <c r="AM4" i="2"/>
  <c r="AL4" i="2"/>
  <c r="N4" i="2"/>
  <c r="I4" i="2"/>
  <c r="AO3" i="2"/>
  <c r="AN3" i="2"/>
  <c r="AM3" i="2"/>
  <c r="AL3" i="2"/>
  <c r="N3" i="2"/>
  <c r="I3" i="2"/>
  <c r="AO2" i="2"/>
  <c r="AN2" i="2"/>
  <c r="N2" i="2"/>
  <c r="I2" i="2"/>
  <c r="N201" i="1"/>
  <c r="I201" i="1"/>
  <c r="N200" i="1"/>
  <c r="I200" i="1"/>
  <c r="N199" i="1"/>
  <c r="I199" i="1"/>
  <c r="N198" i="1"/>
  <c r="I198" i="1"/>
  <c r="N197" i="1"/>
  <c r="I197" i="1"/>
  <c r="N196" i="1"/>
  <c r="I196" i="1"/>
  <c r="AM195" i="1"/>
  <c r="AL195" i="1"/>
  <c r="N195" i="1"/>
  <c r="I195" i="1"/>
  <c r="AO194" i="1"/>
  <c r="AN194" i="1"/>
  <c r="N194" i="1"/>
  <c r="I194" i="1"/>
  <c r="AO193" i="1"/>
  <c r="AN193" i="1"/>
  <c r="N193" i="1"/>
  <c r="I193" i="1"/>
  <c r="AO192" i="1"/>
  <c r="AN192" i="1"/>
  <c r="N192" i="1"/>
  <c r="I192" i="1"/>
  <c r="AO191" i="1"/>
  <c r="AN191" i="1"/>
  <c r="AM191" i="1"/>
  <c r="AL191" i="1"/>
  <c r="N191" i="1"/>
  <c r="I191" i="1"/>
  <c r="AO190" i="1"/>
  <c r="AN190" i="1"/>
  <c r="N190" i="1"/>
  <c r="I190" i="1"/>
  <c r="AO189" i="1"/>
  <c r="AN189" i="1"/>
  <c r="N189" i="1"/>
  <c r="I189" i="1"/>
  <c r="AO188" i="1"/>
  <c r="AN188" i="1"/>
  <c r="N188" i="1"/>
  <c r="I188" i="1"/>
  <c r="AO187" i="1"/>
  <c r="AN187" i="1"/>
  <c r="N187" i="1"/>
  <c r="I187" i="1"/>
  <c r="AO186" i="1"/>
  <c r="AN186" i="1"/>
  <c r="N186" i="1"/>
  <c r="I186" i="1"/>
  <c r="AO185" i="1"/>
  <c r="AN185" i="1"/>
  <c r="N185" i="1"/>
  <c r="I185" i="1"/>
  <c r="AO184" i="1"/>
  <c r="AN184" i="1"/>
  <c r="N184" i="1"/>
  <c r="I184" i="1"/>
  <c r="AO183" i="1"/>
  <c r="AN183" i="1"/>
  <c r="N183" i="1"/>
  <c r="I183" i="1"/>
  <c r="AO182" i="1"/>
  <c r="AN182" i="1"/>
  <c r="AM182" i="1"/>
  <c r="AL182" i="1"/>
  <c r="N182" i="1"/>
  <c r="I182" i="1"/>
  <c r="AO181" i="1"/>
  <c r="AN181" i="1"/>
  <c r="AM181" i="1"/>
  <c r="AL181" i="1"/>
  <c r="N181" i="1"/>
  <c r="I181" i="1"/>
  <c r="AO180" i="1"/>
  <c r="AN180" i="1"/>
  <c r="AM180" i="1"/>
  <c r="AL180" i="1"/>
  <c r="N180" i="1"/>
  <c r="I180" i="1"/>
  <c r="AO179" i="1"/>
  <c r="AN179" i="1"/>
  <c r="N179" i="1"/>
  <c r="I179" i="1"/>
  <c r="AO178" i="1"/>
  <c r="AN178" i="1"/>
  <c r="N178" i="1"/>
  <c r="I178" i="1"/>
  <c r="AO177" i="1"/>
  <c r="AN177" i="1"/>
  <c r="N177" i="1"/>
  <c r="I177" i="1"/>
  <c r="AO176" i="1"/>
  <c r="AN176" i="1"/>
  <c r="N176" i="1"/>
  <c r="I176" i="1"/>
  <c r="AO175" i="1"/>
  <c r="AN175" i="1"/>
  <c r="N175" i="1"/>
  <c r="I175" i="1"/>
  <c r="AO163" i="1"/>
  <c r="AN163" i="1"/>
  <c r="N163" i="1"/>
  <c r="I163" i="1"/>
  <c r="AO162" i="1"/>
  <c r="AN162" i="1"/>
  <c r="AM162" i="1"/>
  <c r="AL162" i="1"/>
  <c r="N162" i="1"/>
  <c r="I162" i="1"/>
  <c r="AO161" i="1"/>
  <c r="AN161" i="1"/>
  <c r="AM161" i="1"/>
  <c r="AL161" i="1"/>
  <c r="N161" i="1"/>
  <c r="I161" i="1"/>
  <c r="AO160" i="1"/>
  <c r="AN160" i="1"/>
  <c r="N160" i="1"/>
  <c r="I160" i="1"/>
  <c r="AO159" i="1"/>
  <c r="AN159" i="1"/>
  <c r="N159" i="1"/>
  <c r="I159" i="1"/>
  <c r="AO158" i="1"/>
  <c r="AN158" i="1"/>
  <c r="N158" i="1"/>
  <c r="I158" i="1"/>
  <c r="AO157" i="1"/>
  <c r="AN157" i="1"/>
  <c r="AM157" i="1"/>
  <c r="AL157" i="1"/>
  <c r="N157" i="1"/>
  <c r="I157" i="1"/>
  <c r="AO156" i="1"/>
  <c r="AN156" i="1"/>
  <c r="AM156" i="1"/>
  <c r="AL156" i="1"/>
  <c r="I156" i="1"/>
  <c r="AO155" i="1"/>
  <c r="AN155" i="1"/>
  <c r="AM155" i="1"/>
  <c r="AL155" i="1"/>
  <c r="N155" i="1"/>
  <c r="I155" i="1"/>
  <c r="AO154" i="1"/>
  <c r="AN154" i="1"/>
  <c r="N154" i="1"/>
  <c r="I154" i="1"/>
  <c r="AO153" i="1"/>
  <c r="AN153" i="1"/>
  <c r="N153" i="1"/>
  <c r="I153" i="1"/>
  <c r="AO152" i="1"/>
  <c r="AN152" i="1"/>
  <c r="AM152" i="1"/>
  <c r="AL152" i="1"/>
  <c r="N152" i="1"/>
  <c r="I152" i="1"/>
  <c r="AO151" i="1"/>
  <c r="AN151" i="1"/>
  <c r="N151" i="1"/>
  <c r="I151" i="1"/>
  <c r="AO150" i="1"/>
  <c r="AN150" i="1"/>
  <c r="N150" i="1"/>
  <c r="I150" i="1"/>
  <c r="AO149" i="1"/>
  <c r="AN149" i="1"/>
  <c r="N149" i="1"/>
  <c r="I149" i="1"/>
  <c r="AO148" i="1"/>
  <c r="AN148" i="1"/>
  <c r="N148" i="1"/>
  <c r="I148" i="1"/>
  <c r="AO147" i="1"/>
  <c r="AN147" i="1"/>
  <c r="N147" i="1"/>
  <c r="I147" i="1"/>
  <c r="AO146" i="1"/>
  <c r="AN146" i="1"/>
  <c r="AM146" i="1"/>
  <c r="AL146" i="1"/>
  <c r="N146" i="1"/>
  <c r="I146" i="1"/>
  <c r="AO145" i="1"/>
  <c r="AN145" i="1"/>
  <c r="N145" i="1"/>
  <c r="I145" i="1"/>
  <c r="AO144" i="1"/>
  <c r="AN144" i="1"/>
  <c r="N144" i="1"/>
  <c r="I144" i="1"/>
  <c r="AO143" i="1"/>
  <c r="AN143" i="1"/>
  <c r="N143" i="1"/>
  <c r="I143" i="1"/>
  <c r="AO142" i="1"/>
  <c r="AN142" i="1"/>
  <c r="N142" i="1"/>
  <c r="I142" i="1"/>
  <c r="AO141" i="1"/>
  <c r="AN141" i="1"/>
  <c r="N141" i="1"/>
  <c r="I141" i="1"/>
  <c r="AO140" i="1"/>
  <c r="AN140" i="1"/>
  <c r="N140" i="1"/>
  <c r="I140" i="1"/>
  <c r="AO139" i="1"/>
  <c r="AN139" i="1"/>
  <c r="N139" i="1"/>
  <c r="I139" i="1"/>
  <c r="AO138" i="1"/>
  <c r="AN138" i="1"/>
  <c r="N138" i="1"/>
  <c r="I138" i="1"/>
  <c r="AO137" i="1"/>
  <c r="AN137" i="1"/>
  <c r="N137" i="1"/>
  <c r="I137" i="1"/>
  <c r="AO136" i="1"/>
  <c r="AN136" i="1"/>
  <c r="I136" i="1"/>
  <c r="AO135" i="1"/>
  <c r="AN135" i="1"/>
  <c r="AM135" i="1"/>
  <c r="AL135" i="1"/>
  <c r="N135" i="1"/>
  <c r="I135" i="1"/>
  <c r="AO134" i="1"/>
  <c r="AN134" i="1"/>
  <c r="I134" i="1"/>
  <c r="AO133" i="1"/>
  <c r="AN133" i="1"/>
  <c r="N133" i="1"/>
  <c r="I133" i="1"/>
  <c r="AO132" i="1"/>
  <c r="AN132" i="1"/>
  <c r="AM132" i="1"/>
  <c r="AL132" i="1"/>
  <c r="N132" i="1"/>
  <c r="I132" i="1"/>
  <c r="AO131" i="1"/>
  <c r="AN131" i="1"/>
  <c r="N131" i="1"/>
  <c r="I131" i="1"/>
  <c r="AO130" i="1"/>
  <c r="AN130" i="1"/>
  <c r="N130" i="1"/>
  <c r="I130" i="1"/>
  <c r="AO129" i="1"/>
  <c r="AN129" i="1"/>
  <c r="AM129" i="1"/>
  <c r="AL129" i="1"/>
  <c r="N129" i="1"/>
  <c r="I129" i="1"/>
  <c r="AO128" i="1"/>
  <c r="AN128" i="1"/>
  <c r="AM128" i="1"/>
  <c r="AL128" i="1"/>
  <c r="N128" i="1"/>
  <c r="I128" i="1"/>
  <c r="AO127" i="1"/>
  <c r="AN127" i="1"/>
  <c r="AM127" i="1"/>
  <c r="AL127" i="1"/>
  <c r="N127" i="1"/>
  <c r="I127" i="1"/>
  <c r="AO126" i="1"/>
  <c r="AN126" i="1"/>
  <c r="AM126" i="1"/>
  <c r="AL126" i="1"/>
  <c r="N126" i="1"/>
  <c r="I126" i="1"/>
  <c r="AO125" i="1"/>
  <c r="AN125" i="1"/>
  <c r="N125" i="1"/>
  <c r="I125" i="1"/>
  <c r="AO124" i="1"/>
  <c r="AN124" i="1"/>
  <c r="N124" i="1"/>
  <c r="I124" i="1"/>
  <c r="AO123" i="1"/>
  <c r="AN123" i="1"/>
  <c r="N123" i="1"/>
  <c r="I123" i="1"/>
  <c r="AO122" i="1"/>
  <c r="AN122" i="1"/>
  <c r="N122" i="1"/>
  <c r="I122" i="1"/>
  <c r="AO121" i="1"/>
  <c r="AN121" i="1"/>
  <c r="AM121" i="1"/>
  <c r="AL121" i="1"/>
  <c r="N121" i="1"/>
  <c r="I121" i="1"/>
  <c r="AO120" i="1"/>
  <c r="AN120" i="1"/>
  <c r="N120" i="1"/>
  <c r="I120" i="1"/>
  <c r="AO119" i="1"/>
  <c r="AN119" i="1"/>
  <c r="AM119" i="1"/>
  <c r="AL119" i="1"/>
  <c r="N119" i="1"/>
  <c r="I119" i="1"/>
  <c r="AO118" i="1"/>
  <c r="AN118" i="1"/>
  <c r="N118" i="1"/>
  <c r="I118" i="1"/>
  <c r="AO117" i="1"/>
  <c r="AN117" i="1"/>
  <c r="N117" i="1"/>
  <c r="I117" i="1"/>
  <c r="AO116" i="1"/>
  <c r="AN116" i="1"/>
  <c r="N116" i="1"/>
  <c r="I116" i="1"/>
  <c r="AO115" i="1"/>
  <c r="AN115" i="1"/>
  <c r="N115" i="1"/>
  <c r="I115" i="1"/>
  <c r="AO114" i="1"/>
  <c r="AN114" i="1"/>
  <c r="N114" i="1"/>
  <c r="I114" i="1"/>
  <c r="AO113" i="1"/>
  <c r="AN113" i="1"/>
  <c r="N113" i="1"/>
  <c r="I113" i="1"/>
  <c r="AO112" i="1"/>
  <c r="AN112" i="1"/>
  <c r="AM112" i="1"/>
  <c r="AL112" i="1"/>
  <c r="N112" i="1"/>
  <c r="I112" i="1"/>
  <c r="AO111" i="1"/>
  <c r="AN111" i="1"/>
  <c r="N111" i="1"/>
  <c r="I111" i="1"/>
  <c r="AO110" i="1"/>
  <c r="AN110" i="1"/>
  <c r="AM110" i="1"/>
  <c r="AL110" i="1"/>
  <c r="N110" i="1"/>
  <c r="I110" i="1"/>
  <c r="AO109" i="1"/>
  <c r="AN109" i="1"/>
  <c r="AM109" i="1"/>
  <c r="AL109" i="1"/>
  <c r="N109" i="1"/>
  <c r="I109" i="1"/>
  <c r="AO108" i="1"/>
  <c r="AN108" i="1"/>
  <c r="AM108" i="1"/>
  <c r="AL108" i="1"/>
  <c r="N108" i="1"/>
  <c r="I108" i="1"/>
  <c r="AO107" i="1"/>
  <c r="AN107" i="1"/>
  <c r="N107" i="1"/>
  <c r="I107" i="1"/>
  <c r="AO106" i="1"/>
  <c r="AN106" i="1"/>
  <c r="N106" i="1"/>
  <c r="I106" i="1"/>
  <c r="AO105" i="1"/>
  <c r="AN105" i="1"/>
  <c r="N105" i="1"/>
  <c r="I105" i="1"/>
  <c r="AO104" i="1"/>
  <c r="AN104" i="1"/>
  <c r="N104" i="1"/>
  <c r="I104" i="1"/>
  <c r="AO103" i="1"/>
  <c r="AN103" i="1"/>
  <c r="AM103" i="1"/>
  <c r="AL103" i="1"/>
  <c r="N103" i="1"/>
  <c r="I103" i="1"/>
  <c r="AO102" i="1"/>
  <c r="AN102" i="1"/>
  <c r="N102" i="1"/>
  <c r="I102" i="1"/>
  <c r="AO101" i="1"/>
  <c r="AN101" i="1"/>
  <c r="AM101" i="1"/>
  <c r="AL101" i="1"/>
  <c r="N101" i="1"/>
  <c r="I101" i="1"/>
  <c r="AO100" i="1"/>
  <c r="AN100" i="1"/>
  <c r="AM100" i="1"/>
  <c r="AL100" i="1"/>
  <c r="N100" i="1"/>
  <c r="I100" i="1"/>
  <c r="AO99" i="1"/>
  <c r="AN99" i="1"/>
  <c r="AM99" i="1"/>
  <c r="AL99" i="1"/>
  <c r="N99" i="1"/>
  <c r="I99" i="1"/>
  <c r="AO98" i="1"/>
  <c r="AN98" i="1"/>
  <c r="AM98" i="1"/>
  <c r="AL98" i="1"/>
  <c r="N98" i="1"/>
  <c r="I98" i="1"/>
  <c r="AO97" i="1"/>
  <c r="AN97" i="1"/>
  <c r="N97" i="1"/>
  <c r="I97" i="1"/>
  <c r="AO96" i="1"/>
  <c r="AN96" i="1"/>
  <c r="N96" i="1"/>
  <c r="I96" i="1"/>
  <c r="AO95" i="1"/>
  <c r="AN95" i="1"/>
  <c r="N95" i="1"/>
  <c r="I95" i="1"/>
  <c r="AO94" i="1"/>
  <c r="AN94" i="1"/>
  <c r="N94" i="1"/>
  <c r="I94" i="1"/>
  <c r="AO93" i="1"/>
  <c r="AN93" i="1"/>
  <c r="AM93" i="1"/>
  <c r="AL93" i="1"/>
  <c r="N93" i="1"/>
  <c r="I93" i="1"/>
  <c r="AO92" i="1"/>
  <c r="AN92" i="1"/>
  <c r="N92" i="1"/>
  <c r="I92" i="1"/>
  <c r="AO91" i="1"/>
  <c r="AN91" i="1"/>
  <c r="N91" i="1"/>
  <c r="I91" i="1"/>
  <c r="AO90" i="1"/>
  <c r="AN90" i="1"/>
  <c r="N90" i="1"/>
  <c r="I90" i="1"/>
  <c r="AO89" i="1"/>
  <c r="AN89" i="1"/>
  <c r="N89" i="1"/>
  <c r="I89" i="1"/>
  <c r="AO88" i="1"/>
  <c r="AN88" i="1"/>
  <c r="N88" i="1"/>
  <c r="I88" i="1"/>
  <c r="AO87" i="1"/>
  <c r="AN87" i="1"/>
  <c r="AM87" i="1"/>
  <c r="AL87" i="1"/>
  <c r="N87" i="1"/>
  <c r="I87" i="1"/>
  <c r="AO86" i="1"/>
  <c r="AN86" i="1"/>
  <c r="N86" i="1"/>
  <c r="I86" i="1"/>
  <c r="AO85" i="1"/>
  <c r="AN85" i="1"/>
  <c r="AM85" i="1"/>
  <c r="AL85" i="1"/>
  <c r="N85" i="1"/>
  <c r="I85" i="1"/>
  <c r="AO84" i="1"/>
  <c r="AN84" i="1"/>
  <c r="N84" i="1"/>
  <c r="I84" i="1"/>
  <c r="AO83" i="1"/>
  <c r="AN83" i="1"/>
  <c r="AM83" i="1"/>
  <c r="AL83" i="1"/>
  <c r="N83" i="1"/>
  <c r="I83" i="1"/>
  <c r="AO82" i="1"/>
  <c r="AN82" i="1"/>
  <c r="AM82" i="1"/>
  <c r="AL82" i="1"/>
  <c r="N82" i="1"/>
  <c r="I82" i="1"/>
  <c r="AO81" i="1"/>
  <c r="AN81" i="1"/>
  <c r="N81" i="1"/>
  <c r="I81" i="1"/>
  <c r="N80" i="1"/>
  <c r="I80" i="1"/>
  <c r="AO79" i="1"/>
  <c r="AN79" i="1"/>
  <c r="N79" i="1"/>
  <c r="I79" i="1"/>
  <c r="AO78" i="1"/>
  <c r="AN78" i="1"/>
  <c r="N78" i="1"/>
  <c r="I78" i="1"/>
  <c r="AO77" i="1"/>
  <c r="AN77" i="1"/>
  <c r="N77" i="1"/>
  <c r="I77" i="1"/>
  <c r="AO76" i="1"/>
  <c r="AN76" i="1"/>
  <c r="N76" i="1"/>
  <c r="I76" i="1"/>
  <c r="AO75" i="1"/>
  <c r="AN75" i="1"/>
  <c r="N75" i="1"/>
  <c r="I75" i="1"/>
  <c r="AO74" i="1"/>
  <c r="AN74" i="1"/>
  <c r="N74" i="1"/>
  <c r="I74" i="1"/>
  <c r="AO73" i="1"/>
  <c r="AN73" i="1"/>
  <c r="N73" i="1"/>
  <c r="I73" i="1"/>
  <c r="AO72" i="1"/>
  <c r="AN72" i="1"/>
  <c r="N72" i="1"/>
  <c r="I72" i="1"/>
  <c r="AO71" i="1"/>
  <c r="AN71" i="1"/>
  <c r="N71" i="1"/>
  <c r="I71" i="1"/>
  <c r="AO70" i="1"/>
  <c r="AN70" i="1"/>
  <c r="N70" i="1"/>
  <c r="I70" i="1"/>
  <c r="AO69" i="1"/>
  <c r="AN69" i="1"/>
  <c r="N69" i="1"/>
  <c r="I69" i="1"/>
  <c r="AO68" i="1"/>
  <c r="AN68" i="1"/>
  <c r="N68" i="1"/>
  <c r="I68" i="1"/>
  <c r="AO67" i="1"/>
  <c r="AN67" i="1"/>
  <c r="AM67" i="1"/>
  <c r="AL67" i="1"/>
  <c r="N67" i="1"/>
  <c r="I67" i="1"/>
  <c r="AO66" i="1"/>
  <c r="AN66" i="1"/>
  <c r="N66" i="1"/>
  <c r="I66" i="1"/>
  <c r="AO65" i="1"/>
  <c r="AN65" i="1"/>
  <c r="N65" i="1"/>
  <c r="I65" i="1"/>
  <c r="AO64" i="1"/>
  <c r="AN64" i="1"/>
  <c r="AM64" i="1"/>
  <c r="AL64" i="1"/>
  <c r="N64" i="1"/>
  <c r="I64" i="1"/>
  <c r="AO63" i="1"/>
  <c r="AN63" i="1"/>
  <c r="N63" i="1"/>
  <c r="I63" i="1"/>
  <c r="AO62" i="1"/>
  <c r="AN62" i="1"/>
  <c r="AM62" i="1"/>
  <c r="AL62" i="1"/>
  <c r="N62" i="1"/>
  <c r="I62" i="1"/>
  <c r="AO61" i="1"/>
  <c r="AN61" i="1"/>
  <c r="N61" i="1"/>
  <c r="I61" i="1"/>
  <c r="AO60" i="1"/>
  <c r="AN60" i="1"/>
  <c r="N60" i="1"/>
  <c r="I60" i="1"/>
  <c r="AO59" i="1"/>
  <c r="AN59" i="1"/>
  <c r="AM59" i="1"/>
  <c r="AL59" i="1"/>
  <c r="N59" i="1"/>
  <c r="I59" i="1"/>
  <c r="AO58" i="1"/>
  <c r="AN58" i="1"/>
  <c r="N58" i="1"/>
  <c r="I58" i="1"/>
  <c r="AO57" i="1"/>
  <c r="AN57" i="1"/>
  <c r="N57" i="1"/>
  <c r="I57" i="1"/>
  <c r="AO56" i="1"/>
  <c r="AN56" i="1"/>
  <c r="N56" i="1"/>
  <c r="I56" i="1"/>
  <c r="AO55" i="1"/>
  <c r="AN55" i="1"/>
  <c r="N55" i="1"/>
  <c r="I55" i="1"/>
  <c r="AO54" i="1"/>
  <c r="AN54" i="1"/>
  <c r="N54" i="1"/>
  <c r="I54" i="1"/>
  <c r="AO53" i="1"/>
  <c r="AN53" i="1"/>
  <c r="N53" i="1"/>
  <c r="I53" i="1"/>
  <c r="AO52" i="1"/>
  <c r="AN52" i="1"/>
  <c r="N52" i="1"/>
  <c r="I52" i="1"/>
  <c r="AO51" i="1"/>
  <c r="AN51" i="1"/>
  <c r="AM51" i="1"/>
  <c r="AL51" i="1"/>
  <c r="N51" i="1"/>
  <c r="I51" i="1"/>
  <c r="AO50" i="1"/>
  <c r="AN50" i="1"/>
  <c r="N50" i="1"/>
  <c r="I50" i="1"/>
  <c r="AO49" i="1"/>
  <c r="AN49" i="1"/>
  <c r="N49" i="1"/>
  <c r="I49" i="1"/>
  <c r="AO48" i="1"/>
  <c r="AN48" i="1"/>
  <c r="N48" i="1"/>
  <c r="I48" i="1"/>
  <c r="AO47" i="1"/>
  <c r="AN47" i="1"/>
  <c r="N47" i="1"/>
  <c r="I47" i="1"/>
  <c r="AO46" i="1"/>
  <c r="AN46" i="1"/>
  <c r="N46" i="1"/>
  <c r="I46" i="1"/>
  <c r="AO45" i="1"/>
  <c r="AN45" i="1"/>
  <c r="N45" i="1"/>
  <c r="I45" i="1"/>
  <c r="AO44" i="1"/>
  <c r="AN44" i="1"/>
  <c r="AM44" i="1"/>
  <c r="AL44" i="1"/>
  <c r="N44" i="1"/>
  <c r="I44" i="1"/>
  <c r="AO43" i="1"/>
  <c r="AN43" i="1"/>
  <c r="N43" i="1"/>
  <c r="I43" i="1"/>
  <c r="AO42" i="1"/>
  <c r="AN42" i="1"/>
  <c r="N42" i="1"/>
  <c r="I42" i="1"/>
  <c r="AO41" i="1"/>
  <c r="AN41" i="1"/>
  <c r="N41" i="1"/>
  <c r="I41" i="1"/>
  <c r="AO40" i="1"/>
  <c r="AN40" i="1"/>
  <c r="AM40" i="1"/>
  <c r="AL40" i="1"/>
  <c r="N40" i="1"/>
  <c r="I40" i="1"/>
  <c r="AO39" i="1"/>
  <c r="AN39" i="1"/>
  <c r="AM39" i="1"/>
  <c r="AL39" i="1"/>
  <c r="N39" i="1"/>
  <c r="I39" i="1"/>
  <c r="AO38" i="1"/>
  <c r="AN38" i="1"/>
  <c r="AM38" i="1"/>
  <c r="AL38" i="1"/>
  <c r="N38" i="1"/>
  <c r="I38" i="1"/>
  <c r="AO37" i="1"/>
  <c r="AN37" i="1"/>
  <c r="AM37" i="1"/>
  <c r="AL37" i="1"/>
  <c r="N37" i="1"/>
  <c r="I37" i="1"/>
  <c r="AO36" i="1"/>
  <c r="AN36" i="1"/>
  <c r="N36" i="1"/>
  <c r="I36" i="1"/>
  <c r="AO35" i="1"/>
  <c r="AN35" i="1"/>
  <c r="N35" i="1"/>
  <c r="I35" i="1"/>
  <c r="AO34" i="1"/>
  <c r="AN34" i="1"/>
  <c r="AM34" i="1"/>
  <c r="AL34" i="1"/>
  <c r="N34" i="1"/>
  <c r="I34" i="1"/>
  <c r="AO33" i="1"/>
  <c r="AN33" i="1"/>
  <c r="AM33" i="1"/>
  <c r="AL33" i="1"/>
  <c r="N33" i="1"/>
  <c r="I33" i="1"/>
  <c r="AO32" i="1"/>
  <c r="AN32" i="1"/>
  <c r="N32" i="1"/>
  <c r="I32" i="1"/>
  <c r="AO31" i="1"/>
  <c r="AN31" i="1"/>
  <c r="N31" i="1"/>
  <c r="I31" i="1"/>
  <c r="AO30" i="1"/>
  <c r="AN30" i="1"/>
  <c r="N30" i="1"/>
  <c r="I30" i="1"/>
  <c r="AO29" i="1"/>
  <c r="AN29" i="1"/>
  <c r="N29" i="1"/>
  <c r="I29" i="1"/>
  <c r="AO28" i="1"/>
  <c r="AN28" i="1"/>
  <c r="AM28" i="1"/>
  <c r="AL28" i="1"/>
  <c r="N28" i="1"/>
  <c r="I28" i="1"/>
  <c r="AO27" i="1"/>
  <c r="AN27" i="1"/>
  <c r="N27" i="1"/>
  <c r="I27" i="1"/>
  <c r="AO26" i="1"/>
  <c r="AN26" i="1"/>
  <c r="N26" i="1"/>
  <c r="I26" i="1"/>
  <c r="AO25" i="1"/>
  <c r="AN25" i="1"/>
  <c r="N25" i="1"/>
  <c r="I25" i="1"/>
  <c r="AO24" i="1"/>
  <c r="AN24" i="1"/>
  <c r="AM24" i="1"/>
  <c r="AL24" i="1"/>
  <c r="N24" i="1"/>
  <c r="I24" i="1"/>
  <c r="AO23" i="1"/>
  <c r="AN23" i="1"/>
  <c r="AM23" i="1"/>
  <c r="AL23" i="1"/>
  <c r="N23" i="1"/>
  <c r="I23" i="1"/>
  <c r="AO22" i="1"/>
  <c r="AN22" i="1"/>
  <c r="N22" i="1"/>
  <c r="I22" i="1"/>
  <c r="AO21" i="1"/>
  <c r="AN21" i="1"/>
  <c r="AM21" i="1"/>
  <c r="AL21" i="1"/>
  <c r="N21" i="1"/>
  <c r="I21" i="1"/>
  <c r="AO20" i="1"/>
  <c r="AN20" i="1"/>
  <c r="N20" i="1"/>
  <c r="I20" i="1"/>
  <c r="AO19" i="1"/>
  <c r="AN19" i="1"/>
  <c r="N19" i="1"/>
  <c r="I19" i="1"/>
  <c r="AO18" i="1"/>
  <c r="AN18" i="1"/>
  <c r="AM18" i="1"/>
  <c r="N18" i="1"/>
  <c r="I18" i="1"/>
  <c r="AO17" i="1"/>
  <c r="AN17" i="1"/>
  <c r="AM17" i="1"/>
  <c r="N17" i="1"/>
  <c r="I17" i="1"/>
  <c r="AO16" i="1"/>
  <c r="AN16" i="1"/>
  <c r="N16" i="1"/>
  <c r="I16" i="1"/>
  <c r="AO15" i="1"/>
  <c r="AN15" i="1"/>
  <c r="N15" i="1"/>
  <c r="I15" i="1"/>
  <c r="AO14" i="1"/>
  <c r="N14" i="1"/>
  <c r="I14" i="1"/>
  <c r="AO13" i="1"/>
  <c r="AN13" i="1"/>
  <c r="N13" i="1"/>
  <c r="I13" i="1"/>
  <c r="AO12" i="1"/>
  <c r="AN12" i="1"/>
  <c r="N12" i="1"/>
  <c r="I12" i="1"/>
  <c r="AO11" i="1"/>
  <c r="AN11" i="1"/>
  <c r="N11" i="1"/>
  <c r="I11" i="1"/>
  <c r="AO10" i="1"/>
  <c r="AN10" i="1"/>
  <c r="N10" i="1"/>
  <c r="I10" i="1"/>
  <c r="AO9" i="1"/>
  <c r="AN9" i="1"/>
  <c r="AM9" i="1"/>
  <c r="AL9" i="1"/>
  <c r="N9" i="1"/>
  <c r="I9" i="1"/>
  <c r="AO8" i="1"/>
  <c r="AN8" i="1"/>
  <c r="N8" i="1"/>
  <c r="I8" i="1"/>
  <c r="AO7" i="1"/>
  <c r="AN7" i="1"/>
  <c r="N7" i="1"/>
  <c r="I7" i="1"/>
  <c r="AO6" i="1"/>
  <c r="AN6" i="1"/>
  <c r="N6" i="1"/>
  <c r="I6" i="1"/>
  <c r="AO5" i="1"/>
  <c r="AN5" i="1"/>
  <c r="N5" i="1"/>
  <c r="I5" i="1"/>
  <c r="AO4" i="1"/>
  <c r="AN4" i="1"/>
  <c r="AM4" i="1"/>
  <c r="AL4" i="1"/>
  <c r="N4" i="1"/>
  <c r="I4" i="1"/>
  <c r="AO3" i="1"/>
  <c r="AN3" i="1"/>
  <c r="I3" i="1"/>
  <c r="AO2" i="1"/>
  <c r="AN2" i="1"/>
  <c r="AM2" i="1"/>
  <c r="AL2" i="1"/>
  <c r="N2"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000-000012000000}">
      <text>
        <r>
          <rPr>
            <sz val="11"/>
            <color rgb="FF000000"/>
            <rFont val="Arial"/>
            <scheme val="minor"/>
          </rPr>
          <t>======
ID#AAAB8SkatSg
Saisuda T    (2026-05-29 08:32:25)
หากระดับคอเลสเตอรอล LDL ของคุณเพิ่มขึ้นสูงกว่า 250 มก./ดล. คุณอาจถูกประเมินว่าไม่เหมาะสมสำหรับการทำงานนอกชายฝั่งชั่วคราว</t>
        </r>
      </text>
    </comment>
    <comment ref="AH2" authorId="0" shapeId="0" xr:uid="{00000000-0006-0000-0000-00002B000000}">
      <text>
        <r>
          <rPr>
            <sz val="11"/>
            <color rgb="FF000000"/>
            <rFont val="Arial"/>
            <scheme val="minor"/>
          </rPr>
          <t>======
ID#AAAB8q40kAk
arm m    (2026-06-02 02:35:42)
20/6/2025 ขูดหินปูน</t>
        </r>
      </text>
    </comment>
    <comment ref="AK2" authorId="0" shapeId="0" xr:uid="{00000000-0006-0000-0000-00002F000000}">
      <text>
        <r>
          <rPr>
            <sz val="11"/>
            <color rgb="FF000000"/>
            <rFont val="Arial"/>
            <scheme val="minor"/>
          </rPr>
          <t>======
ID#AAAB8q40kAo
arm m    (2026-06-02 02:36:11)
27/6/2025 
Please continue treatment for your diabetes and hyperlipidemia, and focus on weight reduction.
------
ID#AAAB87PtpCk
arm m    (2026-06-08 02:31:42)
4/6/2026
Please provide an updated urine analysis (UA) after completing treatment, prior to going offshore.</t>
        </r>
      </text>
    </comment>
    <comment ref="AK3" authorId="0" shapeId="0" xr:uid="{00000000-0006-0000-0000-00003E000000}">
      <text>
        <r>
          <rPr>
            <sz val="11"/>
            <color rgb="FF000000"/>
            <rFont val="Arial"/>
            <scheme val="minor"/>
          </rPr>
          <t>======
ID#AAABww-7i1A
arm m    (2025-06-04 03:53:06)
Please control your diet to decrease high uric acid levels.
------
ID#AAABww-7i1E
arm m    (2025-08-14 09:46:25)
7/8/2025
Please send the result of abnormal urine test (UA) for review before going offshore.
------
ID#AAAB1-XJJTY
arm m    (2026-03-17 03:06:25)
11/8/2026
Please follow a low-sugar diet to help manage your rising fasting blood sugar levels.
------
ID#AAAB1IWcYBc
arm m    (2026-03-20 09:32:54)
18/3/2026
Please address the abnormal findings identified in your dental examination (teeth #46) and repeat urine test before the next shift. Please implement a controlled diet to manage your high uric acid levels. Additionally, adhere to a low-sugar and low-carbohydrate diet to address your elevated fasting blood sugar levels.
------
ID#AAAB5EY_o8Q
arm m    (2026-04-30 06:13:31)
20/3/2026
Please implement a controlled diet to manage your high uric acid levels. Additionally, adhere to a low-sugar and low-carbohydrate diet to address your elevated fasting blood sugar levels. Please repeat urine test in 3 months.
------
ID#AAACDpUZ12k
arm m    (2026-07-22 02:53:41)
30/4/2026 Moderate health risk Please implement a controlled diet to manage your high uric acid levels. Please repeat urine test in 3 months.</t>
        </r>
      </text>
    </comment>
    <comment ref="AH4" authorId="0" shapeId="0" xr:uid="{00000000-0006-0000-0000-00004E000000}">
      <text>
        <r>
          <rPr>
            <sz val="11"/>
            <color rgb="FF000000"/>
            <rFont val="Arial"/>
            <scheme val="minor"/>
          </rPr>
          <t>======
ID#AAAB84FygJU
arm m    (2026-06-05 06:54:20)
7/11/25 ติดตามค่าควาดัน=127/76 ค่าUricAcid=5.9 /21/8/25 ขูดหินปูน , กรดยูริค=8.1</t>
        </r>
      </text>
    </comment>
    <comment ref="AK4" authorId="0" shapeId="0" xr:uid="{00000000-0006-0000-0000-000052000000}">
      <text>
        <r>
          <rPr>
            <sz val="11"/>
            <color rgb="FF000000"/>
            <rFont val="Arial"/>
            <scheme val="minor"/>
          </rPr>
          <t>======
ID#AAABww-7iuE
arm m    (2025-08-02 04:06:22)
Please consult with an internist for very high LDL-cholesterol level and update on your LDL-cholesterol level in the next 3 months. Control diet to decrease high uric level.
------
ID#AAABww-7iuI
Saisuda T    (2025-08-24 04:31:30)
7/8/25 :Please address the abnormal findings (ฟันโยก #36,37,38,46,48 , โรคปริทันต์อักเสบ) from your dental examination before going offshore. Additionally, please reduce weight and control your diet to decrease high uric acid levels.
------
ID#AAABww-7iuM
arm m    (2025-11-07 09:29:25)
22/8/2025
Please update Blood pressure in next 3 months. Please reduce weight and control your diet to decrease high uric acid levels.
------
ID#AAAB84FygJY
arm m    (2026-06-05 06:54:43)
7/11/2026
Please focus on reducing your weight.
------
ID#AAAB9Awfz48
arm m    (2026-06-09 03:10:52)
7/6/2026
Please receive dental treatment for ฟันโยก #44,48 , คอฟันสึกลึก #13,25 then submit medical certificate before going offshore.</t>
        </r>
      </text>
    </comment>
    <comment ref="AH5" authorId="0" shapeId="0" xr:uid="{00000000-0006-0000-0000-00005E000000}">
      <text>
        <r>
          <rPr>
            <sz val="11"/>
            <color rgb="FF000000"/>
            <rFont val="Arial"/>
            <scheme val="minor"/>
          </rPr>
          <t>======
ID#AAABteFivBo
arm m    (2025-10-25 03:16:22)
21/12/2024 ทำฟัน#28,38 , 24/01/2025 ตรวจLDL-C=69 , ไขมันไตรกลีเซอไรด์=102 , เอ็นไซม์ตับ SGOT=26 , เอ็นไซม์ตับ SGPT=36</t>
        </r>
      </text>
    </comment>
    <comment ref="AK5" authorId="0" shapeId="0" xr:uid="{00000000-0006-0000-0000-000062000000}">
      <text>
        <r>
          <rPr>
            <sz val="11"/>
            <color rgb="FF000000"/>
            <rFont val="Arial"/>
            <scheme val="minor"/>
          </rPr>
          <t>======
ID#AAABww-7i0Y
arm m    (2025-10-25 03:16:45)
31/1/2025
Low health risk
------
ID#AAACEktJ_68
arm m    (2026-08-03 13:54:22)
30/10/2026 Low health risk 
Please focus on reducing your weight</t>
        </r>
      </text>
    </comment>
    <comment ref="Y6" authorId="0" shapeId="0" xr:uid="{00000000-0006-0000-0000-00006E000000}">
      <text>
        <r>
          <rPr>
            <sz val="11"/>
            <color rgb="FF000000"/>
            <rFont val="Arial"/>
            <scheme val="minor"/>
          </rPr>
          <t>======
ID#AAABww-7i0k
arm m    (2025-09-29 03:52:06)
Please focus on reducing your weight.
------
ID#AAABww-7i0o
arm m    (2025-11-06 07:38:30)
29/9/2025
Please receive dental treatment and submit medical certificate to us before going offshore. Additionally, please consult an internal medicine specialist regarding your high triglycerides. It would also be beneficial for you to work on reducing your weight. Kindly ensure that your triglycerides are checked again within the next 3 months.</t>
        </r>
      </text>
    </comment>
    <comment ref="AH6" authorId="0" shapeId="0" xr:uid="{00000000-0006-0000-0000-000073000000}">
      <text>
        <r>
          <rPr>
            <sz val="11"/>
            <color rgb="FF000000"/>
            <rFont val="Arial"/>
            <scheme val="minor"/>
          </rPr>
          <t>======
ID#AAABww-7iy0
arm m    (2025-09-29 03:50:51)
ซี่36,46 รักษาแล้ว4/12/24</t>
        </r>
      </text>
    </comment>
    <comment ref="AK6" authorId="0" shapeId="0" xr:uid="{00000000-0006-0000-0000-000077000000}">
      <text>
        <r>
          <rPr>
            <sz val="11"/>
            <color rgb="FF000000"/>
            <rFont val="Arial"/>
            <scheme val="minor"/>
          </rPr>
          <t>======
ID#AAABww-7i4k
arm m    (2025-11-07 09:09:54)
6/11/2025
As previously recommended on 29 September 2025, please consult an internal medicine specialist regarding your elevated triglyceride levels. Kindly provide an updated triglyceride result within one month.
------
ID#AAABww-7i4o
arm m    (2025-11-10 09:33:08)
10/11/2025
Please consult an internal medicine specialist regarding your elevated triglyceride levels for receiving recommendation or treatment plan. Kindly provide an updated within one month.
------
ID#AAAB1j7GW4I
arm m    (2026-03-10 09:44:39)
10/11/2025
Please consult an internal medicine specialist regarding your high triglycerides. It would also be beneficial for you to work on reducing your weight. Kindly ensure that your triglycerides are checked again within the next 3 months. Additionally, please continue your treatment for diabetes with your doctor.</t>
        </r>
      </text>
    </comment>
    <comment ref="AH7" authorId="0" shapeId="0" xr:uid="{00000000-0006-0000-0000-000084000000}">
      <text>
        <r>
          <rPr>
            <sz val="11"/>
            <color rgb="FF000000"/>
            <rFont val="Arial"/>
            <scheme val="minor"/>
          </rPr>
          <t>======
ID#AAAB_G53xs4
arm m    (2026-07-06 10:02:24)
ติดตามปัสสาวะ 23/11/2024</t>
        </r>
      </text>
    </comment>
    <comment ref="AK7" authorId="0" shapeId="0" xr:uid="{00000000-0006-0000-0000-000088000000}">
      <text>
        <r>
          <rPr>
            <sz val="11"/>
            <color rgb="FF000000"/>
            <rFont val="Arial"/>
            <scheme val="minor"/>
          </rPr>
          <t>======
ID#AAABww-7izw
arm m    (2025-08-02 06:17:33)
No additional recommendation.
------
ID#AAAB_G53xs0
arm m    (2026-07-06 09:58:49)
8/8/2025 Low health risk 
Please control your diet to decrease high uric acid levels.</t>
        </r>
      </text>
    </comment>
    <comment ref="AH8" authorId="0" shapeId="0" xr:uid="{00000000-0006-0000-0000-000099000000}">
      <text>
        <r>
          <rPr>
            <sz val="11"/>
            <color rgb="FF000000"/>
            <rFont val="Arial"/>
            <scheme val="minor"/>
          </rPr>
          <t>======
ID#AAAByR5qEQw
arm m    (2026-01-06 10:08:38)
23/12/2025 ผ่าฟันคุด#38 22/12/2025 อุดฟัน#47 12/11/2025 กรดยูริก =9.5 30/9/2025 ผ่าฟันคุด=48 9/4/2025 ตรวจไขมันโคเลสเตอรอล =190 , LDL =122 , กรดยูริก =8.3</t>
        </r>
      </text>
    </comment>
    <comment ref="AK8" authorId="0" shapeId="0" xr:uid="{00000000-0006-0000-0000-00009D000000}">
      <text>
        <r>
          <rPr>
            <sz val="11"/>
            <color rgb="FF000000"/>
            <rFont val="Arial"/>
            <scheme val="minor"/>
          </rPr>
          <t>======
ID#AAAByR5qEQ0
arm m    (2026-01-06 10:10:08)
13/11/2025 Please consult an internal medicine specialist about your high uric acid levels. Also, please have your uric acid levels checked again in the next 3 months
------
ID#AAAByYxMjd4
Saisuda T    (2026-01-08 03:09:30)
7/1/2026:Pending:Please receive dental treatment as planned by filling and extraction ( #38, 47) then submit medical certificate before going offshore. Additionally, please consult an internal medicine specialist for high LDL-cholesterol. Update your LDL-cholesterol in the next 3 months.
------
ID#AAABzWues8c
arm m    (2026-02-04 04:52:43)
8/1/2026
Please consult an internal medicine specialist for high LDL-cholesterol. Update your LDL-cholesterol in the next 3 months.</t>
        </r>
      </text>
    </comment>
    <comment ref="AH9" authorId="0" shapeId="0" xr:uid="{00000000-0006-0000-0000-0000AE000000}">
      <text>
        <r>
          <rPr>
            <sz val="11"/>
            <color rgb="FF000000"/>
            <rFont val="Arial"/>
            <scheme val="minor"/>
          </rPr>
          <t>======
ID#AAAB8qo7eo8
arm m    (2026-06-02 07:18:57)
6/11/2025 SGPT=46 4/10/2025 Uric Acid=7.3 , Cholesterol=174 , Triglyceride=160 , LDL-C=112</t>
        </r>
      </text>
    </comment>
    <comment ref="AK9" authorId="0" shapeId="0" xr:uid="{00000000-0006-0000-0000-0000B2000000}">
      <text>
        <r>
          <rPr>
            <sz val="11"/>
            <color rgb="FF000000"/>
            <rFont val="Arial"/>
            <scheme val="minor"/>
          </rPr>
          <t>======
ID#AAABww-7iwg
arm m    (2025-11-05 06:17:28)
7/8/2025
Please consult a gastrointestinal specialist because of your elevated liver enzymes. Additionally, consider reducing your weight and adjusting your diet to manage your high uric acid levels. Ensure you update your liver enzyme levels in the next 3 months.
------
ID#AAABww-7iwk
arm m    (2025-11-06 07:54:27)
5/11/2025
Please continue treatment for your hyperlipidemia under the care of your doctor. As previously recommended on 7 August 2025, kindly update your liver enzyme (SGPT) level within the next 3 months. Additionally, please maintain focus on weight reduction.
------
ID#AAAB8qo7epA
arm m    (2026-06-02 07:19:20)
6/11/2025
Please reduce weight and control your diet to decrease your slightly elevated uric acid levels.</t>
        </r>
      </text>
    </comment>
    <comment ref="AH10" authorId="0" shapeId="0" xr:uid="{00000000-0006-0000-0000-0000BF000000}">
      <text>
        <r>
          <rPr>
            <sz val="11"/>
            <color rgb="FF000000"/>
            <rFont val="Arial"/>
            <scheme val="minor"/>
          </rPr>
          <t>======
ID#AAABxYAr4Oo
arm m    (2026-01-08 09:32:10)
17/01/2025 ถอนฟัน #18</t>
        </r>
      </text>
    </comment>
    <comment ref="AK10" authorId="0" shapeId="0" xr:uid="{00000000-0006-0000-0000-0000C3000000}">
      <text>
        <r>
          <rPr>
            <sz val="11"/>
            <color rgb="FF000000"/>
            <rFont val="Arial"/>
            <scheme val="minor"/>
          </rPr>
          <t>======
ID#AAABxYAr4Os
arm m    (2026-01-08 09:33:55)
21/1/2025
No additional recommendation.
------
ID#AAAByY_L0TU
arm m    (2026-01-12 01:29:21)
9/1/2026
Please address the abnormal dental findings (#37 loose tooth) before going offshore. Additionally, please consult a gastrointestinal specialist due to your high liver enzymes. Ensure to update your liver enzyme levels in the next 3 months.
------
ID#AAAB3JHQC8Y
arm m    (2026-04-10 07:33:30)
9/1/2026
Kindly ensure that the dental extraction wound is properly closed and fully healed—including the removal or dissolution of stitches prior to offshore deployment. Consult a gastrointestinal specialist due to your high liver enzymes. Ensure to update your liver enzyme levels in the next 3 months.
------
ID#AAAB_nvJtQA
arm m    (2026-07-10 01:17:34)
10/4/2026 Moderate health risk Consult a gastrointestinal specialist due to your high liver enzymes. Ensure to update your liver enzyme levels in the next 3 months.</t>
        </r>
      </text>
    </comment>
    <comment ref="AH11" authorId="0" shapeId="0" xr:uid="{00000000-0006-0000-0000-0000D5000000}">
      <text>
        <r>
          <rPr>
            <sz val="11"/>
            <color rgb="FF000000"/>
            <rFont val="Arial"/>
            <scheme val="minor"/>
          </rPr>
          <t>======
ID#AAABww-7ivY
arm m    (2025-04-11 02:45:32)
27/11/24-ผลตรวจฟันปกติไม่มีฟันผุ
------
ID#AAAB1tUH5sI
arm m    (2026-03-13 02:33:09)
19/9/2025 FBG=88 , TG=53 , LDL=120 +ยาลดไขมัน 7/4/2025 รับยาไขมันในเลือดสูง และ มีนัดติดตามค่าไขมัน10/9/2025</t>
        </r>
      </text>
    </comment>
    <comment ref="AK11" authorId="0" shapeId="0" xr:uid="{00000000-0006-0000-0000-0000D8000000}">
      <text>
        <r>
          <rPr>
            <sz val="11"/>
            <color rgb="FF000000"/>
            <rFont val="Arial"/>
            <scheme val="minor"/>
          </rPr>
          <t>======
ID#AAABww-7iv8
arm m    (2025-06-09 06:09:04)
21/4/2025
Please send the results of abnormal chest X-ray for review before going offshore. Additionally, please continue your ongoing treatment for dyslipidemia with the specialist and focus on reducing your weight. Update us on your LDL-cholesterol results in the next 3 months.
------
ID#AAAB1tUH5sM
arm m    (2026-03-13 02:33:43)
30/9/2025
Please continue your diabetes and hyperlipidemia treatment with your doctor. Additionally, please focus on reducing your weight.</t>
        </r>
      </text>
    </comment>
    <comment ref="AH12" authorId="0" shapeId="0" xr:uid="{00000000-0006-0000-0000-0000E8000000}">
      <text>
        <r>
          <rPr>
            <sz val="11"/>
            <color rgb="FF000000"/>
            <rFont val="Arial"/>
            <scheme val="minor"/>
          </rPr>
          <t>======
ID#AAACEgKgSyU
arm m    (2026-07-30 06:31:44)
7/8/2025 ขูดหินปูน</t>
        </r>
      </text>
    </comment>
    <comment ref="AK12" authorId="0" shapeId="0" xr:uid="{00000000-0006-0000-0000-0000EC000000}">
      <text>
        <r>
          <rPr>
            <sz val="11"/>
            <color rgb="FF000000"/>
            <rFont val="Arial"/>
            <scheme val="minor"/>
          </rPr>
          <t>======
ID#AAABww-7itM
arm m    (2025-08-02 06:48:59)
No additional recommendation.
------
ID#AAACEgKgSyY
arm m    (2026-07-30 06:32:27)
8/8/2026 Low health risk 
No additional recommendation.</t>
        </r>
      </text>
    </comment>
    <comment ref="AH13" authorId="0" shapeId="0" xr:uid="{00000000-0006-0000-0000-0000FE000000}">
      <text>
        <r>
          <rPr>
            <sz val="11"/>
            <color rgb="FF000000"/>
            <rFont val="Arial"/>
            <scheme val="minor"/>
          </rPr>
          <t>======
ID#AAABww-7itw
arm m    (2025-09-11 01:35:05)
27/12/2024 ติดตามกรดยูริก , 21/12/24 ขูดหินปูนทั้งปาก อุดฟันซี่12,22แล้ว</t>
        </r>
      </text>
    </comment>
    <comment ref="AK13" authorId="0" shapeId="0" xr:uid="{00000000-0006-0000-0000-000002010000}">
      <text>
        <r>
          <rPr>
            <sz val="11"/>
            <color rgb="FF000000"/>
            <rFont val="Arial"/>
            <scheme val="minor"/>
          </rPr>
          <t>======
ID#AAABteFivA4
arm m    (2025-09-11 01:35:37)
27/12/2024
Low health risk</t>
        </r>
      </text>
    </comment>
    <comment ref="AH14" authorId="0" shapeId="0" xr:uid="{00000000-0006-0000-0000-000012010000}">
      <text>
        <r>
          <rPr>
            <sz val="11"/>
            <color rgb="FF000000"/>
            <rFont val="Arial"/>
            <scheme val="minor"/>
          </rPr>
          <t>======
ID#AAABww-7i1I
arm m    (2025-10-10 07:15:22)
20/12/24 ทำฟันซีา18,36แล้ว,ตรวจค่าHCT 13/12/24 , 14/12/24 ขูดหินปูทั้งปาก, 12/12/24 ตรวจติดตามค่าไขมัน</t>
        </r>
      </text>
    </comment>
    <comment ref="AK14" authorId="0" shapeId="0" xr:uid="{00000000-0006-0000-0000-000015010000}">
      <text>
        <r>
          <rPr>
            <sz val="11"/>
            <color rgb="FF000000"/>
            <rFont val="Arial"/>
            <scheme val="minor"/>
          </rPr>
          <t>======
ID#AAABwwRdIXY
arm m    (2025-10-10 07:15:52)
19/12/25
Please see an internal medicine specialist regarding your elevated LDL-cholesterol. Ensure you provide an update on your LDL-cholesterol levels in the next 3 months. Also, monitor your blood pressure consistently and share the results with us within the upcoming three months. Note that for offshore assignments at CTEP, maintaining a blood pressure below 140/90 mmHg is a prerequisite.
------
ID#AAACEMDn_YA
arm m    (2026-07-29 03:43:24)
10/10/2025 Low health risk 
No additional recommendation.
------
ID#AAACFd30jKk
arm m    (2026-08-11 08:16:00)
30/7/2026 Pending 
Please see an Internal Medicine specialist regarding your high blood pressure and very high LDL-cholesterol. Kindly provide an update on your blood pressure within one month, and an update on your LDL-cholesterol within the next three months.Note: For offshore assignments at CTEP, maintaining a blood pressure below 140/90 mmHg is a prerequisite.</t>
        </r>
      </text>
    </comment>
    <comment ref="AK15" authorId="0" shapeId="0" xr:uid="{00000000-0006-0000-0000-00002A010000}">
      <text>
        <r>
          <rPr>
            <sz val="11"/>
            <color rgb="FF000000"/>
            <rFont val="Arial"/>
            <scheme val="minor"/>
          </rPr>
          <t>======
ID#AAABww-7i14
arm m    (2025-08-02 07:00:39)
No additional recommendation
------
ID#AAAB6h9GTRI
arm m    (2026-05-16 04:05:35)
7/8/2025
Please address the abnormal findings from your dental examination.</t>
        </r>
      </text>
    </comment>
    <comment ref="AH16" authorId="0" shapeId="0" xr:uid="{00000000-0006-0000-0000-000038010000}">
      <text>
        <r>
          <rPr>
            <sz val="11"/>
            <color rgb="FF000000"/>
            <rFont val="Arial"/>
            <scheme val="minor"/>
          </rPr>
          <t>======
ID#AAABww-7izk
arm m    (2025-09-16 09:26:02)
25/11/24-ตรวจรักษาไขมัน , ขูดหินปูนล่าง+เกลารากฟัน #36 ,37,38,47 แล้ว</t>
        </r>
      </text>
    </comment>
    <comment ref="AK16" authorId="0" shapeId="0" xr:uid="{00000000-0006-0000-0000-00003B010000}">
      <text>
        <r>
          <rPr>
            <sz val="11"/>
            <color rgb="FF000000"/>
            <rFont val="Arial"/>
            <scheme val="minor"/>
          </rPr>
          <t>======
ID#AAABww-7i44
arm m    (2025-09-16 09:26:18)
Moderate health risk
Please consult an internal medicine specialist for high LDL-cholesterol. Update your LDL-cholesterol and urine test results in the next 3 months.
------
ID#AAABww-7i48
arm m    (2025-11-22 03:07:37)
19/9/2025
Please consult an internal medicine specialist for high LDL-cholesterol. Update your LDL-cholesterol in the next 3 months.</t>
        </r>
      </text>
    </comment>
    <comment ref="AH17" authorId="0" shapeId="0" xr:uid="{00000000-0006-0000-0000-00000E000000}">
      <text>
        <r>
          <rPr>
            <sz val="11"/>
            <color rgb="FF000000"/>
            <rFont val="Arial"/>
            <scheme val="minor"/>
          </rPr>
          <t>======
ID#AAAB_nvJtQQ
arm m    (2026-07-10 03:09:32)
18-2-2026 ติดตามน้ำตาลไขมันกรดยูริในเลือด+ยา FBS 124 Uric 9.1 LDL146 Tri 181 มีนัดติดตามอีกสามเดือน</t>
        </r>
      </text>
    </comment>
    <comment ref="AK17" authorId="0" shapeId="0" xr:uid="{00000000-0006-0000-0000-000013000000}">
      <text>
        <r>
          <rPr>
            <sz val="11"/>
            <color rgb="FF000000"/>
            <rFont val="Arial"/>
            <scheme val="minor"/>
          </rPr>
          <t>======
ID#AAABww-7i6I
arm m    (2025-09-06 09:43:59)
25/12/2024
Low health risk
------
ID#AAABze1bOBk
arm m    (2026-02-19 06:38:58)
16/9/2025
Please consult an internal medicine specialist about your high uric acid levels. Also, please have your uric acid levels checked again in the next 3 months. Additionally, please adhere to a low sugar and carbohydrate diet due to your elevated fasting blood sugar levels.
------
ID#AAAB_nvJtQU
arm m    (2026-07-10 03:10:08)
19/2/2026 Moderate health risk Please continue treatment with your specialist, with particular attention to controlling your blood sugar levels. Kindly provide an update on your fasting blood sugar and uric acid levels within the next three months.</t>
        </r>
      </text>
    </comment>
    <comment ref="AH18" authorId="0" shapeId="0" xr:uid="{00000000-0006-0000-0000-000021000000}">
      <text>
        <r>
          <rPr>
            <sz val="11"/>
            <color rgb="FF000000"/>
            <rFont val="Arial"/>
            <scheme val="minor"/>
          </rPr>
          <t>======
ID#AAABww-7iu8
arm m    (2025-10-01 07:14:41)
18/1/2025 ไขมันไตรกลีเซอไรด์=124 , ขูดหินปูนแล้ว19/10/24</t>
        </r>
      </text>
    </comment>
    <comment ref="AK18" authorId="0" shapeId="0" xr:uid="{00000000-0006-0000-0000-000024000000}">
      <text>
        <r>
          <rPr>
            <sz val="11"/>
            <color rgb="FF000000"/>
            <rFont val="Arial"/>
            <scheme val="minor"/>
          </rPr>
          <t>======
ID#AAABww-7iv0
arm m    (2025-10-01 07:15:06)
21/1/2025
Low health risk
------
ID#AAAByzM7lb8
arm m    (2026-02-05 01:22:24)
2/10/2026
Please consult an endocrinologist for management of weight reduction, elevated triglyceride levels, and high liver enzyme levels. Kindly provide updates on your body weight, triglycerides, and liver enzyme levels within the next 3 months. Please note that all offshore workforce assigned to CTEP must maintain a BMI below 35.
------
ID#AAABzy9yrxU
arm m    (2026-02-06 02:18:51)
5/2/2026
As previously recommended on 2 October 2025, please provide your current BMI or body weight.
------
ID#AAAB6HIuUk4
arm m    (2026-05-12 01:07:08)
6/2/2026
Please consult an endocrinologist for assistance with weight reduction and high liver enzyme levels. Kindly provide updates on your body weight and liver enzymes in 3 months. (Note: For offshore work at CTEP, only individuals with a BMI less than 35 are accepted.)</t>
        </r>
      </text>
    </comment>
    <comment ref="AH19" authorId="0" shapeId="0" xr:uid="{00000000-0006-0000-0000-000034000000}">
      <text>
        <r>
          <rPr>
            <sz val="11"/>
            <color rgb="FF000000"/>
            <rFont val="Arial"/>
            <scheme val="minor"/>
          </rPr>
          <t>======
ID#AAABxQwVlm4
arm m    (2025-12-09 02:19:45)
15/12/24 ถอนฟันซี่36แล้ว</t>
        </r>
      </text>
    </comment>
    <comment ref="AK19" authorId="0" shapeId="0" xr:uid="{00000000-0006-0000-0000-000037000000}">
      <text>
        <r>
          <rPr>
            <sz val="11"/>
            <color rgb="FF000000"/>
            <rFont val="Arial"/>
            <scheme val="minor"/>
          </rPr>
          <t>======
ID#AAABxQwVlm8
arm m    (2025-12-09 02:21:12)
18/12/2024
Please continue to receive dental treatment for dental caries no.46 before the next shift and update us on your medical certificate.</t>
        </r>
      </text>
    </comment>
    <comment ref="AH20" authorId="0" shapeId="0" xr:uid="{00000000-0006-0000-0000-000044000000}">
      <text>
        <r>
          <rPr>
            <sz val="11"/>
            <color rgb="FF000000"/>
            <rFont val="Arial"/>
            <scheme val="minor"/>
          </rPr>
          <t>======
ID#AAAB9BKCl70
arm m    (2026-06-09 08:25:57)
25/11/2025 อุดฟัน#47</t>
        </r>
      </text>
    </comment>
    <comment ref="AK20" authorId="0" shapeId="0" xr:uid="{00000000-0006-0000-0000-000048000000}">
      <text>
        <r>
          <rPr>
            <sz val="11"/>
            <color rgb="FF000000"/>
            <rFont val="Arial"/>
            <scheme val="minor"/>
          </rPr>
          <t>======
ID#AAABww-7i5A
arm m    (2025-06-25 06:24:54)
Please provide the results of abnormal chest x-ray, abnormal urine test, address the abnormal findings from your dental examination and receive dental treatment before going offshore. Please monitor your blood pressure and provide a follow-up report in the next 3 months. Note: For offshore assignments at CTEP, only individuals with a blood pressure below 140/90 mmHg are eligible.
------
ID#AAABw3Gie68
arm m    (2025-11-29 07:13:46)
7/8/2025
Please address the abnormal findings (47 dental caries) from your dental examination before going offshore. Additionally, please focus on reducing your weight.
------
ID#AAAB9BKCl74
arm m    (2026-06-09 08:26:22)
26/11/2025
Please focus on reducing your weight.</t>
        </r>
      </text>
    </comment>
    <comment ref="AK21" authorId="0" shapeId="0" xr:uid="{00000000-0006-0000-0000-00005A000000}">
      <text>
        <r>
          <rPr>
            <sz val="11"/>
            <color rgb="FF000000"/>
            <rFont val="Arial"/>
            <scheme val="minor"/>
          </rPr>
          <t>======
ID#AAABteFivA0
arm m    (2025-08-15 02:32:44)
16/6/2025
Please address the abnormal findings from your dental examination before going to offshore work.
------
ID#AAACEgKgSy4
arm m    (2026-07-30 07:25:27)
18/8/2025 Low health risk 
Please focus on reducing your weight.
------
ID#AAACE44U8eA
arm m    (2026-08-06 03:00:34)
3/8/2026 Pending 
Please address the abnormal findings from your dental examination before going to offshore work. Please focus on reducing your weight</t>
        </r>
      </text>
    </comment>
    <comment ref="AH22" authorId="0" shapeId="0" xr:uid="{00000000-0006-0000-0000-000069000000}">
      <text>
        <r>
          <rPr>
            <sz val="11"/>
            <color rgb="FF000000"/>
            <rFont val="Arial"/>
            <scheme val="minor"/>
          </rPr>
          <t>======
ID#AAABww-7ir0
arm m    (2025-10-06 09:57:06)
23/02/2025 ทำฟัน#27 , 8/12/2024 ถอนฟัน #17</t>
        </r>
      </text>
    </comment>
    <comment ref="AK22" authorId="0" shapeId="0" xr:uid="{00000000-0006-0000-0000-00006D000000}">
      <text>
        <r>
          <rPr>
            <sz val="11"/>
            <color rgb="FF000000"/>
            <rFont val="Arial"/>
            <scheme val="minor"/>
          </rPr>
          <t>======
ID#AAABww-7i1M
arm m    (2025-09-10 01:45:39)
16/6/2025
Please address the abnormal findings from your dental examination before going to offshore work.</t>
        </r>
      </text>
    </comment>
    <comment ref="AH23" authorId="0" shapeId="0" xr:uid="{00000000-0006-0000-0000-00007E000000}">
      <text>
        <r>
          <rPr>
            <sz val="11"/>
            <color rgb="FF000000"/>
            <rFont val="Arial"/>
            <scheme val="minor"/>
          </rPr>
          <t>======
ID#AAABww-7iwo
arm m    (2025-10-02 06:20:30)
16/8/25 ทำการขูดหินปูน ขัดฟันแล้ว</t>
        </r>
      </text>
    </comment>
    <comment ref="AK23" authorId="0" shapeId="0" xr:uid="{00000000-0006-0000-0000-000080000000}">
      <text>
        <r>
          <rPr>
            <sz val="11"/>
            <color rgb="FF000000"/>
            <rFont val="Arial"/>
            <scheme val="minor"/>
          </rPr>
          <t>======
ID#AAABww-7isI
arm m    (2025-10-02 06:21:12)
18/8/2025
Low health risk
------
ID#AAABxWzVCBE
arm m    (2026-01-07 03:04:08)
27/10/2025
You are approved only for light duty offshore work. An annual EKG is required annually, and regular follow-up with your physician is recommended. Please consult an internal medicine specialist regarding your high triglycerides. It would also be beneficial for you to work on reducing your weight. Kindly ensure that your triglycerides are checked again within the next 3 months.
------
ID#AAAByY_L0TY
arm m    (2026-01-12 01:32:19)
7/1/2025
You are approved only for light duty offshore work. An annual EKG is required annually, and regular follow-up with your physician is recommended. Please consult an internal medicine specialist regarding your high triglycerides. It would also be beneficial for you to work on reducing your weight. Kindly ensure that your triglycerides are checked again within the next 6 months.
------
ID#AAAB9f8gbCU
arm m    (2026-06-13 10:00:36)
9/1/2026
You are approved only for light duty offshore work. An annual EKG is required annually, and regular follow-up with your physician is recommended. Please consult an internal medicine specialist regarding your high triglycerides. It would also be beneficial for you to work on reducing your weight. Kindly ensure that your triglycerides are checked again within the next 6 months.</t>
        </r>
      </text>
    </comment>
    <comment ref="AH24" authorId="0" shapeId="0" xr:uid="{00000000-0006-0000-0000-00008F000000}">
      <text>
        <r>
          <rPr>
            <sz val="11"/>
            <color rgb="FF000000"/>
            <rFont val="Arial"/>
            <scheme val="minor"/>
          </rPr>
          <t>======
ID#AAAB-0lNKdM
arm m    (2026-07-08 09:26:59)
22/11/2025 ถอนฟัน#26 19/11/2025 ความดันโลหิตช135/88 21/8/25 อุดฟัน#46</t>
        </r>
      </text>
    </comment>
    <comment ref="AK24" authorId="0" shapeId="0" xr:uid="{00000000-0006-0000-0000-000093000000}">
      <text>
        <r>
          <rPr>
            <sz val="11"/>
            <color rgb="FF000000"/>
            <rFont val="Arial"/>
            <scheme val="minor"/>
          </rPr>
          <t>======
ID#AAABteFivBw
arm m    (2025-08-20 08:52:40)
16/6/2025
Please address the abnormal findings from your dental examination before going to offshore work.
------
ID#AAABteFivB0
arm m    (2025-11-24 07:15:33)
25/8/2025
Before going offshore next 2 shifts, please provide progress of treatment for tooth. (26 แนะนำรักษารากฟัน หรือถอนฟัน)
Please monitor your blood pressure and provide a follow-up report in the next 3 months. Note: For offshore assignments at CTEP, only individuals with a blood pressure below 140/90 mmHg are eligible.
------
ID#AAAB-0lNKdQ
arm m    (2026-07-08 09:27:31)
24/11/2025 Low health risk 
Please adhere to a low sugar and carbohydrate diet due to your elevated fasting blood sugar levels
------
ID#AAACDpUZ12g
arm m    (2026-07-22 02:53:13)
9/7/2026 Moderate health risk Please consult an internal medicine specialist for management of your high triglyceride levels. Focus on weight reduction. Please address the abnormal findings from your dental examination. Kindly provide an updated triglyceride result within 6 months.</t>
        </r>
      </text>
    </comment>
    <comment ref="AH25" authorId="0" shapeId="0" xr:uid="{00000000-0006-0000-0000-0000A4000000}">
      <text>
        <r>
          <rPr>
            <sz val="11"/>
            <color rgb="FF000000"/>
            <rFont val="Arial"/>
            <scheme val="minor"/>
          </rPr>
          <t>======
ID#AAAB3yWrvxE
arm m    (2026-04-21 03:04:45)
13/11/2025 อุดฟัน#36</t>
        </r>
      </text>
    </comment>
    <comment ref="AK25" authorId="0" shapeId="0" xr:uid="{00000000-0006-0000-0000-0000A8000000}">
      <text>
        <r>
          <rPr>
            <sz val="11"/>
            <color rgb="FF000000"/>
            <rFont val="Arial"/>
            <scheme val="minor"/>
          </rPr>
          <t>======
ID#AAABww-7i4s
arm m    (2025-11-25 02:22:37)
10/10/2025
Please address the abnormal findings from your dental examination (dental caries #17, #36) before going offshore. Please consult an endocrinologist for weight reduction. Also, please follow a controlled diet to manage high uric acid levels. Update on your BMI within 6 months. (For offshore work at CTEP, only individuals with a BMI less than 35 are accepted.)
------
ID#AAAB3yWrvxI
arm m    (2026-04-21 03:05:22)
25/11/2025
Please consult an endocrinologist for weight reduction. Also, please follow a controlled diet to manage high uric acid levels. Update on your BMI within 6 months. (For offshore work at CTEP, only individuals with a BMI less than 35 are accepted.)</t>
        </r>
      </text>
    </comment>
    <comment ref="AH26" authorId="0" shapeId="0" xr:uid="{00000000-0006-0000-0000-0000B6000000}">
      <text>
        <r>
          <rPr>
            <sz val="11"/>
            <color rgb="FF000000"/>
            <rFont val="Arial"/>
            <scheme val="minor"/>
          </rPr>
          <t>======
ID#AAAB9x_nprM
arm m    (2026-06-18 01:32:05)
9/8/2025 ได้รับรกษาฟัน</t>
        </r>
      </text>
    </comment>
    <comment ref="AK26" authorId="0" shapeId="0" xr:uid="{00000000-0006-0000-0000-0000BA000000}">
      <text>
        <r>
          <rPr>
            <sz val="11"/>
            <color rgb="FF000000"/>
            <rFont val="Arial"/>
            <scheme val="minor"/>
          </rPr>
          <t>======
ID#AAABww-7irg
arm m    (2025-09-02 09:26:47)
11/8/2025
Please address the abnormal findings from your dental examination (#47) before going to offshore work.
------
ID#AAAB9x_nprI
arm m    (2026-06-18 01:27:52)
29/8/2025 Low health risk
Please control your diet to decrease your slightly elevated uric acid levels.
------
ID#AAAB-l7MKcc
arm m    (2026-06-26 06:50:29)
20/6/2026 Pending 
Please receive dental treatment by filling tooth # 34,35 then submit medical certificate before going offshore. 
Additionally, please control your diet to decrease high uric acid levels.</t>
        </r>
      </text>
    </comment>
    <comment ref="AH27" authorId="0" shapeId="0" xr:uid="{00000000-0006-0000-0000-0000CA000000}">
      <text>
        <r>
          <rPr>
            <sz val="11"/>
            <color rgb="FF000000"/>
            <rFont val="Arial"/>
            <scheme val="minor"/>
          </rPr>
          <t>======
ID#AAAB8DPsB8o
arm m    (2026-05-28 02:39:43)
13/2/2026 TG=418 , LDL=143 , น้ำตาล=102 , กรดยูริค=8.38 6/11/2025 TG=579+ยา (มีนัดตรวจติดตามอีก2เดือน)</t>
        </r>
      </text>
    </comment>
    <comment ref="AK27" authorId="0" shapeId="0" xr:uid="{00000000-0006-0000-0000-0000CE000000}">
      <text>
        <r>
          <rPr>
            <sz val="11"/>
            <color rgb="FF000000"/>
            <rFont val="Arial"/>
            <scheme val="minor"/>
          </rPr>
          <t>======
ID#AAABww-7i3o
arm m    (2025-08-14 11:37:35)
25/12/2024
Please provide us on the update once you've followed up on 18 March 2025. It is also recommended that you undertake weight reduction and control diet for high uric acid level. Ensure to monitor and report your triglyceride levels in the next 3 months.
------
ID#AAABww-7i3s
arm m    (2025-09-29 01:20:13)
15/8/2025
Please send us the results of abnormal urine test before going offshore. Additionally, please consult an internal medicine specialist regarding your high triglycerides. It would also be beneficial for you to work on reducing your weight. Kindly ensure that your triglycerides are checked again within the next 3 months.
------
ID#AAABww-7i3w
arm m    (2025-11-07 09:22:11)
27/9/2025
Please consult with an internal medicine specialist regarding your high triglycerides. Additionally, it would be beneficial to reduce your weight. Kindly ensure that your triglyceride levels are rechecked within the next 3 months.
------
ID#AAAB0d6PKRc
arm m    (2026-02-17 04:29:13)
7/11/2025
Please continue your treatment for high triglycerides with your doctor. Additionally, it would be beneficial to reduce your weight. Kindly ensure that your triglyceride levels are rechecked within the next 3 months.
------
ID#AAAB8DPsB8s
arm m    (2026-05-28 02:40:05)
16/2/2026
Please continue treatment for high triglycerides with your doctor. Additionally, weight reduction would be beneficial. Dietary control is advised for your elevated uric acid level. Kindly ensure that your triglyceride and uric acid levels are rechecked within the next 3 months.
------
ID#AAACEzfTsUg
arm m    (2026-08-04 10:27:16)
29/5/2026 High health risk Please consult an internal medicine specialist for your high blood pressure. Additionally, please focus on weight reduction and continue treatment for fatty liver with the specialist. Update your blood pressure within 3 months. Note: For offshore assignments at CTEP, eligibility is limited to individuals with a blood pressure below 140/90 mmHg.</t>
        </r>
      </text>
    </comment>
    <comment ref="AH28" authorId="0" shapeId="0" xr:uid="{00000000-0006-0000-0000-0000DE000000}">
      <text>
        <r>
          <rPr>
            <sz val="11"/>
            <color rgb="FF000000"/>
            <rFont val="Arial"/>
            <scheme val="minor"/>
          </rPr>
          <t>======
ID#AAAB84FygJ4
arm m    (2026-06-05 07:14:27)
22/10/25ตรวจติดตามค่าTrig.=137</t>
        </r>
      </text>
    </comment>
    <comment ref="AK28" authorId="0" shapeId="0" xr:uid="{00000000-0006-0000-0000-0000E2000000}">
      <text>
        <r>
          <rPr>
            <sz val="11"/>
            <color rgb="FF000000"/>
            <rFont val="Arial"/>
            <scheme val="minor"/>
          </rPr>
          <t>======
ID#AAABww-7i4Y
arm m    (2025-08-02 07:18:15)
21/4/2025
Please continue your diabetes treatment with a specialist and prioritize weight reduction.
------
ID#AAABww-7i4c
Saisuda T    (2025-11-17 08:30:14)
7/8/25 : Please consult an internal medicine specialist regarding your high triglycerides. It would also be beneficial for you to work on reducing your weight. Kindly ensure that your triglycerides are checked again within the next 3 months. Additionally, please continue your treatment for diabetes with your doctor.
------
ID#AAAB84FygJ8
arm m    (2026-06-05 07:15:04)
24/10/2025
It would also be beneficial for you to work on reducing your weight. Additionally, please continue your treatment for diabetes with your doctor.
------
ID#AAACEMDn_Xo
arm m    (2026-07-29 02:02:45)
7/6/2026 Moderate health risk Please continue your diabetic treatment with your doctor and focus on weight reduction. Additionally, update your triglyceride level in the next 3 months.</t>
        </r>
      </text>
    </comment>
    <comment ref="AH29" authorId="0" shapeId="0" xr:uid="{00000000-0006-0000-0000-0000F3000000}">
      <text>
        <r>
          <rPr>
            <sz val="11"/>
            <color rgb="FF000000"/>
            <rFont val="Arial"/>
            <scheme val="minor"/>
          </rPr>
          <t>======
ID#AAABww-7i6A
arm m    (2025-10-30 10:38:49)
30/1/2025 ตรวจไขมันLDL=110 , TG=153 , 4/11/24 ทำฟันซี่25แล้วตรวจติดตาม1/11/24 ตรวจความดันได้ 131/85,EKG ผลปกติ ,ตรวจไขมัน ผลไขมันสูง ได้รับยาลดไขมัน</t>
        </r>
      </text>
    </comment>
    <comment ref="AK29" authorId="0" shapeId="0" xr:uid="{00000000-0006-0000-0000-0000F6000000}">
      <text>
        <r>
          <rPr>
            <sz val="11"/>
            <color rgb="FF000000"/>
            <rFont val="Arial"/>
            <scheme val="minor"/>
          </rPr>
          <t>======
ID#AAABww-7ix8
arm m    (2025-10-30 10:39:06)
31/1/2025
Low health risk
------
ID#AAABww-7iyA
arm m    (2025-11-03 04:03:40)
31/10/2025
Please receive dental treatment by filling #36. 
Please check and record home blood pressure for 7 days and send the result before going offshore.</t>
        </r>
      </text>
    </comment>
    <comment ref="AH30" authorId="0" shapeId="0" xr:uid="{00000000-0006-0000-0000-000007010000}">
      <text>
        <r>
          <rPr>
            <sz val="11"/>
            <color rgb="FF000000"/>
            <rFont val="Arial"/>
            <scheme val="minor"/>
          </rPr>
          <t>======
ID#AAAB7t90jzc
arm m    (2026-06-11 01:14:45)
23/4/2026 อุดฟัน#36,27 , 28/1/26 ติอดตามค่าUricAcid=7.0 / 7/8/2025 ปัสสาวะ=ปกติ , 7/8/25 ติดตาม Uric Acid=7.2 ,25/6/25ตรวจความดันได้115/83 , 13/6/2025 อุดฟัน#25, 24/3/25 Uric Acid=7.2</t>
        </r>
      </text>
    </comment>
    <comment ref="AK30" authorId="0" shapeId="0" xr:uid="{00000000-0006-0000-0000-00000B010000}">
      <text>
        <r>
          <rPr>
            <sz val="11"/>
            <color rgb="FF000000"/>
            <rFont val="Arial"/>
            <scheme val="minor"/>
          </rPr>
          <t>======
ID#AAABwwRdIYY
arm m    (2025-06-28 08:44:09)
25/12/2024
Please follow-up urine test with your doctor and receive dental treatment for tooth no. 36 within 3 months. It would also be beneficial for you to work on reducing your weight.
------
ID#AAAB7t90jzg
arm m    (2026-06-11 01:15:23)
27/6/2025
Please reduce your weight and control your diet to decrease your slightly elevated uric acid levels.
------
ID#AAAB8IMkbL8
arm m    (2026-06-15 08:15:15)
13/6/2026
Please receive dental treatment by filling #26 then submit medical certificate to us before going offshore.</t>
        </r>
      </text>
    </comment>
    <comment ref="AH31" authorId="0" shapeId="0" xr:uid="{00000000-0006-0000-0000-00001C010000}">
      <text>
        <r>
          <rPr>
            <sz val="11"/>
            <color rgb="FF000000"/>
            <rFont val="Arial"/>
            <scheme val="minor"/>
          </rPr>
          <t>======
ID#AAAB0BHFBIA
arm m    (2026-02-09 07:34:50)
25/9/2025 TG=52 , LDL=130 23/9/2025 ผ่าฟันคุด#48 13/1/2025 อุดฟัน#11,12,26</t>
        </r>
      </text>
    </comment>
    <comment ref="AK31" authorId="0" shapeId="0" xr:uid="{00000000-0006-0000-0000-00001F010000}">
      <text>
        <r>
          <rPr>
            <sz val="11"/>
            <color rgb="FF000000"/>
            <rFont val="Arial"/>
            <scheme val="minor"/>
          </rPr>
          <t>======
ID#AAAB12WJnQw
arm m    (2026-03-20 01:30:58)
10/2/2026
Please receive dental treatment by filling # 18,37,47 then submit medical certificate before going offshore</t>
        </r>
      </text>
    </comment>
    <comment ref="AK32" authorId="0" shapeId="0" xr:uid="{00000000-0006-0000-0000-000030010000}">
      <text>
        <r>
          <rPr>
            <sz val="11"/>
            <color rgb="FF000000"/>
            <rFont val="Arial"/>
            <scheme val="minor"/>
          </rPr>
          <t>======
ID#AAABww-7i5s
arm m    (2025-11-25 02:14:48)
7/8/2025
Please address the abnormal findings (ฟันผุลึก 15,17,18,26 รากฟันค้างในเหงือก 37,38) from your dental examination.Please control your diet to decrease high uric acid levels.
------
ID#AAABw3Gie7A
arm m    (2025-11-29 07:18:32)
25/11/2025
Please continue treatment for your remaining dental issues (teeth 15, 17, 18, 37, 38), follow up on the abnormal dental findings, maintain a diet to help control your high uric acid level, and kindly provide updates on your blood pressure and dental treatment progress within the next 3 months, noting that all offshore personnel working for CTEP must maintain blood pressure below 140/90 mmHg.
------
ID#AAAB2h_asKM
arm m    (2026-03-26 06:26:29)
26/11/2025
Please continue treatment for your remaining dental issues (teeth 15, 17, 18, 37), follow up on the abnormal dental findings, maintain a diet to help control your high uric acid level, and kindly provide updates on your blood pressure and dental treatment progress within the next 3 months, noting that all offshore personnel working for CTEP must maintain blood pressure below 140/90 mmHg.</t>
        </r>
      </text>
    </comment>
    <comment ref="AH33" authorId="0" shapeId="0" xr:uid="{00000000-0006-0000-0000-000002000000}">
      <text>
        <r>
          <rPr>
            <sz val="11"/>
            <color rgb="FF000000"/>
            <rFont val="Arial"/>
            <scheme val="minor"/>
          </rPr>
          <t>======
ID#AAABxYAr4O4
arm m    (2026-01-08 09:35:54)
11/10/25 Trgi=181.5,SGOT59,SGPT92,LDL168.8 และได้ขูดหินปูนทั้งปากแล้ว</t>
        </r>
      </text>
    </comment>
    <comment ref="AK33" authorId="0" shapeId="0" xr:uid="{00000000-0006-0000-0000-000006000000}">
      <text>
        <r>
          <rPr>
            <sz val="11"/>
            <color rgb="FF000000"/>
            <rFont val="Arial"/>
            <scheme val="minor"/>
          </rPr>
          <t>======
ID#AAABwwRdIYU
Saisuda T    (2025-10-14 01:06:55)
8/9/25 : Pending :Please consult an internal medicine specialist due to your elevated triglyceride, liver enzyme, and uric acid levels. 
Ensure to monitor and report your triglyceride, liver enzyme, and uric acid levels before going offshore. Please receive dental treatment and submit medical certificate before going offshore as well.
------
ID#AAABxYAr4O0
arm m    (2026-01-08 09:35:26)
14/10/2025
Due to elevated liver enzyme levels, please consult a gastroenterologist for evaluation, seek medical advice regarding your high LDL-cholesterol, focus on weight reduction to address overweight status, continue managing your slightly elevated uric acid level, and kindly provide updated results for liver enzymes, LDL-cholesterol, and a medical certificate confirming specialist consultations within the next 3 months.
------
ID#AAAB3JHQC8c
arm m    (2026-04-10 07:41:08)
9/1/2026
Please consult an internal medicine specialist due to your very high LDL-cholesterol levels, elevated triglycerides, significantly raised liver enzymes, and high uric acid levels. Additionally, follow a controlled, low-sugar, low-carbohydrate diet and aim for weight reduction to help manage elevated fasting blood sugar levels. Over the next 3 months, kindly update us on your LDL-cholesterol, triglyceride, liver enzyme, and uric acid levels. Please address the abnormal findings from your dental examination.
------
ID#AAAB-0h4tcE
arm m    (2026-07-08 02:05:47)
10/4/2026 High health risk Please consult an internal medicine specialist due to your elevated triglyceride, very high liver enzyme, and uric acid levels. Ensure to monitor and report your triglyceride, liver enzyme, and uric acid levels over the next 3 months. We also recommend making efforts to reduce your weight.</t>
        </r>
      </text>
    </comment>
    <comment ref="AH34" authorId="0" shapeId="0" xr:uid="{00000000-0006-0000-0000-000017000000}">
      <text>
        <r>
          <rPr>
            <sz val="11"/>
            <color rgb="FF000000"/>
            <rFont val="Arial"/>
            <scheme val="minor"/>
          </rPr>
          <t>======
ID#AAABxYAr4PE
arm m    (2026-01-08 09:45:32)
25/11/2025 ถอนฟัน#18, #26ฟันไม่เป็นอะไร 25/11/2025 LDL=183, SGPT=33 21/8/25 ตรวจติดตามกรดยูริคสูง ,ไขมันสูง แพทย์แนะนำปรับพฤติกรรม ไม่ให้ยา</t>
        </r>
      </text>
    </comment>
    <comment ref="AK34" authorId="0" shapeId="0" xr:uid="{00000000-0006-0000-0000-00001B000000}">
      <text>
        <r>
          <rPr>
            <sz val="11"/>
            <color rgb="FF000000"/>
            <rFont val="Arial"/>
            <scheme val="minor"/>
          </rPr>
          <t>======
ID#AAABw3Gie7I
arm m    (2025-11-29 07:38:20)
13/11/2025
1. Please receive dental treatment for ฟันผุลึก #18 , รากฟันค้างในเหงือ#26, และ treatment for #17O,11M,47O,B and submit medical certificate before going offshore. 
2. Please follow up to recheck LDL cholesterol , liver enzyme (SGPT) and submit result before going offshore.
------
ID#AAABxYAr4PA
arm m    (2026-01-08 09:45:12)
28/11/2025
Please continue your dental treatment for teeth #17O, #11M, #47O, and submit a medical certificate before your next shift. Kindly update your body weight, LDL cholesterol, and uric acid levels within the next 3 months
------
ID#AAAByY_L0TI
arm m    (2026-01-12 01:13:23)
9/1/2026
Please address the abnormal dental findings related to dental caries before going offshore. In addition, please consult an internal medicine specialist due to your elevated triglycerides, high liver enzymes, and high uric acid levels. Additionally, follow a controlled, low-sugar, low-carbohydrate diet and aim for weight reduction to help manage elevated fasting blood sugar levels. Over the next 3 months, kindly update us on your triglyceride, liver enzyme, and uric acid levels.
------
ID#AAAB1q9w0ug
arm m    (2026-03-12 06:17:18)
9/1/2026
Please continue to address the abnormal dental findings related to dental caries before yhe next shift. In addition, please consult an internal medicine specialist due to your elevated triglycerides, high liver enzymes, and high uric acid levels. Additionally, follow a controlled, low-sugar, low-carbohydrate diet and aim for weight reduction to help manage elevated fasting blood sugar levels. Over the next 3 months, kindly update us on your blood pressure, triglyceride, liver enzyme, and uric acid levels.
------
ID#AAAB6c7hJWM
arm m    (2026-05-14 08:33:55)
12/3/2026
Please consult with an internal medicine specialist regarding your high blood pressure, elevated liver enzymes, and high uric acid levels. Weight reduction is strongly recommended as part of your management plan. 
Kindly provide an update on your blood pressure, liver enzyme, and uric acid results within the next 3months. Please note that for offshore positions at CTEP, eligibility requires a blood pressure reading below 140/90 mmHg.</t>
        </r>
      </text>
    </comment>
    <comment ref="AH35" authorId="0" shapeId="0" xr:uid="{00000000-0006-0000-0000-000029000000}">
      <text>
        <r>
          <rPr>
            <sz val="11"/>
            <color rgb="FF000000"/>
            <rFont val="Arial"/>
            <scheme val="minor"/>
          </rPr>
          <t>======
ID#AAAB1-XJJTc
arm m    (2026-03-17 03:11:28)
24/11/2025 TG=464 น้ำตาล=90 ความดันโลหิต=137/84</t>
        </r>
      </text>
    </comment>
    <comment ref="AK35" authorId="0" shapeId="0" xr:uid="{00000000-0006-0000-0000-00002E000000}">
      <text>
        <r>
          <rPr>
            <sz val="11"/>
            <color rgb="FF000000"/>
            <rFont val="Arial"/>
            <scheme val="minor"/>
          </rPr>
          <t>======
ID#AAABww-7iyU
arm m    (2025-11-25 02:17:13)
1/8/2025
Please consult an internal medicine specialist for very high LDL-cholesterol. Update your LDL-cholesterol within the next 3 months.
------
ID#AAAB1-XJJTg
arm m    (2026-03-17 03:11:56)
25/11/2025
Please continue treatment for your hyperlipidemia under your doctor’s guidance, and kindly update your LDL cholesterol and triglyceride levels within the next 3 months.</t>
        </r>
      </text>
    </comment>
    <comment ref="AH36" authorId="0" shapeId="0" xr:uid="{00000000-0006-0000-0000-00003A000000}">
      <text>
        <r>
          <rPr>
            <sz val="11"/>
            <color rgb="FF000000"/>
            <rFont val="Arial"/>
            <scheme val="minor"/>
          </rPr>
          <t>======
ID#AAAB2vCtk24
arm m    (2026-04-09 02:22:36)
อุดฟัน #45,87</t>
        </r>
      </text>
    </comment>
    <comment ref="AK36" authorId="0" shapeId="0" xr:uid="{00000000-0006-0000-0000-00003D000000}">
      <text>
        <r>
          <rPr>
            <sz val="11"/>
            <color rgb="FF000000"/>
            <rFont val="Arial"/>
            <scheme val="minor"/>
          </rPr>
          <t>======
ID#AAAB2vCtk20
arm m    (2026-04-09 02:21:54)
1/8/2025
No additional recommendation.</t>
        </r>
      </text>
    </comment>
    <comment ref="AH37" authorId="0" shapeId="0" xr:uid="{00000000-0006-0000-0000-00004C000000}">
      <text>
        <r>
          <rPr>
            <sz val="11"/>
            <color rgb="FF000000"/>
            <rFont val="Arial"/>
            <scheme val="minor"/>
          </rPr>
          <t>======
ID#AAABySN9fgs
arm m    (2026-01-06 04:21:05)
29/01/2025 น้ำหนักตัว=89 Kg. , 21/12/24 น้ำหนกตัว91 Kg.,19/12/24 กรดยูริก=7.0 , 18/12/24ได้รับการรักษาเหงือกอักเสบ และเกลาฟันซี่#17#25 มีนัดรักษาฟันต่อ22/1/25
------
ID#AAABxWfq7iA
arm m    (2026-01-07 01:31:57)
5/1/2026 น้ำหนัก= 91.5</t>
        </r>
      </text>
    </comment>
    <comment ref="AK37" authorId="0" shapeId="0" xr:uid="{00000000-0006-0000-0000-000051000000}">
      <text>
        <r>
          <rPr>
            <sz val="11"/>
            <color rgb="FF000000"/>
            <rFont val="Arial"/>
            <scheme val="minor"/>
          </rPr>
          <t>======
ID#AAABxWfq7iE
arm m    (2026-01-07 01:32:39)
31-1-2025 Please submit body weight next 3 months.
------
ID#AAAB2fhoIrY
Saisuda T    (2026-03-25 06:32:34)
7-1-2026 :High health risk:Please consult an endocrinologist for guidance on weight reduction. Due to high uric acid levels, it's recommended to maintain a controlled diet. 
Kindly provide updates on your body weight with medical certificate within the next 3 months. 
Please note that for offshore work at CTEP, only individuals with a BMI less than 35 are eligible.
------
ID#AAAB9x_npxk
arm m    (2026-06-18 08:10:09)
25/3/2026 High health risk Please continue to focus on weight reduction and dietary control to manage your mildly elevated uric acid level. Kindly provide an update on your body weight or BMI within the next 3 months.
Please note that all offshore workforce personnel working for CTEP are required to maintain a BMI of less than 35.
Please note that for offshore work at CTEP, only individuals with a BMI less than 35 are eligible.</t>
        </r>
      </text>
    </comment>
    <comment ref="AH38" authorId="0" shapeId="0" xr:uid="{00000000-0006-0000-0000-00005C000000}">
      <text>
        <r>
          <rPr>
            <sz val="11"/>
            <color rgb="FF000000"/>
            <rFont val="Arial"/>
            <scheme val="minor"/>
          </rPr>
          <t>======
ID#AAABww-7izs
arm m    (2025-09-25 04:32:48)
21/11/24 พนักงาติดตามค่าเลือดค่าไขมัน แพทย์ให้ติดตามทุก3-6เดือน,และมีนัดทำฟัน 2/12/24 , #38 ทำฟันแล้ว 28/11/2024</t>
        </r>
      </text>
    </comment>
    <comment ref="AK38" authorId="0" shapeId="0" xr:uid="{00000000-0006-0000-0000-000061000000}">
      <text>
        <r>
          <rPr>
            <sz val="11"/>
            <color rgb="FF000000"/>
            <rFont val="Arial"/>
            <scheme val="minor"/>
          </rPr>
          <t>======
ID#AAABww-7i2c
arm m    (2025-09-25 04:34:21)
16/6/2025
As previously recommended, please provide the current LDL-cholesterol levels and BMI.
------
ID#AAABww-7i2g
arm m    (2025-10-21 06:56:07)
25/9/2025
Please consult an internal medicine specialist regarding your elevated triglyceride levels. It is also recommended that you undertake weight reduction and follow a controlled diet to manage your high uric acid levels. Ensure to monitor and report your triglyceride levels within the next 3 months.
------
ID#AAABy3aK5PQ
arm m    (2026-01-20 02:17:56)
20/10/2025
Please consult an internal medicine specialist regarding your elevated triglyceride levels. It is also recommended that you undertake weight reduction and follow a controlled diet to manage your high uric acid levels. Ensure to monitor and report your triglyceride levels in Jan 2026.
------
ID#AAAB3JHQC8A
arm m    (2026-04-10 06:14:29)
16/1/2026
Please consult continue follow up regarding your elevated triglyceride levels. It is also recommended that you undertake weight reduction and follow a controlled diet to manage your high uric acid levels. 
Ensure to monitor and report your triglyceride levels within the next 3 months.
------
ID#AAAB_nvx4co
arm m    (2026-07-10 10:10:08)
10/4/2026 Moderate health risk Please continue treatment for your hyperlipidemia with your treating physician, with increased focus on weight reduction. Kindly provide an updated triglyceride level within the next three (3) months.</t>
        </r>
      </text>
    </comment>
    <comment ref="AH39" authorId="0" shapeId="0" xr:uid="{00000000-0006-0000-0000-000071000000}">
      <text>
        <r>
          <rPr>
            <sz val="11"/>
            <color rgb="FF000000"/>
            <rFont val="Arial"/>
            <scheme val="minor"/>
          </rPr>
          <t>======
ID#AAAB8qo7egM
arm m    (2026-06-02 06:52:47)
15/8/25 ทำการขูดหินปูนทั้งปากแล้ว</t>
        </r>
      </text>
    </comment>
    <comment ref="AK39" authorId="0" shapeId="0" xr:uid="{00000000-0006-0000-0000-000076000000}">
      <text>
        <r>
          <rPr>
            <sz val="11"/>
            <color rgb="FF000000"/>
            <rFont val="Arial"/>
            <scheme val="minor"/>
          </rPr>
          <t>======
ID#AAAB8qo7egQ
arm m    (2026-06-02 06:53:13)
18/8/2025
Please focus on a low sugar diet due to your rising fasting blood sugar
------
ID#AAAB9Awfz5Q
arm m    (2026-06-09 03:40:55)
4/6/2026
Please address the abnormal findings from your dental examination before going to offshore work. Please consult an internal medicine specialist regarding your high blood sugar result. If you already have diabetes, provide us with a history of your treatment. Kindly update us on your fasting blood sugar and HbA1c levels in 3 months.</t>
        </r>
      </text>
    </comment>
    <comment ref="AH40" authorId="0" shapeId="0" xr:uid="{00000000-0006-0000-0000-000082000000}">
      <text>
        <r>
          <rPr>
            <sz val="11"/>
            <color rgb="FF000000"/>
            <rFont val="Arial"/>
            <scheme val="minor"/>
          </rPr>
          <t>======
ID#AAABzbCgOtM
arm m    (2026-02-12 08:50:05)
19/11/2025 ขุดหินปูน , อุดฟัน#17</t>
        </r>
      </text>
    </comment>
    <comment ref="AK40" authorId="0" shapeId="0" xr:uid="{00000000-0006-0000-0000-000087000000}">
      <text>
        <r>
          <rPr>
            <sz val="11"/>
            <color rgb="FF000000"/>
            <rFont val="Arial"/>
            <scheme val="minor"/>
          </rPr>
          <t>======
ID#AAAB0PWwzo4
arm m    (2026-02-14 02:39:46)
20/11/2025
Please consult with an internal medicine specialist due to very high levels of LDL-cholesterol. Please control your diet to address the slightly increased uric acid level. Additionally, weight reduction is highly recommended.
Over the next 3 months, kindly provide updates on your LDL-cholesterol.
------
ID#AAAB0d6PKRs
arm m    (2026-02-17 04:34:46)
13/2/2026
Please receive dental treatment as dentist 's recommendation then submit medical certificate before going offshore. 
Additionally, please consult with an internal medicine specialist regarding your high blood pressure, high LDL-cholesterol, and high uric acid results. Weight reduction is strongly recommended as part of your management plan. Ensure to follow up on your blood pressure and provide updates on your LDL-cholesterol, and uric acid levels within the next 3 months. Note that for offshore positions at CTEP, eligibility requires a blood pressure below 140/90 mmHg.
------
ID#AAAB9tTv5VM
arm m    (2026-06-17 10:17:27)
17/2/2026 High health risk
Please continue appropriate dental treatment for the remaining abnormal findings identified during the dental examination. Please consult with an internal medicine specialist regarding your high blood pressure, high LDL-cholesterol, and high uric acid results. Weight reduction is strongly recommended as part of your management plan. Ensure to follow up on your blood pressure and provide updates on your LDL-cholesterol, and uric acid levels within the next 3 months. Note that for offshore positions at CTEP, eligibility requires a blood pressure below 140/90 mmHg.</t>
        </r>
      </text>
    </comment>
    <comment ref="AH41" authorId="0" shapeId="0" xr:uid="{00000000-0006-0000-0000-000097000000}">
      <text>
        <r>
          <rPr>
            <sz val="11"/>
            <color rgb="FF000000"/>
            <rFont val="Arial"/>
            <scheme val="minor"/>
          </rPr>
          <t>======
ID#AAAB8rUUWQ0
arm m    (2026-06-02 03:42:50)
29/7/2025 FBS=104 , ความดันโลหิต=134/88</t>
        </r>
      </text>
    </comment>
    <comment ref="AK41" authorId="0" shapeId="0" xr:uid="{00000000-0006-0000-0000-00009C000000}">
      <text>
        <r>
          <rPr>
            <sz val="11"/>
            <color rgb="FF000000"/>
            <rFont val="Arial"/>
            <scheme val="minor"/>
          </rPr>
          <t>======
ID#AAABteFiu_0
arm m    (2025-08-02 07:26:15)
Please focus on reducing your weight.
------
ID#AAABteFiu_4
arm m    (2025-08-14 09:47:21)
7/8/2025
Please send the result of abnormal urine test (UA) for review before going offshore. Additionally, please focus on reducing your weight.
------
ID#AAAB8rUUWQ4
arm m    (2026-06-02 03:43:22)
11/8/2025
Please focus on reducing your weight</t>
        </r>
      </text>
    </comment>
    <comment ref="AH42" authorId="0" shapeId="0" xr:uid="{00000000-0006-0000-0000-0000AD000000}">
      <text>
        <r>
          <rPr>
            <sz val="11"/>
            <color rgb="FF000000"/>
            <rFont val="Arial"/>
            <scheme val="minor"/>
          </rPr>
          <t>======
ID#AAABww-7i1o
arm m    (2025-10-14 01:42:13)
6/3/2025ตรวติดตามความดันได้130/73 , 25/12/24 วัดความดัน138/68 ถอนฟันซี่15แล้ว 28/9/24 ,ตรวจน้ำตรวจ27/9/24=101.2
------
ID#AAACE1m7vqI
arm m    (2026-08-06 06:44:16)
11/5/26 ติดตามค่า FBS=129.8 HbA1c=7.4 / 27/3/26 ติดตามค่า FBS=157(รับยาลดน้ำตาล ลดไขมัน) มีนัดอีก18/9/2613-2-2026/ ติดตามน้ำตาล=132 , ความดัน=128/70 15/10/25 ความดัน=139/76 +ยาลดน้ำตาลและไขมัน 7/10/25 พนักงานอุดฟันซี่16</t>
        </r>
      </text>
    </comment>
    <comment ref="AK42" authorId="0" shapeId="0" xr:uid="{00000000-0006-0000-0000-0000B1000000}">
      <text>
        <r>
          <rPr>
            <sz val="11"/>
            <color rgb="FF000000"/>
            <rFont val="Arial"/>
            <scheme val="minor"/>
          </rPr>
          <t>======
ID#AAABww-7iwY
arm m    (2025-10-14 01:42:43)
26/12/2024 
Low health risk
------
ID#AAABww-7iwc
arm m    (2025-10-16 04:28:12)
14/10/2025
Please consult an internal medicine specialist regarding your elevated blood pressure and ensure follow-up on your condition and treatment plan within one month. For offshore work at CTEP, only individuals with blood pressure below 140/90 mmHg are eligible. Additionally, please address any abnormal findings from your dental examination prior to your offshore assignment.
------
ID#AAAB0d6PKRk
arm m    (2026-02-17 04:32:13)
16/10/2025
Please continue treatment with an internal medicine specialist regarding your elevated blood pressure and Diabetes. 
Please follow up and update Blood pressure, Fasting blood sugar in next following up in Feb 2026.
------
ID#AAAB21D8BiM
arm m    (2026-03-31 01:16:17)
16/2/2026
Please continue management of hypertension and diabetes mellitus under the care of an internal medicine specialist. Follow-up monitoring of fasting blood sugar (FBS) and HbA1c is recommended within the next 3 months.
------
ID#AAAB6HaI8MI
arm m    (2026-05-12 02:20:56)
30/3/2026
Please consult an endocrinologist for your poorly controlled diabetes. Please update your FBS and HbA1c levels within the next 3 months.
------
ID#AAACE1m7vqM
arm m    (2026-08-06 06:44:55)
12-5-2026 Low health risk 
Please continue treatment for your diabetes with your doctor.</t>
        </r>
      </text>
    </comment>
    <comment ref="AK43" authorId="0" shapeId="0" xr:uid="{00000000-0006-0000-0000-0000C2000000}">
      <text>
        <r>
          <rPr>
            <sz val="11"/>
            <color rgb="FF000000"/>
            <rFont val="Arial"/>
            <scheme val="minor"/>
          </rPr>
          <t>======
ID#AAABww-7irc
arm m    (2025-08-01 07:33:20)
Please control your diet to decrease high uric acid levels.
------
ID#AAAB-nhbnug
arm m    (2026-06-27 08:29:30)
1/8/2026 Low health risk 
No additional recommendation.</t>
        </r>
      </text>
    </comment>
    <comment ref="AH44" authorId="0" shapeId="0" xr:uid="{00000000-0006-0000-0000-0000D2000000}">
      <text>
        <r>
          <rPr>
            <sz val="11"/>
            <color rgb="FF000000"/>
            <rFont val="Arial"/>
            <scheme val="minor"/>
          </rPr>
          <t>======
ID#AAACAACyQmc
arm m    (2026-07-14 10:02:42)
8/4/2026 ติดตามน้ำตาล FBS=168, HbA1c=8.2 มียารักษาและติดตามอีก 1/8/2026, ตรวจปัสสาวะ=ปกติ 8/1/26 ติดตามค่า FBS=171HbA1c=8.4 ใช้ยาในการรักษา / 25/11/2025 HbA1c=9.1 FBS161 LDL=132 17/11/25 HbA1c=11.6 FBS139 / 17/10/25 FBS=243 HbA1c=10.2 ได้ยาลดระดับน้ำตาล และมีนัดตรวจ16/12/25   26/7/2025 ขุดหินปูน,ขัดฟัน</t>
        </r>
      </text>
    </comment>
    <comment ref="AK44" authorId="0" shapeId="0" xr:uid="{00000000-0006-0000-0000-0000D7000000}">
      <text>
        <r>
          <rPr>
            <sz val="11"/>
            <color rgb="FF000000"/>
            <rFont val="Arial"/>
            <scheme val="minor"/>
          </rPr>
          <t>======
ID#AAABww-7iys
Saisuda T    (2025-10-21 01:13:10)
1/8/2025:High health risk: Please consult an endocrinologist for your poorly controlled diabetes. Please update your FBS and HbA1c levels within the next 3 months.
------
ID#AAABww-7iyw
Saisuda T    (2025-11-17 09:28:24)
20/10/25 : Due to poorly control of blood sugar, please continue treatment for your significantly elevated blood sugar levels. 
Kindly update us with your FBS and HbA1c results in next 2 weeks before going offshore.
------
ID#AAABw3Gie7E
arm m    (2025-11-29 07:24:30)
17/11/2025
Please continue treatment and following up for Diabetes condition. Kindly update us with your FBS and HbA1c results after following up on 16 Dec 2025.
Please control diet and exercise to reduce HbA1C.
------
ID#AAAByY_L0TM
arm m    (2026-01-12 01:21:37)
26/11/2025
Please consult an endocrinologist for your poorly controlled diabetes. Update on your FBS, HbA1c levels and urine test within the next 2 months.
------
ID#AAAB3Hsx_Bk
arm m    (2026-04-08 09:30:39)
9/1/2026
Please consult an endocrinologist for your poorly controlled diabetes. Update on your FBS, HbA1c levels and urine test within the next 3 months.
------
ID#AAACAACyQmQ
arm m    (2026-07-14 09:15:22)
8/4/2026 High health risk 
Please continue your diabetes treatment under the guidance of a specialist and make weight reduction a priority. Ensure you update your FBS and HbA1c levels within the next 3 months.</t>
        </r>
      </text>
    </comment>
    <comment ref="AH45" authorId="0" shapeId="0" xr:uid="{00000000-0006-0000-0000-0000E6000000}">
      <text>
        <r>
          <rPr>
            <sz val="11"/>
            <color rgb="FF000000"/>
            <rFont val="Arial"/>
            <scheme val="minor"/>
          </rPr>
          <t>======
ID#AAABteFivB4
arm m    (2025-09-15 09:12:31)
25/6/2025 LDL=136, Cholesterol=214 TG=445, ความดัน=130/85 ได้รับยาลดไขมันและมีนัดติดตามค่าไขมันอีกครั้ง30/9/25 / ตรวจติดตามกรดยูริกและไขมันในเลือด 2/12/24
------
ID#AAABteFivB8
Saisuda T    (2025-10-28 01:12:55)
12/9/25 นัดคิวรอครอบฟัน
------
ID#AAACEH5hDu4
arm m    (2026-07-27 08:00:44)
20/6/2026 อุดฟัน#27 9/12/2025 อุดฟัน#36 28/10/25ติดตามค่าUric=6.5 ,12/9/2025 #36 นัดครอบฟัน</t>
        </r>
      </text>
    </comment>
    <comment ref="AK45" authorId="0" shapeId="0" xr:uid="{00000000-0006-0000-0000-0000EB000000}">
      <text>
        <r>
          <rPr>
            <sz val="11"/>
            <color rgb="FF000000"/>
            <rFont val="Arial"/>
            <scheme val="minor"/>
          </rPr>
          <t>======
ID#AAABwwRdIXs
arm m    (2025-06-28 09:16:59)
Please consult with an internal medicine specialist for high blood pressure, very high LDL-cholesterol, high triglyceride, and high uric acid levels. Update on your blood pressure, LDL-cholesterol, triglyceride, uric acid results within 3 months. Focus on weight reduction due to being overweight.
------
ID#AAABwwRdIXw
arm m    (2025-09-15 09:12:57)
27/6/2025 
Please continue treatment for your hyperlipidemia and focus on diet control for your rising triglyceride levels. Continue with your weight reduction efforts. Please update your LDL-cholesterol, and triglyceride levels within the next 3 months.
------
ID#AAABwwRdIX0
arm m    (2025-09-22 06:21:29)
16/9/2025
Please submit the urine test report for review. Additionally, please reduce weight and control your diet to decrease high uric acid levels.
------
ID#AAABxR5M0_4
arm m    (2025-12-10 09:28:11)
19/9/2025
Please reduce weight and control your diet to decrease high uric acid levels. After completing dental treatment #36, please submit medical certificate.
------
ID#AAAB5DFt6CE
arm m    (2026-04-29 08:45:04)
10/12/2025
Please continue treatment for your hyperlipidemia and focus on weight reduction.
------
ID#AAACEH5hDu0
arm m    (2026-07-27 07:54:55)
29/4/2026 Pending 
In accordance with Chevron guidelines, he is temporarily unfit for offshore duties for a period of four months, until 26 July 2026. During this period, he is fit to work onshore with light-duty restrictions.
For the return-to-work process, please provide a fit-for-work certification from the cardiologist, together with the EST report.
Please note that if he is approved to return to offshore work, an offshore light-duty assignment will be recommended. Thank you very much.
------
ID#AAACEji6Kh8
arm m    (2026-08-03 07:06:59)
29/7/2026 Significant health risk (Coronary Artery Disease s/p PCI) 
Due to your heart disease, you can perform light work only, and please continue treatment with your cardiologist. You are required to provide an EST (Exercise Stress Test) annually. Please address the abnormal findings from your dental examination (26).</t>
        </r>
      </text>
    </comment>
    <comment ref="AH46" authorId="0" shapeId="0" xr:uid="{00000000-0006-0000-0000-0000FC000000}">
      <text>
        <r>
          <rPr>
            <sz val="11"/>
            <color rgb="FF000000"/>
            <rFont val="Arial"/>
            <scheme val="minor"/>
          </rPr>
          <t>======
ID#AAAB51IU9P8
arm m    (2026-05-07 02:22:26)
4/11/2025 ถอนฟันคุดซี่ที่#48</t>
        </r>
      </text>
    </comment>
    <comment ref="AK46" authorId="0" shapeId="0" xr:uid="{00000000-0006-0000-0000-000001010000}">
      <text>
        <r>
          <rPr>
            <sz val="11"/>
            <color rgb="FF000000"/>
            <rFont val="Arial"/>
            <scheme val="minor"/>
          </rPr>
          <t>======
ID#AAABww-7iz0
arm m    (2025-06-25 06:25:23)
Please continue your diabetes and hypertensive treatment with your doctor. Kindly update us on your fasting blood sugar (FBS) and blood pressure in the next 3 months.
------
ID#AAABww-7iz4
arm m    (2025-08-14 09:48:43)
7/8/25
Please send the result of abnormal urine test (UA) for review before going offshore. Additionally, please reduce weight and control your diet to decrease high uric acid levels, and continue your treatment for hypertension with your doctor.
------
ID#AAAB51IU9QA
arm m    (2026-05-07 02:22:53)
11/8/2025
Please continue treatment for your hypertension and monitor your blood sugar levels with your doctor. Additionally, focus on weight reduction and dietary control to help manage your slightly elevated uric acid levels.
------
ID#AAACE44U8eE
arm m    (2026-08-06 03:10:43)
12/5/2026 High health risk 
Please continue your diabetes and Hypertension treatment under the guidance of a specialist and make weight reduction a priority. Ensure you update your FBS and HbA1c levels and Blood pressure within the next 3 months.</t>
        </r>
      </text>
    </comment>
    <comment ref="AH47" authorId="0" shapeId="0" xr:uid="{00000000-0006-0000-0000-000010010000}">
      <text>
        <r>
          <rPr>
            <sz val="11"/>
            <color rgb="FF000000"/>
            <rFont val="Arial"/>
            <scheme val="minor"/>
          </rPr>
          <t>======
ID#AAAB5BZ8cQg
arm m    (2026-04-28 01:25:53)
12/3/2026 LDL=97 ไตรกลีเซอไรด์=232 7/11/25 ขูดหินปูน,ติดตามค่าไขมันTrig=234 / 16/8/2025 TG=163</t>
        </r>
      </text>
    </comment>
    <comment ref="AK47" authorId="0" shapeId="0" xr:uid="{00000000-0006-0000-0000-000014010000}">
      <text>
        <r>
          <rPr>
            <sz val="11"/>
            <color rgb="FF000000"/>
            <rFont val="Arial"/>
            <scheme val="minor"/>
          </rPr>
          <t>======
ID#AAABww-7ixE
arm m    (2025-06-04 04:24:30)
6/2/2025 Please follow-up and update on your triglyceride level in end of March 2025. It would also be beneficial for you to work on reducing your weight.
------
ID#AAABww-7ixI
arm m    (2025-11-10 08:44:38)
22/8/2025
Please consult with an internal medicine specialist regarding your high LDL-cholesterol levels, and strive to reduce your weight. Ensure to get your LDL-cholesterol levels rechecked in the next 3 months.
------
ID#AAAB1s3-u-Q
arm m    (2026-03-13 01:07:29)
10/11/2025
Please consult with an internal medicine specialist regarding your high LDL-cholesterol levels, high triglyceride and strive to reduce your weight. Ensure to get your LDL-cholesterol and triglyceride levels rechecked in the next 3 months.
------
ID#AAAB5BZ8cik
arm m    (2026-04-28 01:26:12)
12/3/2026
Please consult with an internal medicine specialist regarding your high triglyceride and strive to reduce your weight. Ensure to get your triglyceride levels rechecked in the next 3 months.
------
ID#AAAB5phllGQ
arm m    (2026-05-05 07:11:59)
29/4/2026
Please receive dental treatment by filling tooth #34,35,36 then submit medical certificate before going offshore.</t>
        </r>
      </text>
    </comment>
    <comment ref="AH48" authorId="0" shapeId="0" xr:uid="{00000000-0006-0000-0000-000025010000}">
      <text>
        <r>
          <rPr>
            <sz val="11"/>
            <color rgb="FF000000"/>
            <rFont val="Arial"/>
            <scheme val="minor"/>
          </rPr>
          <t>======
ID#AAAB1IWcYBI
arm m    (2026-03-20 08:50:33)
4/11/24ตรวจกรดยูริคได้6.8, 4/11/24 ขูดหินปูนทั้งปาก+อุดฟัน46B</t>
        </r>
      </text>
    </comment>
    <comment ref="AK48" authorId="0" shapeId="0" xr:uid="{00000000-0006-0000-0000-000029010000}">
      <text>
        <r>
          <rPr>
            <sz val="11"/>
            <color rgb="FF000000"/>
            <rFont val="Arial"/>
            <scheme val="minor"/>
          </rPr>
          <t>======
ID#AAAB1IWcYBM
arm m    (2026-03-20 08:50:54)
2/5/2025
No additional recommendation.</t>
        </r>
      </text>
    </comment>
    <comment ref="AK49" authorId="0" shapeId="0" xr:uid="{00000000-0006-0000-0000-00003A010000}">
      <text>
        <r>
          <rPr>
            <sz val="11"/>
            <color rgb="FF000000"/>
            <rFont val="Arial"/>
            <scheme val="minor"/>
          </rPr>
          <t>======
ID#AAABww-7iuo
arm m    (2025-06-13 02:59:27)
Please address the abnormal findings from your dental examination and receive dental treatment before going offshore. Additionally, please focus on reducing your weight.
------
ID#AAAB6aFYQgk
arm m    (2026-05-13 03:01:52)
16/6/2025
Please continue to reduce your weight.</t>
        </r>
      </text>
    </comment>
    <comment ref="AH50" authorId="0" shapeId="0" xr:uid="{00000000-0006-0000-0000-00000D000000}">
      <text>
        <r>
          <rPr>
            <sz val="11"/>
            <color rgb="FF000000"/>
            <rFont val="Arial"/>
            <scheme val="minor"/>
          </rPr>
          <t>======
ID#AAABww-7i1g
arm m    (2025-10-10 09:26:14)
26/12/2024 กรดยูริก=7.6 , อุดฟััน#47 7/11/2024</t>
        </r>
      </text>
    </comment>
    <comment ref="AK50" authorId="0" shapeId="0" xr:uid="{00000000-0006-0000-0000-000011000000}">
      <text>
        <r>
          <rPr>
            <sz val="11"/>
            <color rgb="FF000000"/>
            <rFont val="Arial"/>
            <scheme val="minor"/>
          </rPr>
          <t>======
ID#AAABww-7iu4
arm m    (2025-10-14 01:48:40)
26/12/2024
Low health risk
------
ID#AAABzHH68tw
arm m    (2026-01-29 01:09:58)
14/10/2025
Please consult with an internal medicine specialist regarding your elevated LDL-cholesterol levels, and continue your efforts to reduce weight. Make sure to have your LDL-cholesterol levels rechecked within the next 3 months.</t>
        </r>
      </text>
    </comment>
    <comment ref="AH51" authorId="0" shapeId="0" xr:uid="{00000000-0006-0000-0000-00001E000000}">
      <text>
        <r>
          <rPr>
            <sz val="11"/>
            <color rgb="FF000000"/>
            <rFont val="Arial"/>
            <scheme val="minor"/>
          </rPr>
          <t>======
ID#AAAB9BqCC1E
arm m    (2026-06-10 01:41:12)
17/8/2025 ขุดหินปูนทั้งปาก,อุดฟัน#27 แล้ว</t>
        </r>
      </text>
    </comment>
    <comment ref="AK51" authorId="0" shapeId="0" xr:uid="{00000000-0006-0000-0000-000023000000}">
      <text>
        <r>
          <rPr>
            <sz val="11"/>
            <color rgb="FF000000"/>
            <rFont val="Arial"/>
            <scheme val="minor"/>
          </rPr>
          <t>======
ID#AAAB9BqCC1I
arm m    (2026-06-10 01:41:39)
18/8/2025
It would be beneficial to focus on a low-sugar diet, given the increase in your fasting blood sugar level.</t>
        </r>
      </text>
    </comment>
    <comment ref="AH52" authorId="0" shapeId="0" xr:uid="{00000000-0006-0000-0000-000033000000}">
      <text>
        <r>
          <rPr>
            <sz val="11"/>
            <color rgb="FF000000"/>
            <rFont val="Arial"/>
            <scheme val="minor"/>
          </rPr>
          <t>======
ID#AAABww-7i3M
arm m    (2025-10-01 06:56:16)
ถอนฟัน37แล้ว 19/10/2024</t>
        </r>
      </text>
    </comment>
    <comment ref="AK53" authorId="0" shapeId="0" xr:uid="{00000000-0006-0000-0000-000047000000}">
      <text>
        <r>
          <rPr>
            <sz val="11"/>
            <color rgb="FF000000"/>
            <rFont val="Arial"/>
            <scheme val="minor"/>
          </rPr>
          <t>======
ID#AAABuvugQ3M
arm m    (2025-12-08 06:50:29)
Please consult with an internal medicine specialist regarding your high LDL-cholesterol levels, and strive to reduce your weight. Ensure to get your LDL-cholesterol levels rechecked in the next 3 months. It would be greatly appreciated, if you could see a dentist for gingivitis treatment before going offshore.</t>
        </r>
      </text>
    </comment>
    <comment ref="AH54" authorId="0" shapeId="0" xr:uid="{00000000-0006-0000-0000-000055000000}">
      <text>
        <r>
          <rPr>
            <sz val="11"/>
            <color rgb="FF000000"/>
            <rFont val="Arial"/>
            <scheme val="minor"/>
          </rPr>
          <t>======
ID#AAAB9x_npu4
arm m    (2026-06-18 06:19:54)
พนักงานเข้าทำHolter ระหว่างวันที่ 4-5 Aug.25 ,ขูดหินปูน 30/7/25</t>
        </r>
      </text>
    </comment>
    <comment ref="AK54" authorId="0" shapeId="0" xr:uid="{00000000-0006-0000-0000-000059000000}">
      <text>
        <r>
          <rPr>
            <sz val="11"/>
            <color rgb="FF000000"/>
            <rFont val="Arial"/>
            <scheme val="minor"/>
          </rPr>
          <t>======
ID#AAABww-7ivg
arm m    (2025-08-01 09:01:22)
No additional recommendation.
------
ID#AAAB9x_npu8
arm m    (2026-06-18 06:21:31)
6/8/2025 Low health risk 
No additonal recommendation.</t>
        </r>
      </text>
    </comment>
    <comment ref="AH55" authorId="0" shapeId="0" xr:uid="{00000000-0006-0000-0000-000068000000}">
      <text>
        <r>
          <rPr>
            <sz val="11"/>
            <color rgb="FF000000"/>
            <rFont val="Arial"/>
            <scheme val="minor"/>
          </rPr>
          <t>======
ID#AAABwwRdIYs
arm m    (2025-10-10 07:20:07)
ตรวจEcho17/10/24 ปกติ ,ขูดหินปูนแล้ว 30/10/24</t>
        </r>
      </text>
    </comment>
    <comment ref="AK55" authorId="0" shapeId="0" xr:uid="{00000000-0006-0000-0000-00006C000000}">
      <text>
        <r>
          <rPr>
            <sz val="11"/>
            <color rgb="FF000000"/>
            <rFont val="Arial"/>
            <scheme val="minor"/>
          </rPr>
          <t>======
ID#AAABww-7isY
arm m    (2025-10-10 07:20:33)
30/10/2025
Please consult a cardiologist for the abnormal echocardiogram related to valvular heart disease and the treatment plan.
------
ID#AAACFd30jKg
arm m    (2026-08-11 07:47:48)
10/10/2025 Low health risk 
No additional recommendation.</t>
        </r>
      </text>
    </comment>
    <comment ref="AH56" authorId="0" shapeId="0" xr:uid="{00000000-0006-0000-0000-00007B000000}">
      <text>
        <r>
          <rPr>
            <sz val="11"/>
            <color rgb="FF000000"/>
            <rFont val="Arial"/>
            <scheme val="minor"/>
          </rPr>
          <t>======
ID#AAABxnqlowQ
arm m    (2025-12-18 01:45:21)
28/2/2025 ถอนฟันซี่18</t>
        </r>
      </text>
    </comment>
    <comment ref="AH57" authorId="0" shapeId="0" xr:uid="{00000000-0006-0000-0000-00008E000000}">
      <text>
        <r>
          <rPr>
            <sz val="11"/>
            <color rgb="FF000000"/>
            <rFont val="Arial"/>
            <scheme val="minor"/>
          </rPr>
          <t>======
ID#AAABteFivAo
arm m    (2025-10-14 01:53:34)
26/6/2025 ตรวจสุขภาพฟัน น้ำหนัก=85 , 6/1/2025 ตรวจกรดยูริก=7.3 , LDL=82 , 18/11/2024 กรดยูริก=8.0 ได้รับยาลดยูริก(นัดตรวจ18/2/25), ตรวจไขมัน19/11/2024 LDL=142และไตรกลีเซฮไรด์=58, อุดฟันกรามล่างด้านซ้ายซี่ที่สามผุ 21-22/11/2024</t>
        </r>
      </text>
    </comment>
    <comment ref="AK57" authorId="0" shapeId="0" xr:uid="{00000000-0006-0000-0000-000092000000}">
      <text>
        <r>
          <rPr>
            <sz val="11"/>
            <color rgb="FF000000"/>
            <rFont val="Arial"/>
            <scheme val="minor"/>
          </rPr>
          <t>======
ID#AAABww-7i5w
arm m    (2025-07-04 06:29:14)
Please update on body weight, LDL-cholesterol, and the treatment plan in 2 months as recommended since October 2024. (For offshore work at CTEP, only individuals with a BMI less than 35 are accepted.)
------
ID#AAABww-7i50
arm m    (2025-07-04 06:32:47)
4/7/2025
Please continue treatment for your hyperlipidemia and update your BMI during your next annual physical examination, which must be completed before October 2, 2025.</t>
        </r>
      </text>
    </comment>
    <comment ref="AK58" authorId="0" shapeId="0" xr:uid="{00000000-0006-0000-0000-0000A7000000}">
      <text>
        <r>
          <rPr>
            <sz val="11"/>
            <color rgb="FF000000"/>
            <rFont val="Arial"/>
            <scheme val="minor"/>
          </rPr>
          <t>======
ID#AAABt8GNQNI
arm m    (2025-12-10 02:38:09)
29/8/2025
Please focus on reducing your weight.</t>
        </r>
      </text>
    </comment>
    <comment ref="AK59" authorId="0" shapeId="0" xr:uid="{00000000-0006-0000-0000-0000B9000000}">
      <text>
        <r>
          <rPr>
            <sz val="11"/>
            <color rgb="FF000000"/>
            <rFont val="Arial"/>
            <scheme val="minor"/>
          </rPr>
          <t>======
ID#AAAB93yOiwc
arm m    (2026-06-20 08:34:06)
29/8/2025 Moderate health risk 
โรคอ้วนระดับ1 Please focus on weight reduction due to your rising BMI, and kindly update your body weight within the next 6 months. Please note that all offshore workforce members working for CTEP are required to maintain a BMI below 35.</t>
        </r>
      </text>
    </comment>
    <comment ref="AK60" authorId="0" shapeId="0" xr:uid="{00000000-0006-0000-0000-0000CD000000}">
      <text>
        <r>
          <rPr>
            <sz val="11"/>
            <color rgb="FF000000"/>
            <rFont val="Arial"/>
            <scheme val="minor"/>
          </rPr>
          <t>======
ID#AAAB7QGIrtg
arm m    (2026-05-16 06:29:45)
29/8/2025
Please focus more on reducing your weight and continue following a controlled diet to help lower your elevated uric acid levels.</t>
        </r>
      </text>
    </comment>
    <comment ref="AK61" authorId="0" shapeId="0" xr:uid="{00000000-0006-0000-0000-0000E1000000}">
      <text>
        <r>
          <rPr>
            <sz val="11"/>
            <color rgb="FF000000"/>
            <rFont val="Arial"/>
            <scheme val="minor"/>
          </rPr>
          <t>======
ID#AAACDPYYbdI
arm m    (2026-07-18 07:05:36)
29/8/2026 Low health risk 
No additional recommendation. In case he is assigned to work offshore, please provide EST or CAC result.</t>
        </r>
      </text>
    </comment>
    <comment ref="AK62" authorId="0" shapeId="0" xr:uid="{00000000-0006-0000-0000-0000F5000000}">
      <text>
        <r>
          <rPr>
            <sz val="11"/>
            <color rgb="FF000000"/>
            <rFont val="Arial"/>
            <scheme val="minor"/>
          </rPr>
          <t>======
ID#AAAB9BqCC1M
arm m    (2026-06-10 01:47:22)
29/8/2025 
Please work on reducing your weight and continue following a controlled diet to help lower your slightly elevated uric acid levels and maintain control of your LDL-cholesterol.
------
ID#AAAB8IMkbLc
arm m    (2026-06-15 07:07:07)
11/6/2026
Please address the abnormal findings related to dental caries (46) before going offshore. Please consult an internal medicine specialist for very high LDL-cholesterol, and make efforts to reduce your weight. Update your LDL-cholesterol in the next 3 months.
------
ID#AAAB_fDsgV0
arm m    (2026-07-24 09:45:35)
17/6/2026 High health risk 
Please consult an internal medicine specialist for very high LDL-cholesterol, and make efforts to reduce your weight. Update your LDL-cholesterol in the next 3 months.</t>
        </r>
      </text>
    </comment>
    <comment ref="AK63" authorId="0" shapeId="0" xr:uid="{00000000-0006-0000-0000-00000A010000}">
      <text>
        <r>
          <rPr>
            <sz val="11"/>
            <color rgb="FF000000"/>
            <rFont val="Arial"/>
            <scheme val="minor"/>
          </rPr>
          <t>======
ID#AAABww-7i58
arm m    (2025-10-17 01:38:15)
29/8/2025
Please continue treatment for your diabetes, hypertension, and hyperlipidemia. Additionally, focus on weight reduction and monitoring your elevated liver enzymes. Kindly update your blood pressure, fasting blood sugar, HbA1c, LDL-cholesterol, BMI, and liver enzyme (SGPT) levels within the next 3 months
------
ID#AAABySN7KRY
Saisuda T    (2026-01-06 01:38:41)
17/10/25:Moderate health risk:Please continue treatment for your diabetes, hypertension, and hyperlipidemia. Additionally, focus on weight reduction and monitoring your elevated liver enzymes. Kindly update your blood pressure, fasting blood sugar, LDL-cholesterol, BMI, and liver enzyme (SGPT) levels after next following up in November 2025.
------
ID#AAAB24Z_JA4
arm m    (2026-04-01 03:56:47)
7/1/2026
Please consult an endocrinologist for assistance with weight reduction and high liver enzyme levels, continue treatment for Diabetes mellitus. Kindly provide updates on your body weight, liver enzymes, and Fasting blood sugar and HbA1C in next 3 months. (Note: For offshore work at CTEP, only individuals with a BMI less than 35 are accepted.)
------
ID#AAAB2saGMi8
arm m    (2026-04-07 01:27:40)
31/3/2026
Please consult an endocrinologist for assistance with weight reduction and high liver enzyme levels, continue treatment for Diabetes mellitus. 
Kindly provide updates on your body weight, liver enzymes, and Fasting blood sugar in next following up on 24 April 2026. (Note: For offshore work at CTEP, only individuals with a BMI less than 35 are accepted.)
------
ID#AAAB-MgxGNo
arm m    (2026-06-23 01:26:42)
30/5/2026 High health risk Please consult an endocrinologist for assistance with weight reduction and high liver enzyme levels, continue treatment for Diabetes mellitus. 
Kindly provide updates on your body weight, liver enzymes, and Fasting blood sugar in next following up on 19 June 2026. 
(Note: For offshore work at CTEP, only individuals with a BMI less than 35 are accepted.)
------
ID#AAAB_HFotZ0
arm m    (2026-07-06 02:01:51)
24/6/2026 Pending 
Kindly provide updates on your body weight, liver enzymes, and Fasting blood sugar before going offshore.</t>
        </r>
      </text>
    </comment>
    <comment ref="AH64" authorId="0" shapeId="0" xr:uid="{00000000-0006-0000-0000-000019010000}">
      <text>
        <r>
          <rPr>
            <sz val="11"/>
            <color rgb="FF000000"/>
            <rFont val="Arial"/>
            <scheme val="minor"/>
          </rPr>
          <t>======
ID#AAACDPYYbdM
arm m    (2026-07-18 07:11:27)
12/11/2025 FBS=117 HbAIC=7.7 ความดัน 135/88 4/11/2025 รักษาความดันโลหิตโดยการกินยา 3/11/2025 ผ่าฟันคุด#38 27/9/2025 ถอนฟัน#28 (22/8/2025ได้อุดฟัน#21,ถอน#18) ปัสสาวะSugar 3+ พนง.แจ้งว่าเป็นเพราะทานยาเบาหวาน XIGDUO XR 10 1000</t>
        </r>
      </text>
    </comment>
    <comment ref="AK64" authorId="0" shapeId="0" xr:uid="{00000000-0006-0000-0000-00001E010000}">
      <text>
        <r>
          <rPr>
            <sz val="11"/>
            <color rgb="FF000000"/>
            <rFont val="Arial"/>
            <scheme val="minor"/>
          </rPr>
          <t>======
ID#AAABww-7isM
Saisuda T    (2025-08-22 01:37:00)
10/7/25:Please address the abnormal findings (caries+non opposing teeth no. 18, 28) from your dental examination before going offshore. Additionally, please reduce weight and control your diet to decrease high uric acid levels.
------
ID#AAABww-7isQ
Saisuda T    (2025-08-27 06:47:43)
22/8/25: Please repeat your urine analysis. If glucose is still present, consult a nephrologist for further evaluation. Additionally, please address your dental caries before proceeding with offshore work
------
ID#AAABww-7isU
arm m    (2025-11-05 06:15:38)
30/9/2025
Please continue your treatment for diabetes, hyperlipidemia, and hypertension under the care of your physician. Kindly update your fasting blood sugar (FBS), HbA1c, and blood pressure readings within the next 2 months.
------
ID#AAACDPYYbdQ
arm m    (2026-07-18 07:11:59)
5/11/2025 Low health risk 
Please continue your treatment for diabetes, hyperlipidemia, and hypertension under the care of your physician. Additionally, please ensure that any stitches from your recent dental surgery are removed at least one week after the procedure, and before returning to offshore work.</t>
        </r>
      </text>
    </comment>
    <comment ref="AH65" authorId="0" shapeId="0" xr:uid="{00000000-0006-0000-0000-00002C010000}">
      <text>
        <r>
          <rPr>
            <sz val="11"/>
            <color rgb="FF000000"/>
            <rFont val="Arial"/>
            <scheme val="minor"/>
          </rPr>
          <t>======
ID#AAAByh32KLI
arm m    (2026-01-13 06:57:07)
17/7/25อุดฟัน#34,35,38,26 14/2/25 ทำฟัน #18</t>
        </r>
      </text>
    </comment>
    <comment ref="AK65" authorId="0" shapeId="0" xr:uid="{00000000-0006-0000-0000-00002F010000}">
      <text>
        <r>
          <rPr>
            <sz val="11"/>
            <color rgb="FF000000"/>
            <rFont val="Arial"/>
            <scheme val="minor"/>
          </rPr>
          <t>======
ID#AAABww-7i0c
Saisuda T    (2025-08-24 04:57:13)
10/7/2025:Please address the abnormal findings (dental caries no.38) from your dental examination before going offshore. Additionally, please control your diet to decrease high uric acid levels. Note that Individuals diagnosed with mild restrictive lung disease should exercise caution when considering employment in occupations involving confined space work due to health and safety concerns. Regular monitoring of pulmonary function tests is recommended to assess changes and adjust treatment, as necessary.
------
ID#AAAByh32KLM
arm m    (2026-01-13 06:57:33)
22/8/2025
Please control your diet to decrease high uric acid levels. Note that Individuals diagnosed with mild restrictive lung disease should exercise caution when considering employment in occupations involving confined space work due to health and safety concerns. Regular monitoring of pulmonary function tests is recommended to assess changes and adjust treatment, as necessary.</t>
        </r>
      </text>
    </comment>
    <comment ref="AH66" authorId="0" shapeId="0" xr:uid="{00000000-0006-0000-0000-000001000000}">
      <text>
        <r>
          <rPr>
            <sz val="11"/>
            <color rgb="FF000000"/>
            <rFont val="Arial"/>
            <scheme val="minor"/>
          </rPr>
          <t>======
ID#AAAB5BZ8cio
arm m    (2026-04-28 01:32:43)
16/3/2026 Uric Acid=6.6 AST=25 ALT=35 15/1/2026 ผ่าฟันคุด#38 6/12/2025 Uric acid = 7.4 , ALT=89</t>
        </r>
      </text>
    </comment>
    <comment ref="AK66" authorId="0" shapeId="0" xr:uid="{00000000-0006-0000-0000-000005000000}">
      <text>
        <r>
          <rPr>
            <sz val="11"/>
            <color rgb="FF000000"/>
            <rFont val="Arial"/>
            <scheme val="minor"/>
          </rPr>
          <t>======
ID#AAABww-7iwQ
arm m    (2025-08-02 07:36:55)
16/12/2024
Please reduce weight and control your diet to decrease high uric acid levels and continue dental treatment until completion.
------
ID#AAABww-7iwU
arm m    (2025-08-14 09:42:45)
7/8/25
Please send the result of abnormal urine test (UA) for review before going offshore. Please consult a gastrointestinal specialist because of your elevated liver enzymes. Additionally, consider reducing your weight and adjusting your diet to manage your high uric acid levels. Ensure you update your liver enzyme levels in the next 3 months and address the abnormal findings from your dental examination.
------
ID#AAABzHH68t0
arm m    (2026-01-29 01:17:09)
11/8/2025
Please consult a gastrointestinal specialist because of your elevated liver enzymes. Additionally, consider reducing your weight and adjusting your diet to manage your high uric acid levels. Ensure you update your liver enzyme levels in the next 3 months and address the abnormal findings from your dental examination.
------
ID#AAAB2Jrj6D8
arm m    (2026-03-18 02:11:12)
28/1/2026
Please consult a gastrointestinal specialist because of your elevated liver enzymes. Additionally, consider reducing your weight and adjusting your diet to manage your high uric acid levels. Ensure you update your liver enzyme levels in the next 3 months.
------
ID#AAAB5BZ8cis
arm m    (2026-04-28 01:33:02)
17/3/2026
Please focus on reduce body weight.
------
ID#AAAB9MuyINI
arm m    (2026-06-25 08:36:25)
29/4/2026 Moderate health risk
Please receive dental treatment by filling tooth #47 then submit medical certificate before going offshore. Additionally, please consult a gastrointestinal specialist due to your elevated liver enzymes. It's recommended that you reduce your weight and adjust your diet to manage your high uric acid levels. Ensure you update your liver enzyme in the next 3 months.</t>
        </r>
      </text>
    </comment>
    <comment ref="AK67" authorId="0" shapeId="0" xr:uid="{00000000-0006-0000-0000-00001A000000}">
      <text>
        <r>
          <rPr>
            <sz val="11"/>
            <color rgb="FF000000"/>
            <rFont val="Arial"/>
            <scheme val="minor"/>
          </rPr>
          <t>======
ID#AAABxWfq7iI
arm m    (2026-01-07 01:41:29)
13/11/2025
Please control your diet to decrease high uric acid levels.
------
ID#AAAB-0h4teQ
arm m    (2026-07-08 02:14:39)
8/1/2026 Moderate health risk Please consult with a gastrointestinal specialist regarding elevated liver enzymes and high uric acid levels. Ensure to update your liver enzyme (SGPT) and uric acid levels within the next 6 months.</t>
        </r>
      </text>
    </comment>
    <comment ref="AH68" authorId="0" shapeId="0" xr:uid="{00000000-0006-0000-0000-000028000000}">
      <text>
        <r>
          <rPr>
            <sz val="11"/>
            <color rgb="FF000000"/>
            <rFont val="Arial"/>
            <scheme val="minor"/>
          </rPr>
          <t>======
ID#AAABteFivAQ
arm m    (2025-08-27 08:55:08)
ขาดฟันไปทำ30/8/2025
------
ID#AAAB5icqGvw
arm m    (2026-05-16 07:56:46)
2/5/2026 LDL-C =159 , SGOT=25 , SOPT=15 4/2/2026 LDL-C =171 ,TG=85 ,FST=110 ,UA=6.4 ,ALT=20 ,AST=70 30/8/25 อุดฟัน#47 27/8/2025 ติดตามไขมันLDL=172 , Uric=6.0 , น้ำหนัก 77.40</t>
        </r>
      </text>
    </comment>
    <comment ref="AK68" authorId="0" shapeId="0" xr:uid="{00000000-0006-0000-0000-00002D000000}">
      <text>
        <r>
          <rPr>
            <sz val="11"/>
            <color rgb="FF000000"/>
            <rFont val="Arial"/>
            <scheme val="minor"/>
          </rPr>
          <t>======
ID#AAABww-7iuQ
arm m    (2025-06-13 02:47:12)
27/1/2025 As previously recommended, please provide an update on your LDL-cholesterol levels within a month
------
ID#AAABww-7iuU
arm m    (2025-09-08 09:02:56)
16/6/2025
Please address the abnormal findings from your dental examination before going to offshore work. Consult an endocrinologist for weight reduction and high LDL-cholesterol. Also, follow a controlled diet to manage high uric acid levels. Please provide updates on your body weight, LDL-cholesterol levels, and treatment plan within three months. (For offshore work at CTEP, only individuals with a BMI less than 35 are accepted.) Note that failure to respond to recommendations provided multiple times may result in being locked out of offshore work at CTEP.
------
ID#AAAByzM7lcE
arm m    (2026-02-05 01:30:24)
8/9/2025
Please consult with an internal medicine specialist regarding your high LDL-cholesterol levels, and strive to reduce your weight. Ensure to get your LDL-cholesterol levels rechecked in the next 3 months
------
ID#AAAB51IU9P4
arm m    (2026-05-07 01:52:24)
5/2/2026
Please consult an internal medicine specialist (not only a clinic laboratory) regarding your elevated LDL cholesterol and liver enzyme levels, and make efforts to reduce your body weight.
Please ensure that your LDL cholesterol and liver enzyme levels are rechecked, and provide a medical certificate confirming consultation with an internal medicine specialist (not a clinic laboratory) within the next 3 months.
------
ID#AAAB5icqGv0
arm m    (2026-05-16 07:57:13)
6/5/2026
Please continue treatment for your hyperlipidemia and focus on weight reduction. Kindly ensure that your annual physical examination and dental examination are updated before they expire on 6 June 2026.
------
ID#AAAB9sjFatU
arm m    (2026-06-16 02:54:48)
11/6/2026
Please continue treatment for your hyperlipidemia with your treating physician and make efforts to reduce your weight.
Kindly provide an update on your LDL cholesterol level within the next 3 months for re-evaluation.</t>
        </r>
      </text>
    </comment>
    <comment ref="AH70" authorId="0" shapeId="0" xr:uid="{00000000-0006-0000-0000-00004B000000}">
      <text>
        <r>
          <rPr>
            <sz val="11"/>
            <color rgb="FF000000"/>
            <rFont val="Arial"/>
            <scheme val="minor"/>
          </rPr>
          <t>======
ID#AAAB6YjNZVU
arm m    (2026-05-12 09:34:47)
6/9/2025 อุดฟัน#27 , ความดันโลหิต= 130/82</t>
        </r>
      </text>
    </comment>
    <comment ref="AK70" authorId="0" shapeId="0" xr:uid="{00000000-0006-0000-0000-000050000000}">
      <text>
        <r>
          <rPr>
            <sz val="11"/>
            <color rgb="FF000000"/>
            <rFont val="Arial"/>
            <scheme val="minor"/>
          </rPr>
          <t>======
ID#AAABww-7i1s
arm m    (2025-09-10 01:37:09)
16/6/2025
Please address the abnormal findings from your dental examination before going to offshore work. Consult an internal medicine specialist for your high blood pressure. Additionally, please focus on weight reduction. Update your blood pressure within three months. Note: For offshore assignments at CTEP, eligibility is limited to individuals with a blood pressure below 140/90 mmHg.
------
ID#AAAB6YjNZVY
arm m    (2026-05-12 09:35:42)
9/9/2025
Please focus on reducing your weight.</t>
        </r>
      </text>
    </comment>
    <comment ref="AH71" authorId="0" shapeId="0" xr:uid="{00000000-0006-0000-0000-00005B000000}">
      <text>
        <r>
          <rPr>
            <sz val="11"/>
            <color rgb="FF000000"/>
            <rFont val="Arial"/>
            <scheme val="minor"/>
          </rPr>
          <t>======
ID#AAABww-7i0s
arm m    (2025-10-01 07:22:35)
12/12/24 ตรวจติดตามค่าไขมัน , ถอนฟันซี่14แล้ว 28/10/24</t>
        </r>
      </text>
    </comment>
    <comment ref="AK71" authorId="0" shapeId="0" xr:uid="{00000000-0006-0000-0000-000060000000}">
      <text>
        <r>
          <rPr>
            <sz val="11"/>
            <color rgb="FF000000"/>
            <rFont val="Arial"/>
            <scheme val="minor"/>
          </rPr>
          <t>======
ID#AAABww-7it0
arm m    (2025-10-01 07:23:09)
16/12/2025
Please consult an internal medicine specialist regarding your high triglycerides. It would also be beneficial for you to work on reducing your weight. Kindly ensure that your triglycerides are checked again within the next 3 months.</t>
        </r>
      </text>
    </comment>
    <comment ref="AK72" authorId="0" shapeId="0" xr:uid="{00000000-0006-0000-0000-000075000000}">
      <text>
        <r>
          <rPr>
            <sz val="11"/>
            <color rgb="FF000000"/>
            <rFont val="Arial"/>
            <scheme val="minor"/>
          </rPr>
          <t>======
ID#AAABteFivCI
arm m    (2025-08-15 10:51:32)
Kindly seek advice from an endocrinologist for weight reduction and managing high LDL-cholesterol levels. Please provide updates on your LDL-cholesterol level, blood pressure, and BMI within the next 3 months as recommended on 11 October 2024. (For offshore work at CTEP, individuals must have a blood pressure below 140/90 mmHg and a BMI under 35 to be eligible.)
------
ID#AAABwwRdIXQ
Saisuda T    (2025-08-20 01:09:53)
18/8/25:Please consult the doctor to evaluate the high Blood pressure (182/73 mmHg) and high heart rate 104-117 beat/min then submit medical certificate to us before going offshore. Additionally, please receive dental scaling and polishing within 3 months.
------
ID#AAABwwRdIXU
Saisuda T    (2025-09-09 08:10:25)
20/8/25 : Due to poor control of your blood pressure and weight management, it is recommended that you consult an endocrinologist (อายุรแพทย์ระบบต่อมไร้ท่อ) for appropriate treatment. Kindly provide an update within one month, including your blood pressure, fasting blood sugar, HbA1c, LDL-cholesterol, triglyceride levels, BMI, and a medical certificate from the endocrinologist from the hospital.
------
ID#AAABzNUVEgI
arm m    (2026-01-30 06:22:45)
9/9/2025 
Please consult an endocrinologist for assistance with weight reduction and please continue your diabetes and hypertension treatment with your specialist. 
Please provide your Blood pressure, Fasting blood sugar and Body weight in next 3 months. 
For offshore work at CTEP, only individuals with a BMI less than 35 and Blood pressure less than 140/90 mmHg are accepted.
------
ID#AAAB3Hsx_Bo
arm m    (2026-04-08 09:34:21)
30/1/2026
Please continue treatment with your doctor and continue working on weight reduction.
------
ID#AAAB-u1M2kw
arm m    (2026-07-01 02:19:24)
8/4/2026 Moderate health risk Please continue treatment with your doctor and continue working on weight reduction and Diabetes.</t>
        </r>
      </text>
    </comment>
    <comment ref="AK73" authorId="0" shapeId="0" xr:uid="{00000000-0006-0000-0000-000086000000}">
      <text>
        <r>
          <rPr>
            <sz val="11"/>
            <color rgb="FF000000"/>
            <rFont val="Arial"/>
            <scheme val="minor"/>
          </rPr>
          <t>======
ID#AAABteFivBI
arm m    (2025-08-25 09:01:55)
25/8/2025
Low health risk
------
ID#AAAB9BqCC1Q
arm m    (2026-06-10 01:57:38)
27/9/2025
No additional recommendations
------
ID#AAACDpUZ12U
arm m    (2026-07-22 02:50:55)
27/9/2025 Low health risk 
No additional recommendations</t>
        </r>
      </text>
    </comment>
    <comment ref="AH74" authorId="0" shapeId="0" xr:uid="{00000000-0006-0000-0000-000096000000}">
      <text>
        <r>
          <rPr>
            <sz val="11"/>
            <color rgb="FF000000"/>
            <rFont val="Arial"/>
            <scheme val="minor"/>
          </rPr>
          <t>======
ID#AAAB1iHRSNI
arm m    (2026-03-10 02:04:00)
11/11/24 ทันตแพทย์ออกใบรับรองว่ายังไม่จำเป็นต้องผ่าฟันคุด</t>
        </r>
      </text>
    </comment>
    <comment ref="AK74" authorId="0" shapeId="0" xr:uid="{00000000-0006-0000-0000-00009B000000}">
      <text>
        <r>
          <rPr>
            <sz val="11"/>
            <color rgb="FF000000"/>
            <rFont val="Arial"/>
            <scheme val="minor"/>
          </rPr>
          <t>======
ID#AAAB1tUH5sY
arm m    (2026-03-13 02:50:59)
2/5/2025
Please control your diet to decrease high uric acid levels.</t>
        </r>
      </text>
    </comment>
    <comment ref="AH75" authorId="0" shapeId="0" xr:uid="{00000000-0006-0000-0000-0000AB000000}">
      <text>
        <r>
          <rPr>
            <sz val="11"/>
            <color rgb="FF000000"/>
            <rFont val="Arial"/>
            <scheme val="minor"/>
          </rPr>
          <t>======
ID#AAAB1i2RGLc
arm m    (2026-03-10 02:19:27)
11/8/2025 LDL=139
------
ID#AAAB2MmUp3I
arm m    (2026-03-19 09:37:33)
9/3/2026 ขูดหินปูน</t>
        </r>
      </text>
    </comment>
    <comment ref="AK75" authorId="0" shapeId="0" xr:uid="{00000000-0006-0000-0000-0000B0000000}">
      <text>
        <r>
          <rPr>
            <sz val="11"/>
            <color rgb="FF000000"/>
            <rFont val="Arial"/>
            <scheme val="minor"/>
          </rPr>
          <t>======
ID#AAABww-7i1k
arm m    (2025-06-04 04:08:36)
17/1/2025 Please consult an internal medicine specialist for high LDL-cholesterol. Update your LDL-cholesterol in the next 3 months.
------
ID#AAAB2MmUp3M
arm m    (2026-03-19 09:38:01)
15/8/2025 
Please focus on a low sugar diet due to your rising fasting blood sugar.
------
ID#AAAB4AC1iF8
arm m    (2026-04-23 01:06:28)
20/3/2026
Please consult an internal medicine specialist for very high LDL-cholesterol. Update your LDL-cholesterol within the next 3 months</t>
        </r>
      </text>
    </comment>
    <comment ref="AK76" authorId="0" shapeId="0" xr:uid="{00000000-0006-0000-0000-0000C1000000}">
      <text>
        <r>
          <rPr>
            <sz val="11"/>
            <color rgb="FF000000"/>
            <rFont val="Arial"/>
            <scheme val="minor"/>
          </rPr>
          <t>======
ID#AAABww-7iuk
arm m    (2025-11-03 04:00:26)
Please address the abnormal findings from your dental examination and receive dental treatment before going offshore. Additionally, please consult with a specialist in internal medicine regarding your high LDL-cholesterol, and high liver enzyme levels, and work towards reducing your weight. Make sure to track and update your LDL-cholesterol, and liver enzyme levels in the next 3 months.
------
ID#AAAB1V0ACbk
arm m    (2026-03-05 01:29:57)
3/11/2025
Please continue your treatment for hyperlipidemia with your doctor. Consult a gastrointestinal specialist because of your elevated liver enzymes. Additionally, consider reducing your weight and adjusting your diet to manage your high uric acid levels. Ensure you update your liver enzyme and LDL-cholesterol levels in the next 3 months.
------
ID#AAAB0186zDc
Saisuda T    (2026-03-07 01:53:40)
4/3/26 : Please receive dental treatment by filling or extraction (ฟันผุเร่งด่วน#25 ,ฟันที่ผุ #17,18,11,26,27,28,38,47,48) then submit medical certificate before going offshore. 
Additionally, please consult an internal medicine specialist for very high LDL-cholesterol and high liver enzymes, and make efforts to reduce your weight. Update your LDL-cholesterol and liver enzymes levels in the next 3 months.
------
ID#AAAB5phllFs
arm m    (2026-05-05 06:46:31)
5/3/2026
Please continue dental treatment for the remaining abnormal findings identified on dental examination (teeth #17, 18, 11, 26, 27, 28, 38, 47, and 48).
In addition, please consult an internal medicine specialist regarding the markedly elevated LDL cholesterol level and elevated liver enzymes. Weight reduction is strongly recommended.
Please provide updated LDL cholesterol and liver enzyme results, as well as confirmation of completed or ongoing dental treatment, within the next 3 months.
------
ID#AAAB8q8AdW4
arm m    (2026-06-02 09:54:55)
5/5/20266 
As recommended on 5 March 2026, please complete dental treatment for the remaining abnormal findings identified during the dental examination (teeth numbers 17, 18, 11, 26, 27, 28, 38, 47, and 48) prior to offshore.
Please also continue treatment for hyperlipidemia and elevated liver enzymes with your treating physician, and provide updated results of LDL cholesterol and SGPT within the next 3 months.
------
ID#AAACDpUZ12c
arm m    (2026-07-22 02:52:36)
18/5/2026 High health risk 
He can work offshore this next shift, then please complete dental treatment for the remaining abnormal findings identified during the dental examination (teeth numbers 17, 18, 11, 26, 27, 28, 47, and 48) prior to offshore next 2 shifts within June 2026. 
Please also continue treatment for hyperlipidemia and elevated liver enzymes with your treating physician, and provide updated results of LDL cholesterol and SGPT within the next 3 months.
------
ID#AAAB_iXEHcc
arm m    (2026-07-30 01:38:26)
22/7/2026 High health risk 
Please complete dental treatment for the remaining abnormal findings identified during the dental examination (teeth numbers 18, 47, and 48) before the next shift. Please also continue treatment for hyperlipidemia and elevated liver enzymes with your treating physician and provide updated results of LDL cholesterol and SGPT within the next month.</t>
        </r>
      </text>
    </comment>
    <comment ref="AH77" authorId="0" shapeId="0" xr:uid="{00000000-0006-0000-0000-0000D1000000}">
      <text>
        <r>
          <rPr>
            <sz val="11"/>
            <color rgb="FF000000"/>
            <rFont val="Arial"/>
            <scheme val="minor"/>
          </rPr>
          <t>======
ID#AAAB7BGbCmE
arm m    (2026-05-22 06:14:01)
5/12/25 ตรวจติดตามค่าUricAcid=7.9 / 20/6/25 ตรวจค่าSGOP=34,SGPT=38 / มีหินปูน (ได้รับการขูดหินปูนแล้ว18/6/25)</t>
        </r>
      </text>
    </comment>
    <comment ref="AK77" authorId="0" shapeId="0" xr:uid="{00000000-0006-0000-0000-0000D6000000}">
      <text>
        <r>
          <rPr>
            <sz val="11"/>
            <color rgb="FF000000"/>
            <rFont val="Arial"/>
            <scheme val="minor"/>
          </rPr>
          <t>======
ID#AAABww-7i3Y
arm m    (2025-06-13 03:54:07)
Please address the abnormal findings from your dental examination and receive dental treatment before going offshore. Additionally, please consult with an internal medicine specialist due to your high levels of LDL-cholesterol. Additionally, weight reduction and control diet for high uric acid levels are highly recommended. For the next 3 months, kindly provide updates on your LDL-cholesterol level.
------
ID#AAABuvugQ3Q
arm m    (2025-12-08 07:02:40)
23/6/2025
Please consult an internal medicine specialist about your high uric acid levels and consider reducing your weight. Also, please have your uric acid levels checked again in the next 3 months.
------
ID#AAAB7BGbCmI
arm m    (2026-05-22 06:14:36)
12/8/2025
Please reduce weight and control your diet to decrease high uric acid levels.</t>
        </r>
      </text>
    </comment>
    <comment ref="AK78" authorId="0" shapeId="0" xr:uid="{00000000-0006-0000-0000-0000EA000000}">
      <text>
        <r>
          <rPr>
            <sz val="11"/>
            <color rgb="FF000000"/>
            <rFont val="Arial"/>
            <scheme val="minor"/>
          </rPr>
          <t>======
ID#AAABww-7isA
arm m    (2025-08-02 09:57:56)
31/1/2025
Please consult an internal medicine specialist for high LDL-cholesterol. Update your LDL-cholesterol level in the next 3 months.
------
ID#AAABww-7isE
arm m    (2025-10-16 09:04:00)
7/8/2025
Please recheck your uric acid level in your physical examination report.
------
ID#AAACDQuy5eg
arm m    (2026-07-18 01:18:56)
16/10/2025 Low health risk 
No additional recommendation.</t>
        </r>
      </text>
    </comment>
    <comment ref="AH79" authorId="0" shapeId="0" xr:uid="{00000000-0006-0000-0000-0000FB000000}">
      <text>
        <r>
          <rPr>
            <sz val="11"/>
            <color rgb="FF000000"/>
            <rFont val="Arial"/>
            <scheme val="minor"/>
          </rPr>
          <t>======
ID#AAABxWfq7iM
arm m    (2026-01-07 01:48:40)
7/11/2025 TG=142 LDL-C=56.10 12/8/2025 ยาควบคุมไขมันในเลือด SIMVASTATIN 20mg 6/6/2025 ยาควบคุมไขมันในเลือด SIMVASTATIN 20.mg</t>
        </r>
      </text>
    </comment>
    <comment ref="AK79" authorId="0" shapeId="0" xr:uid="{00000000-0006-0000-0000-000000010000}">
      <text>
        <r>
          <rPr>
            <sz val="11"/>
            <color rgb="FF000000"/>
            <rFont val="Arial"/>
            <scheme val="minor"/>
          </rPr>
          <t>======
ID#AAABww-7i0U
arm m    (2025-11-07 09:33:46)
3/10/2025
Please continue your treatment for hyperlipidemia with you doctor. Update on your LDL-cholesterol level in the next 3 months. Additionally, please adhere to a low sugar and carbohydrate diet due to your elevated fasting blood sugar levels.
------
ID#AAABxWzVCA4
arm m    (2026-01-07 01:49:10)
7/11/2025
Please continue your treatment for hyperlipidemia with you doctor. Additionally, please adhere to a low sugar and carbohydrate diet due to your elevated fasting blood sugar levels.</t>
        </r>
      </text>
    </comment>
    <comment ref="AH81" authorId="0" shapeId="0" xr:uid="{00000000-0006-0000-0000-000024010000}">
      <text>
        <r>
          <rPr>
            <sz val="11"/>
            <color rgb="FF000000"/>
            <rFont val="Arial"/>
            <scheme val="minor"/>
          </rPr>
          <t>======
ID#AAAB0qcpAKs
arm m    (2026-02-23 02:04:42)
16/10/25 ตรวตตืดตามTrig.=98, 7/6/25 ติดตามค่าUricAid=68,LDL=171 / 29/3/25 ขูดหินปูนทั้งปากแล้ว</t>
        </r>
      </text>
    </comment>
    <comment ref="AK81" authorId="0" shapeId="0" xr:uid="{00000000-0006-0000-0000-000028010000}">
      <text>
        <r>
          <rPr>
            <sz val="11"/>
            <color rgb="FF000000"/>
            <rFont val="Arial"/>
            <scheme val="minor"/>
          </rPr>
          <t>======
ID#AAABteFivBs
Saisuda T    (2025-04-01 07:22:32)
1.Please focus on reducing your weight. 21/2/25
------
ID#AAABzom1jqA
arm m    (2026-02-24 09:07:33)
14/11/2025
Please reduce weight and control your diet to decrease high uric acid levels.
------
ID#AAAB0wvJMXU
arm m    (2026-03-02 01:36:59)
24/2/2026
Please address the abnormal findings related to dental caries (#34, #35, #37) before going offshore. Please consult with an internal medicine specialist regarding your high triglycerides and uric acid levels. Additionally, it would be beneficial to reduce your weight. Kindly ensure that your triglyceride and uric acid levels are rechecked within the next 3 months.
------
ID#AAAB2saGMjA
arm m    (2026-04-07 01:38:58)
27/2/2026
Please consult with an internal medicine specialist regarding your high triglycerides and uric acid levels. Additionally, it would be beneficial to reduce your weight. 
Kindly ensure that your triglyceride and uric acid levels are rechecked within the next 3 months.
------
ID#AAAB-nhbntE
arm m    (2026-06-27 07:05:06)
3/4/2026 Moderate health risk Please consult with an internal medicine specialist due to high levels of LDL-cholesterol and high uric acid level. Additionally, weight reduction is highly recommended. For the next 3 months, kindly provide updates on your LDL-cholesterol, uric acid, and body weight.</t>
        </r>
      </text>
    </comment>
    <comment ref="AH82" authorId="0" shapeId="0" xr:uid="{00000000-0006-0000-0000-000035010000}">
      <text>
        <r>
          <rPr>
            <sz val="11"/>
            <color rgb="FF000000"/>
            <rFont val="Arial"/>
            <scheme val="minor"/>
          </rPr>
          <t>======
ID#AAAB0BHFBIE
arm m    (2026-02-09 07:42:12)
9/11/25 ค่าUricAcid=6.7 / 3/7/2025 อุดฟัน#48 28/05/2025 กรดยูริก=7.5 SGOT=20 SGPT=30 LDL-C=125</t>
        </r>
      </text>
    </comment>
    <comment ref="AK82" authorId="0" shapeId="0" xr:uid="{00000000-0006-0000-0000-000039010000}">
      <text>
        <r>
          <rPr>
            <sz val="11"/>
            <color rgb="FF000000"/>
            <rFont val="Arial"/>
            <scheme val="minor"/>
          </rPr>
          <t>======
ID#AAABww-7iy8
arm m    (2025-06-09 06:11:18)
13/12/2024 
Please reduce weight and control your diet to decrease high uric acid levels.
------
ID#AAABww-7izA
arm m    (2025-07-04 06:21:34)
9/6/2025 
Please address the abnormal findings from your dental examination before going to offshore work. Please consult an endocrinologist for guidance on weight reduction and hypertension management. You should also control your diet due to your slightly elevated uric acid level. Kindly provide us with updates on your blood pressure within the next month. Please note that for offshore positions at CTEP, only individuals with a BMI of less than 35 and blood pressure less than 140/90 mmHg are accepted.
------
ID#AAABww-7izE
arm m    (2025-11-10 10:04:48)
4/7/2025
Please consult an endocrinologist for weight reduction. Also, please follow a controlled diet to manage high uric acid levels. Please provide updates on your BMI within 6 months. (For offshore work at CTEP, only individuals with a BMI less than 35 are accepted.)
------
ID#AAABze1bN_c
arm m    (2026-02-19 03:10:15)
10/11/2025
Please continue treatment and follow up LDL Cholesterol in next 6 months.
------
ID#AAAB2Jrj6EA
arm m    (2026-03-18 02:13:03)
18/2/2026
Please receive dental treatment by filling (อุดฟัน #16,26,37,44,45,48 (ผ่าฟันคุด #38 if you have toothache)) then submit medical certificate before going offshore. 
Additionally, please prioritize weight reduction and update your BMI within the next 6 months, as all offshore workforces working for CTEP are required to maintain a Body Mass Index (BMI) below 35.</t>
        </r>
      </text>
    </comment>
    <comment ref="AH83" authorId="0" shapeId="0" xr:uid="{00000000-0006-0000-0000-00000A000000}">
      <text>
        <r>
          <rPr>
            <sz val="11"/>
            <color rgb="FF000000"/>
            <rFont val="Arial"/>
            <scheme val="minor"/>
          </rPr>
          <t>======
ID#AAAB7BGbCmQ
arm m    (2026-05-22 06:22:06)
30/10/2025 อุดฟัน#18</t>
        </r>
      </text>
    </comment>
    <comment ref="AK83" authorId="0" shapeId="0" xr:uid="{00000000-0006-0000-0000-000010000000}">
      <text>
        <r>
          <rPr>
            <sz val="11"/>
            <color rgb="FF000000"/>
            <rFont val="Arial"/>
            <scheme val="minor"/>
          </rPr>
          <t>======
ID#AAABww-7irk
arm m    (2025-11-17 07:23:34)
11/8/2025
Please address the abnormal findings from your dental examination (#18) before going to offshore work.
------
ID#AAAB7BGbCmU
arm m    (2026-05-22 06:22:45)
17/11/2025 Please focus on reducing your weight
------
ID#AAAB8E9bz8s
arm m    (2026-05-28 06:34:20)
25/5/2026
Please address the abnormal findings related to dental caries (#35, 36, 37) prior to offshore deployment. Please consult an internal medicine specialist regarding your elevated LDL cholesterol and triglyceride levels. It is also recommended that you work on weight reduction and follow a controlled diet to help lower your uric acid levels. Kindly provide an update on your LDL cholesterol and triglyceride levels within the next 3 months.</t>
        </r>
      </text>
    </comment>
    <comment ref="AK84" authorId="0" shapeId="0" xr:uid="{00000000-0006-0000-0000-000022000000}">
      <text>
        <r>
          <rPr>
            <sz val="11"/>
            <color rgb="FF000000"/>
            <rFont val="Arial"/>
            <scheme val="minor"/>
          </rPr>
          <t>======
ID#AAABww-7i1Q
arm m    (2025-08-20 07:58:09)
Please consult with an internal medicine specialist regarding your high triglycerides and uric acid levels. Additionally, it would be beneficial to reduce your weight. Kindly ensure that your triglyceride and uric acid levels are rechecked within the next 3 months.
------
ID#AAABww-7i1U
arm m    (2025-11-10 10:08:33)
2/10/2025
As recommended on 22 August 2025, please consult with an internal medicine specialist regarding your elevated triglyceride and uric acid levels. Additionally, it would be beneficial to reduce your weight. Kindly ensure that your triglyceride and uric acid levels are rechecked within the next 2 months.
------
ID#AAACDQuy5ek
arm m    (2026-07-18 01:21:39)
10/11/2025 Low health risk 
Please reduce weight and control your diet to decrease high uric acid levels.</t>
        </r>
      </text>
    </comment>
    <comment ref="AK85" authorId="0" shapeId="0" xr:uid="{00000000-0006-0000-0000-000036000000}">
      <text>
        <r>
          <rPr>
            <sz val="11"/>
            <color rgb="FF000000"/>
            <rFont val="Arial"/>
            <scheme val="minor"/>
          </rPr>
          <t>======
ID#AAABww-7i3Q
arm m    (2025-08-02 07:55:40)
6/2/2025
Please continue your hyperlipidemia treatment with your doctor.
------
ID#AAAB8q40j_A
arm m    (2026-06-02 02:19:39)
7/8/2026
Please control your diet to decrease high uric acid levels.</t>
        </r>
      </text>
    </comment>
    <comment ref="AH86" authorId="0" shapeId="0" xr:uid="{00000000-0006-0000-0000-000041000000}">
      <text>
        <r>
          <rPr>
            <sz val="11"/>
            <color rgb="FF000000"/>
            <rFont val="Arial"/>
            <scheme val="minor"/>
          </rPr>
          <t>======
ID#AAAB-N7rfJw
arm m    (2026-06-24 07:39:36)
3/8/2025 #ขุดหินปูน</t>
        </r>
      </text>
    </comment>
    <comment ref="AK86" authorId="0" shapeId="0" xr:uid="{00000000-0006-0000-0000-000046000000}">
      <text>
        <r>
          <rPr>
            <sz val="11"/>
            <color rgb="FF000000"/>
            <rFont val="Arial"/>
            <scheme val="minor"/>
          </rPr>
          <t>======
ID#AAABww-7i3U
arm m    (2025-08-05 07:40:14)
No additional recommendation.
------
ID#AAAB-N7rfJ0
arm m    (2026-06-24 07:40:16)
7/8/2025 Low health risk 
Please address the abnormal findings from your dental examination.</t>
        </r>
      </text>
    </comment>
    <comment ref="AH87" authorId="0" shapeId="0" xr:uid="{00000000-0006-0000-0000-000054000000}">
      <text>
        <r>
          <rPr>
            <sz val="11"/>
            <color rgb="FF000000"/>
            <rFont val="Arial"/>
            <scheme val="minor"/>
          </rPr>
          <t>======
ID#AAABww-7i2U
arm m    (2025-09-11 01:49:49)
16/01/2025 ถอนฟัน# 35 , ขุูดหินปูนแล้ว16/10/24
------
ID#AAACANx8am0
arm m    (2026-08-05 07:21:51)
21/9/2025 อุดฟัน#23 19/9/2025 ติดตามความดันโลหิต=130/85 , TG=85 , SGOT=44 , SGPT=48 , ถอนฟัน #38</t>
        </r>
      </text>
    </comment>
    <comment ref="AK87" authorId="0" shapeId="0" xr:uid="{00000000-0006-0000-0000-000058000000}">
      <text>
        <r>
          <rPr>
            <sz val="11"/>
            <color rgb="FF000000"/>
            <rFont val="Arial"/>
            <scheme val="minor"/>
          </rPr>
          <t>======
ID#AAABww-7i1Y
arm m    (2025-09-11 01:50:18)
17/1/2025
Please consult an internal medicine specialist for high LDL-cholesterol. Update your LDL-cholesterol in February 2025.
------
ID#AAABww-7i1c
arm m    (2025-09-25 09:26:44)
11/9/2025
Please consult an internal medicine specialist regarding your high blood pressure, significantly elevated liver enzyme levels, and high triglycerides. Follow up on your blood pressure and treatment plan within one month. Additionally, please follow up on your liver enzyme and triglyceride levels within the next three months. Kindly note that for offshore work at CTEP, only individuals with blood pressure below 140/90 mmHg are eligible.
------
ID#AAACE1m7vqA
arm m    (2026-08-06 06:27:52)
23/9/2025 Low health risk 
Please continue treatment for your hypertension with your doctor. Kindly note that for offshore work at CTEP, only individuals with blood pressure below 140/90 mmHg are eligible.</t>
        </r>
      </text>
    </comment>
    <comment ref="AH88" authorId="0" shapeId="0" xr:uid="{00000000-0006-0000-0000-000066000000}">
      <text>
        <r>
          <rPr>
            <sz val="11"/>
            <color rgb="FF000000"/>
            <rFont val="Arial"/>
            <scheme val="minor"/>
          </rPr>
          <t>======
ID#AAAB5BZ8ciw
arm m    (2026-04-28 01:45:16)
18/8/2025 อุดฟัน#46 11/8/2025 ความดันโลหิต=135/73 กรดยูริค=8.1</t>
        </r>
      </text>
    </comment>
    <comment ref="AK88" authorId="0" shapeId="0" xr:uid="{00000000-0006-0000-0000-00006B000000}">
      <text>
        <r>
          <rPr>
            <sz val="11"/>
            <color rgb="FF000000"/>
            <rFont val="Arial"/>
            <scheme val="minor"/>
          </rPr>
          <t>======
ID#AAABteFivBM
Saisuda T    (2025-07-03 07:12:52)
13/1/25:Please control your diet to decrease high uric acid levels..
------
ID#AAABteFivBQ
arm m    (2025-08-15 06:13:05)
7/8/2025
Please address the abnormal findings (#46ฟันผุ) from your dental examination before going offshore. Please consult an internal medicine specialist for your high blood pressure and high uric acid levels. Additionally, focus on reducing your weight. Please provide your blood pressure and uric acid results within 3 months. Note: For offshore workforces at CTEP, eligibility is limited to individuals with a blood pressure below 140/90 mmHg.
------
ID#AAABteFivBU
arm m    (2025-08-20 01:34:52)
15/8/2025
Please address the abnormal findings (#46ฟันผุ) from your dental examination before going offshore. Please consult an internal medicine specialist for your high blood pressure and high uric acid levels. Additionally, focus on reducing your weight. Please provide your blood pressure and uric acid results within 3 months. Note: For offshore workforces at CTEP, eligibility is limited to individuals with a blood pressure below 140/90 mmHg.
------
ID#AAAB5BZ8ci0
arm m    (2026-04-28 01:45:39)
18/8/2026
Please reduce weight and control your diet to decrease high uric acid levels.
------
ID#AAAB5phllFw
arm m    (2026-05-05 06:50:52)
29/4/2026
Please receive dental treatment as dentist 's recommendation then submit medical certificate before going offshore. Additionally, please consult an internal medicine specialist about your high uric acid levels and consider reducing your weight. Also, please have your uric acid levels checked again in the next 3 months.
------
ID#AAACDpUZ12E
arm m    (2026-07-22 02:45:01)
5/5/2026 Moderate health risk Please consult an internal medicine specialist about your high uric acid levels and consider reducing your weight. Also, please have your uric acid levels checked again in the next 3 months.</t>
        </r>
      </text>
    </comment>
    <comment ref="AH89" authorId="0" shapeId="0" xr:uid="{00000000-0006-0000-0000-000079000000}">
      <text>
        <r>
          <rPr>
            <sz val="11"/>
            <color rgb="FF000000"/>
            <rFont val="Arial"/>
            <scheme val="minor"/>
          </rPr>
          <t>======
ID#AAAB6ZR0BV4
arm m    (2026-05-13 07:13:01)
30/10/25 ตรวจHbA1c=5.7 29/10/25 ตรวจFBS=98.9 24/7/2025 TG=104 SGOT=24 SGPT=38</t>
        </r>
      </text>
    </comment>
    <comment ref="AK89" authorId="0" shapeId="0" xr:uid="{00000000-0006-0000-0000-00007F000000}">
      <text>
        <r>
          <rPr>
            <sz val="11"/>
            <color rgb="FF000000"/>
            <rFont val="Arial"/>
            <scheme val="minor"/>
          </rPr>
          <t>======
ID#AAABww-7ixM
arm m    (2025-06-13 03:06:14)
Additionally, please consult an internal medicine specialist for high LDL-cholesterol. Update your LDL-cholesterol in the next 3 months.
------
ID#AAABww-7ixQ
arm m    (2025-10-30 10:07:00)
17/6/2025
Please consult with an internal medicine specialist due to your high blood sugar, and very high liver enzyme levels. It is crucial to focus on weight reduction. Make sure to provide updates on your fasting blood sugar, HbA1c, and liver enzyme levels within 10 July 2025.
------
ID#AAAB6cdrph4
arm m    (2026-05-14 06:26:53)
30/10/2025
Please focus on reducing your weight.
------
ID#AAAB95kIS7c
arm m    (2026-06-22 09:35:46)
14/5/2026 High health risk 
Please consult an internal medicine specialist for high blood sugar. If you already have diabetes, provide us with your treatment history, particularly focusing on high LDL-cholesterol. Concentrate on weight reduction. Additionally, provide an update on your fasting blood sugar (FBS), HbA1C, LDL-cholesterol and treatment plan within 3 months.</t>
        </r>
      </text>
    </comment>
    <comment ref="AH90" authorId="0" shapeId="0" xr:uid="{00000000-0006-0000-0000-00008B000000}">
      <text>
        <r>
          <rPr>
            <sz val="11"/>
            <color rgb="FF000000"/>
            <rFont val="Arial"/>
            <scheme val="minor"/>
          </rPr>
          <t>======
ID#AAAB7uQ58eQ
arm m    (2026-06-11 09:59:45)
15/11/25 อุดฟันซี่24แล้ว 23/8/2025 ขุดหินปูนล่าง 28/8/2025 ขุดหินปูนบน</t>
        </r>
      </text>
    </comment>
    <comment ref="AK90" authorId="0" shapeId="0" xr:uid="{00000000-0006-0000-0000-000091000000}">
      <text>
        <r>
          <rPr>
            <sz val="11"/>
            <color rgb="FF000000"/>
            <rFont val="Arial"/>
            <scheme val="minor"/>
          </rPr>
          <t>======
ID#AAABww-7ixc
arm m    (2025-08-25 09:11:22)
13/11/2024
Please continue dental treatment for the remaining abnormal dental issues until they are fully resolved and update on medical certificate to us before the next shift.
------
ID#AAAB7uQ58eM
arm m    (2026-06-11 09:51:00)
2/9/2026
No additional recommendation.
------
ID#AAAB8IMkbME
arm m    (2026-06-15 08:18:54)
11/6/2026
Please address the abnormal findings from your dental examination before going to offshore work.</t>
        </r>
      </text>
    </comment>
    <comment ref="AH91" authorId="0" shapeId="0" xr:uid="{00000000-0006-0000-0000-0000A2000000}">
      <text>
        <r>
          <rPr>
            <sz val="11"/>
            <color rgb="FF000000"/>
            <rFont val="Arial"/>
            <scheme val="minor"/>
          </rPr>
          <t>======
ID#AAABww-7i6M
arm m    (2025-09-30 02:59:48)
10/1/2025 ติดตามกรดยูริก=7.7 ไขมันไม่ดี LDL=116 , 9/1/2025อุดฟัน#46,47 , ถอนฟััน #35 26/11/2024</t>
        </r>
      </text>
    </comment>
    <comment ref="AK91" authorId="0" shapeId="0" xr:uid="{00000000-0006-0000-0000-0000A6000000}">
      <text>
        <r>
          <rPr>
            <sz val="11"/>
            <color rgb="FF000000"/>
            <rFont val="Arial"/>
            <scheme val="minor"/>
          </rPr>
          <t>======
ID#AAABww-7i30
arm m    (2025-10-14 01:59:47)
16/1/2025
Low health risk</t>
        </r>
      </text>
    </comment>
    <comment ref="AH92" authorId="0" shapeId="0" xr:uid="{00000000-0006-0000-0000-0000B5000000}">
      <text>
        <r>
          <rPr>
            <sz val="11"/>
            <color rgb="FF000000"/>
            <rFont val="Arial"/>
            <scheme val="minor"/>
          </rPr>
          <t>======
ID#AAAB8DPsB9k
arm m    (2026-05-28 03:01:49)
พนักงานอุดฟันซี่37, 47แล้วเมื่อ5-8-25</t>
        </r>
      </text>
    </comment>
    <comment ref="AK92" authorId="0" shapeId="0" xr:uid="{00000000-0006-0000-0000-0000B8000000}">
      <text>
        <r>
          <rPr>
            <sz val="11"/>
            <color rgb="FF000000"/>
            <rFont val="Arial"/>
            <scheme val="minor"/>
          </rPr>
          <t>======
ID#AAABww-7isk
arm m    (2025-08-01 07:59:41)
Please address the abnormal findings from your dental examination and receive dental treatment before going offshore. Additionally, please focus on reducing your weight.
------
ID#AAAB8DPsB9o
arm m    (2026-05-28 03:02:18)
6/8/2025 
Please focus on reducing your weight</t>
        </r>
      </text>
    </comment>
    <comment ref="AH93" authorId="0" shapeId="0" xr:uid="{00000000-0006-0000-0000-0000C7000000}">
      <text>
        <r>
          <rPr>
            <sz val="11"/>
            <color rgb="FF000000"/>
            <rFont val="Arial"/>
            <scheme val="minor"/>
          </rPr>
          <t>======
ID#AAACDPYYbdg
arm m    (2026-07-18 07:15:55)
15/8/2025 อุดฟัน #15</t>
        </r>
      </text>
    </comment>
    <comment ref="AK93" authorId="0" shapeId="0" xr:uid="{00000000-0006-0000-0000-0000CC000000}">
      <text>
        <r>
          <rPr>
            <sz val="11"/>
            <color rgb="FF000000"/>
            <rFont val="Arial"/>
            <scheme val="minor"/>
          </rPr>
          <t>======
ID#AAACDPYYbdk
arm m    (2026-07-18 07:16:24)
18/8/2025 Low health risk 
No additional recommendation.</t>
        </r>
      </text>
    </comment>
    <comment ref="AK94" authorId="0" shapeId="0" xr:uid="{00000000-0006-0000-0000-0000E0000000}">
      <text>
        <r>
          <rPr>
            <sz val="11"/>
            <color rgb="FF000000"/>
            <rFont val="Arial"/>
            <scheme val="minor"/>
          </rPr>
          <t>======
ID#AAABww-7i5k
arm m    (2025-08-02 08:58:29)
19/12/2024
Please continue to receive dental treatment as recommended by the dentist before the next shift. Additionally, please reduce weight and control your diet to decrease high uric acid levels.
------
ID#AAAB8q40j-g
arm m    (2026-06-02 02:12:08)
7/8/2025
Please reduce weight and control your diet to decrease high uric acid levels.
------
ID#AAAB7uQ58eg
arm m    (2026-06-11 10:10:26)
4/6/2026
Please address the abnormal findings from your dental examination before going to offshore work. Please consult with an internal medicine specialist due to your high levels of LDL-cholesterol and uric acid. Additionally, weight reduction is highly recommended. For the next 3 months, kindly provide updates on your LDL-cholesterol, and uric acid levels.</t>
        </r>
      </text>
    </comment>
    <comment ref="AH95" authorId="0" shapeId="0" xr:uid="{00000000-0006-0000-0000-0000EF000000}">
      <text>
        <r>
          <rPr>
            <sz val="11"/>
            <color rgb="FF000000"/>
            <rFont val="Arial"/>
            <scheme val="minor"/>
          </rPr>
          <t>======
ID#AAAB_dXswrI
arm m    (2026-07-22 08:46:42)
14/5/2026 อุดฟัน#31 25/3/26 ติดตามความดัน=119/65 /16/3/2026 อุดฟัน#48 15/10/25 อุดฟันซี่26 ,26/8/2025 ถอนฟัน #28, ความดัน= 126/68</t>
        </r>
      </text>
    </comment>
    <comment ref="AK95" authorId="0" shapeId="0" xr:uid="{00000000-0006-0000-0000-0000F4000000}">
      <text>
        <r>
          <rPr>
            <sz val="11"/>
            <color rgb="FF000000"/>
            <rFont val="Arial"/>
            <scheme val="minor"/>
          </rPr>
          <t>======
ID#AAABww-7i5M
arm m    (2025-08-25 09:26:10)
25/8/2025
Did he receive dental treatment for tooth no.41 as recommended by the dentist before going offshore?, Please reduce weight and control your diet to decrease high uric acid levels.
------
ID#AAACDpUZ12Q
arm m    (2026-07-22 02:50:01)
2/10/2025 Low health risk 
Please continue focusing on weight reduction and regularly monitor your blood pressure.</t>
        </r>
      </text>
    </comment>
    <comment ref="AH96" authorId="0" shapeId="0" xr:uid="{00000000-0006-0000-0000-000005010000}">
      <text>
        <r>
          <rPr>
            <sz val="11"/>
            <color rgb="FF000000"/>
            <rFont val="Arial"/>
            <scheme val="minor"/>
          </rPr>
          <t>======
ID#AAAB9BqCC1U
arm m    (2026-06-10 02:04:55)
21/8/2025 ขุดหินปูน</t>
        </r>
      </text>
    </comment>
    <comment ref="AK96" authorId="0" shapeId="0" xr:uid="{00000000-0006-0000-0000-000009010000}">
      <text>
        <r>
          <rPr>
            <sz val="11"/>
            <color rgb="FF000000"/>
            <rFont val="Arial"/>
            <scheme val="minor"/>
          </rPr>
          <t>======
ID#AAABww-7i2k
arm m    (2025-08-20 08:43:39)
21/1/2025 Low health risk
------
ID#AAAB9BqCC1Y
arm m    (2026-06-10 02:05:24)
22/8/2025
No additional recommendation.</t>
        </r>
      </text>
    </comment>
    <comment ref="AH97" authorId="0" shapeId="0" xr:uid="{00000000-0006-0000-0000-000017010000}">
      <text>
        <r>
          <rPr>
            <sz val="11"/>
            <color rgb="FF000000"/>
            <rFont val="Arial"/>
            <scheme val="minor"/>
          </rPr>
          <t>======
ID#AAACDPYYbdo
arm m    (2026-07-18 07:22:09)
16/8/2025 อุดฟัน #24,35 , ขุดหินปูน</t>
        </r>
      </text>
    </comment>
    <comment ref="AK97" authorId="0" shapeId="0" xr:uid="{00000000-0006-0000-0000-00001D010000}">
      <text>
        <r>
          <rPr>
            <sz val="11"/>
            <color rgb="FF000000"/>
            <rFont val="Arial"/>
            <scheme val="minor"/>
          </rPr>
          <t>======
ID#AAACDPYYbds
arm m    (2026-07-18 07:22:39)
22/8/2025 Low health risk 
No additional recommendation.
------
ID#AAACDpUZ11w
arm m    (2026-07-22 02:33:54)
21/7/2026 Pending 
Please address the abnormal findings (อุดคอฟัน #46) from your dental examination before going offshore. Additionally, please focus on a low sugar diet due to your rising fasting blood sugar.</t>
        </r>
      </text>
    </comment>
    <comment ref="AH98" authorId="0" shapeId="0" xr:uid="{00000000-0006-0000-0000-00002B010000}">
      <text>
        <r>
          <rPr>
            <sz val="11"/>
            <color rgb="FF000000"/>
            <rFont val="Arial"/>
            <scheme val="minor"/>
          </rPr>
          <t>======
ID#AAABww-7i4w
arm m    (2025-09-26 01:39:36)
อุดฟันซี่17แล้ว 14/11/24 ,ถอนฟัน #15 3/10/2024
------
ID#AAAB-zvyS-A
arm m    (2026-07-02 09:03:42)
23/3/26 ถอนฟันซี่38 ,19/3/26 ติดตามค่าSGOT=47,GSPT=96,ผลตรวจปัสสาวะ=ปกติ ,2/1/2026 ผลตรวจค่าตับและปัสสาวะปกติ 26/9/25 ถอนฟัน#14</t>
        </r>
      </text>
    </comment>
    <comment ref="AK98" authorId="0" shapeId="0" xr:uid="{00000000-0006-0000-0000-00002E010000}">
      <text>
        <r>
          <rPr>
            <sz val="11"/>
            <color rgb="FF000000"/>
            <rFont val="Arial"/>
            <scheme val="minor"/>
          </rPr>
          <t>======
ID#AAABww-7i28
arm m    (2025-09-26 01:39:59)
Please consult a gastrointestinal specialist because of your elevated liver enzymes. Additionally, consider reducing your weight and adjusting your diet to manage your high uric acid levels. Ensure you update your liver enzyme levels in the next 3 months.
------
ID#AAABzNUVEgE
arm m    (2026-01-30 06:18:35)
27/9/2025
Please seek advice from a gastroenterologist due to your significantly elevated liver enzymes and consider working towards weight reduction for your health. Furthermore, please avoid alcohol consumption, as it can worsen liver inflammation. Refrain from self-medicating, especially with drugs like paracetamol, which may affect liver function. Be cautious with dietary supplements and consult a healthcare professional before using any. In addition, please ensure to follow up on your liver enzyme levels in 3 months.
------
ID#AAAB2fhoIrk
Saisuda T    (2026-03-25 06:50:40)
30/1/26: Pending : As previously requested, kindly provide the liver enzyme test results (SGOT and SGPT) prior to proceeding with offshore work.
------
ID#AAAB-zvyS-I
arm m    (2026-07-02 09:04:39)
25/3/2026 High health risk 
Your dental extraction must be completely healed, and all stitches removed before going offshore. Please continue follow-up with your doctor for the markedly elevated liver enzyme levels. If you consume alcohol, please stop drinking. Weight reduction is strongly recommended. Kindly provide updated liver enzyme test results (SGOT and SGPT) within the next 3 months.</t>
        </r>
      </text>
    </comment>
    <comment ref="AH99" authorId="0" shapeId="0" xr:uid="{00000000-0006-0000-0000-00003E010000}">
      <text>
        <r>
          <rPr>
            <sz val="11"/>
            <color rgb="FF000000"/>
            <rFont val="Arial"/>
            <scheme val="minor"/>
          </rPr>
          <t>======
ID#AAAB2PSNYCk
arm m    (2026-03-21 01:27:11)
30/10/2025 ตรงจติดตามความดัน=134/79 SGOT=63 25/10/24 ได้139/74,ขูดหินปูนทั้งปาก 25/10/24 ,ถอนฟันซี่47แล้ว28/5/24</t>
        </r>
      </text>
    </comment>
    <comment ref="AK99" authorId="0" shapeId="0" xr:uid="{00000000-0006-0000-0000-000004000000}">
      <text>
        <r>
          <rPr>
            <sz val="11"/>
            <color rgb="FF000000"/>
            <rFont val="Arial"/>
            <scheme val="minor"/>
          </rPr>
          <t>======
ID#AAABww-7ix0
arm m    (2025-05-02 10:00:42)
Please consult with an internal medicine specialist regarding your high blood pressure and significantly elevated liver enzymes. Weight reduction is strongly recommended as a part of your management plan. Ensure to follow up on your blood pressure and provide updates on your liver enzyme levels within the next 3 months. Note that for offshore positions at CTEP, eligibility requires a blood pressure below 140/90 mmHg.
------
ID#AAABww-7ix4
arm m    (2025-10-30 10:08:18)
2/5/2025
Please consult a gastrointestinal specialist due to your high liver enzymes and make an effort to reduce your weight. Ensure to update your liver enzyme levels within 6 months.
------
ID#AAAB2PSNYCo
arm m    (2026-03-21 01:27:40)
30/10/2025
Please consult a gastrointestinal specialist due to your high liver enzymes and make an effort to reduce your weight. Ensure to update your liver enzyme levels within 6 months.
------
ID#AAAB6HaI8MQ
arm m    (2026-05-12 02:25:57)
23/3/2026
Please consult with a specialist in internal medicine regarding your high LDL-cholesterol, and high liver enzyme levels, and work towards reducing your weight. Make sure to track and update your LDL-cholesterol, and liver enzyme levels in the next 3 months.
------
ID#AAAB6c7hJKQ
arm m    (2026-05-14 06:29:55)
12/5/2026
Please continue treatment for hyperlipidemia with your doctor and continue efforts toward weight reduction. Kindly address the abnormal dental finding (คอฟันสึก) before proceeding to offshore work.
------
ID#AAACACujd6c
arm m    (2026-07-15 08:54:50)
14/5/2026 High health risk Please seek advice from a gastroenterologist due to your significantly elevated liver enzymes and consider working towards weight reduction for your health. Please ensure to follow up on your liver enzyme levels in 3 months.</t>
        </r>
      </text>
    </comment>
    <comment ref="AH100" authorId="0" shapeId="0" xr:uid="{00000000-0006-0000-0000-000016000000}">
      <text>
        <r>
          <rPr>
            <sz val="11"/>
            <color rgb="FF000000"/>
            <rFont val="Arial"/>
            <scheme val="minor"/>
          </rPr>
          <t>======
ID#AAABww-7irY
arm m    (2025-09-30 06:41:01)
ติดตามไขมันในเลือดสูง+ยา
------
ID#AAACDPYYbdw
arm m    (2026-07-18 07:27:34)
23/12/2025 LDL=151, TG=107 19/9/2025 ขูดหินปูน</t>
        </r>
      </text>
    </comment>
    <comment ref="AK100" authorId="0" shapeId="0" xr:uid="{00000000-0006-0000-0000-000019000000}">
      <text>
        <r>
          <rPr>
            <sz val="11"/>
            <color rgb="FF000000"/>
            <rFont val="Arial"/>
            <scheme val="minor"/>
          </rPr>
          <t>======
ID#AAABww-7ivc
arm m    (2025-09-30 08:45:02)
17/7/2025
Please continue treatment and following up for high LDL. Update LDL cholesterol level in next 3 months.
------
ID#AAABzHH68t4
arm m    (2026-01-29 01:22:42)
30/9/2025
Please consult an internal medicine specialist for high LDL-cholesterol. Update your LDL-cholesterol in the next 3 months.
------
ID#AAACDPYYbd0
arm m    (2026-07-18 07:28:09)
28/1/2026 Low health risk 
No additional recommendation.</t>
        </r>
      </text>
    </comment>
    <comment ref="AH101" authorId="0" shapeId="0" xr:uid="{00000000-0006-0000-0000-000027000000}">
      <text>
        <r>
          <rPr>
            <sz val="11"/>
            <color rgb="FF000000"/>
            <rFont val="Arial"/>
            <scheme val="minor"/>
          </rPr>
          <t>======
ID#AAABww-7iy4
arm m    (2025-09-11 02:31:06)
อุดฟันซี่35แล้ว24/10/24
------
ID#AAACEktJ_6c
arm m    (2026-08-03 13:42:44)
23/10/2025 อุดฟัน#25 13/9/25 ได้รับการขูดหินปูทั้งปากแล้ว</t>
        </r>
      </text>
    </comment>
    <comment ref="AK101" authorId="0" shapeId="0" xr:uid="{00000000-0006-0000-0000-00002C000000}">
      <text>
        <r>
          <rPr>
            <sz val="11"/>
            <color rgb="FF000000"/>
            <rFont val="Arial"/>
            <scheme val="minor"/>
          </rPr>
          <t>======
ID#AAABww-7i0w
arm m    (2025-09-11 02:31:39)
21/1/2025Please continue with the dental treatment as recommended by the dentist (ฟันผุลึกซี่37(2-3เดือน)/อุด27,35,36,25,45(3-6เดือน) until it is complete and update us on medical certificate within 3 months. Additionally, please reduce weight and control your diet to decrease high uric acid levels.
------
ID#AAABww-7i00
arm m    (2025-10-24 09:36:25)
15/9/2025
Please address the abnormal findings from your dental examination, specifically the dental caries, before proceeding with offshore work. Additionally, please focus on reducing your weight and adhering to a low sugar and carbohydrate diet due to your elevated fasting blood sugar levels and dietary adjustments to reduce your elevated uric acid levels.
------
ID#AAACEktJ_6o
arm m    (2026-08-03 13:43:26)
24/10/2025 Low health risk Please focus on reducing your weight and adhering to a low sugar and carbohydrate diet due to your elevated fasting blood sugar levels and dietary adjustments to reduce your elevated uric acid levels.
------
ID#AAACEzfTsUc
arm m    (2026-08-04 10:25:45)
4/8/2026 Pending
Please address the abnormal findings related to dental caries (37,45,18,48) before going offshore. Please reduce weight and control your diet to decrease your slightly elevated uric acid levels.</t>
        </r>
      </text>
    </comment>
    <comment ref="AH102" authorId="0" shapeId="0" xr:uid="{00000000-0006-0000-0000-000039000000}">
      <text>
        <r>
          <rPr>
            <sz val="11"/>
            <color rgb="FF000000"/>
            <rFont val="Arial"/>
            <scheme val="minor"/>
          </rPr>
          <t>======
ID#AAAB1i2RGMo
arm m    (2026-03-10 04:25:40)
7/8/2025 อุดฟัน#27</t>
        </r>
      </text>
    </comment>
    <comment ref="AK102" authorId="0" shapeId="0" xr:uid="{00000000-0006-0000-0000-00003C000000}">
      <text>
        <r>
          <rPr>
            <sz val="11"/>
            <color rgb="FF000000"/>
            <rFont val="Arial"/>
            <scheme val="minor"/>
          </rPr>
          <t>======
ID#AAABww-7iss
arm m    (2025-08-05 09:22:37)
Please reduce weight and control your diet to decrease high uric acid levels.
------
ID#AAAB1i2RGMs
arm m    (2026-03-10 04:26:10)
8/8/2025
Please reduce weight and control your diet to decrease high uric acid levels.
------
ID#AAAB3Hsx_Bs
arm m    (2026-04-08 09:36:48)
10/3/2026
Please address the abnormal findings (#46 broken filling with deep dental caries) from your dental examination and repeat urine test before going offshore. In addition, please consult with an internal medicine specialist regarding your elevated triglyceride and liver enzyme levels. We also recommend pursuing weight reduction and adopting dietary measures to manage high uric acid levels. Make sure to monitor and provide updates on your triglyceride and liver enzyme levels within the next 3 months.
------
ID#AAAB3JHQC8g
arm m    (2026-04-10 07:56:20)
8/4/2026
Please recheck urine analysis and submit before going offshore. 
In addition, please consult with an internal medicine specialist regarding your elevated triglyceride and liver enzyme levels. We also recommend pursuing weight reduction and adopting dietary measures to manage high uric acid levels. Make sure to monitor and provide updates on your triglyceride and liver enzyme levels within the next 3 months.
------
ID#AAAB8DAQUkU
arm m    (2026-05-27 01:34:26)
10/4/2026
Please consult with an internal medicine specialist regarding your elevated triglyceride and liver enzyme levels. We also recommend pursuing weight reduction and adopting dietary measures to manage high uric acid levels. Make sure to monitor and provide updates on your triglyceride and liver enzyme levels within the next 3 months.</t>
        </r>
      </text>
    </comment>
    <comment ref="AH103" authorId="0" shapeId="0" xr:uid="{00000000-0006-0000-0000-00004A000000}">
      <text>
        <r>
          <rPr>
            <sz val="11"/>
            <color rgb="FF000000"/>
            <rFont val="Arial"/>
            <scheme val="minor"/>
          </rPr>
          <t>======
ID#AAABww-7iuw
arm m    (2025-10-25 03:57:37)
9/1/2025 ขุดหินปูด , 8/1/2025 ติดตามไขมันในเลือดสูง+ยา ,ไขมันไตรกลีเซอไรด์ =178 , ค่าTriglyceride สูงได้รับยาลดไขมัน14/11/24</t>
        </r>
      </text>
    </comment>
    <comment ref="AK103" authorId="0" shapeId="0" xr:uid="{00000000-0006-0000-0000-00004F000000}">
      <text>
        <r>
          <rPr>
            <sz val="11"/>
            <color rgb="FF000000"/>
            <rFont val="Arial"/>
            <scheme val="minor"/>
          </rPr>
          <t>======
ID#AAABww-7i18
arm m    (2025-10-25 03:58:02)
13/1/2025 Low health risk
------
ID#AAABw9eH6Kw
arm m    (2025-12-04 09:28:44)
27/10/2025
Please address the abnormal findings from your dental examination (อุดฟัน#24,45 อุดคอฟัน #15,14,24,34) before going offshore. Additionally, please consult an internal medicine specialist for high triglyceride levels. Update your triglyceride levels in the next 3 months.
------
ID#AAAB1q9w0uk
arm m    (2026-03-12 06:23:27)
4/12/2026
Please address the remaining abnormal findings from your dental examination (filling tooth #24 and cervical fillings for teeth #15, 14, 24, and 34). Additionally, consult an internal medicine specialist regarding your elevated triglyceride levels. Please update both your triglyceride results and complete the remaining dental treatments within the next 3 months.
------
ID#AAAB9vpoB_o
arm m    (2026-06-17 03:04:52)
12/3/2026 Moderate health risk
Please continue treatment regarding your elevated triglyceride levels. Please update your triglyceride results in the next 3 months.
------
ID#AAACE1m7vp0
arm m    (2026-08-06 06:22:42)
17/6/2026 Moderate health risk Please continue treatment regarding your elevated triglyceride levels. Please update your triglyceride results in the next 3 months.</t>
        </r>
      </text>
    </comment>
    <comment ref="AK104" authorId="0" shapeId="0" xr:uid="{00000000-0006-0000-0000-00005F000000}">
      <text>
        <r>
          <rPr>
            <sz val="11"/>
            <color rgb="FF000000"/>
            <rFont val="Arial"/>
            <scheme val="minor"/>
          </rPr>
          <t>======
ID#AAABww-7iso
arm m    (2025-09-06 09:51:30)
17/1/2025
Please submit last follow up laboratory of LDL cholesterol and Triglyceride level.
------
ID#AAACFdKUr6I
arm m    (2026-08-11 02:42:42)
9/9/2025 Low health risk 
Please reduce weight and control your diet to decrease high uric acid levels.</t>
        </r>
      </text>
    </comment>
    <comment ref="AH105" authorId="0" shapeId="0" xr:uid="{00000000-0006-0000-0000-000070000000}">
      <text>
        <r>
          <rPr>
            <sz val="11"/>
            <color rgb="FF000000"/>
            <rFont val="Arial"/>
            <scheme val="minor"/>
          </rPr>
          <t>======
ID#AAAB2MmUp3Q
arm m    (2026-03-19 09:44:33)
7/11/25 อุดฟันซี่ 24,27แล้ว / 6/9/2025 อุดฟัน#25</t>
        </r>
      </text>
    </comment>
    <comment ref="AK105" authorId="0" shapeId="0" xr:uid="{00000000-0006-0000-0000-000074000000}">
      <text>
        <r>
          <rPr>
            <sz val="11"/>
            <color rgb="FF000000"/>
            <rFont val="Arial"/>
            <scheme val="minor"/>
          </rPr>
          <t>======
ID#AAABww-7i2o
arm m    (2025-08-05 09:31:58)
Please address the abnormal findings from your dental examination and receive dental treatment before going offshore. Additionally, please consult an internal medicine specialist for high triglyceride levels. Update your triglyceride levels in the next 3 months.
------
ID#AAABww-7i2s
arm m    (2025-09-10 01:41:51)
7/8/2025
Please address the abnormal findings (ควรอุดฟัน#24,27) from your dental examination before going offshore.
------
ID#AAABww-7i2w
arm m    (2025-11-10 02:18:58)
7/8/2025
Please schedule a dental filling for another tooth within the next three months.
------
ID#AAAB2MmUp3U
arm m    (2026-03-19 09:44:54)
10/11/2025 
No additional recommendation.
------
ID#AAAB5Fx_FiM
arm m    (2026-04-30 01:11:30)
20/3/2026
Please address the abnormal findings related to dental caries (#17) before going offshore. Please focus on reducing your weight</t>
        </r>
      </text>
    </comment>
    <comment ref="AK106" authorId="0" shapeId="0" xr:uid="{00000000-0006-0000-0000-000085000000}">
      <text>
        <r>
          <rPr>
            <sz val="11"/>
            <color rgb="FF000000"/>
            <rFont val="Arial"/>
            <scheme val="minor"/>
          </rPr>
          <t>======
ID#AAABw57uvPg
arm m    (2025-12-02 03:14:09)
18/12/2025
Low health risk
------
ID#AAAB2Jrj6D4
arm m    (2026-03-18 02:03:21)
2/12/2025
Please consult an internal medicine specialist for high LDL-cholesterol. Update your LDL-cholesterol in the next 3 months. Additionally, please address the abnormal findings noted in your dental certificate (#16 cervical abrasion, gingivitis) within the next 3 months.
------
ID#AAAB2KVQpYY
arm m    (2026-03-18 09:50:36)
17/3/2026
Please address the abnormal findings from your dental examination (#17) before going to offshore work. Please continue your treatment for hyperlipidemia.</t>
        </r>
      </text>
    </comment>
    <comment ref="AH107" authorId="0" shapeId="0" xr:uid="{00000000-0006-0000-0000-000095000000}">
      <text>
        <r>
          <rPr>
            <sz val="11"/>
            <color rgb="FF000000"/>
            <rFont val="Arial"/>
            <scheme val="minor"/>
          </rPr>
          <t>======
ID#AAAB5BZ8ci4
arm m    (2026-04-28 01:52:23)
7/8/2025 ขุดหินปูน</t>
        </r>
      </text>
    </comment>
    <comment ref="AK107" authorId="0" shapeId="0" xr:uid="{00000000-0006-0000-0000-00009A000000}">
      <text>
        <r>
          <rPr>
            <sz val="11"/>
            <color rgb="FF000000"/>
            <rFont val="Arial"/>
            <scheme val="minor"/>
          </rPr>
          <t>======
ID#AAABww-7izo
arm m    (2025-08-05 08:36:07)
Please consult with an internal medicine specialist due to your elevated triglyceride. It is also recommended that you undertake weight reduction and control diet for high uric acid level. Ensure to monitor and report your triglyceride level in the next 3 months.
------
ID#AAAB5BZ8ci8
arm m    (2026-04-28 01:52:50)
8/8/2025
Please consult an internal medicine specialist because of your high LDL-cholesterol, elevated triglycerides, and high uric acid levels. It's also recommended to reduce weight. Ensure you monitor and report your LDL-cholesterol, triglycerides in the next 3 months.
------
ID#AAAB-MgxGNw
arm m    (2026-06-23 01:52:58)
29/4/2026 High health risk Please consult with an internal medicine specialist regarding your high blood pressure, high triglyceride, and high uric acid levels. Weight reduction is strongly recommended as part of your management plan. Ensure to follow up on your blood pressure and provide updates on your triglyceride and uric acid levels within the next 3 months. Note that for offshore positions at CTEP, eligibility requires a blood pressure below 140/90 mmHg. Please see the doctor for following up the chest x-ray in next 3 months.</t>
        </r>
      </text>
    </comment>
    <comment ref="AH108" authorId="0" shapeId="0" xr:uid="{00000000-0006-0000-0000-0000AA000000}">
      <text>
        <r>
          <rPr>
            <sz val="11"/>
            <color rgb="FF000000"/>
            <rFont val="Arial"/>
            <scheme val="minor"/>
          </rPr>
          <t>======
ID#AAAB7QGIruU
arm m    (2026-05-16 06:59:14)
1/5/26 ค่าSGPT=36 ,19/3/2026 ความดันโลหิต=124/91, SGOT=44.8, SGPT=91.9, ตรวจปัสสาวะ ,,มีนัดตรวจเลือด1/5/2026 . 17/12/2025 Uric Acid = 7.10 , SGPT=72.8 15/12/2025 TG=144 , LDL=102 ขุูดหินปูนแล้ว 8-11-2024</t>
        </r>
      </text>
    </comment>
    <comment ref="AK108" authorId="0" shapeId="0" xr:uid="{00000000-0006-0000-0000-0000AF000000}">
      <text>
        <r>
          <rPr>
            <sz val="11"/>
            <color rgb="FF000000"/>
            <rFont val="Arial"/>
            <scheme val="minor"/>
          </rPr>
          <t>======
ID#AAABwwRdIYo
arm m    (2025-08-01 08:42:48)
Please focus on reducing your weight.
------
ID#AAABxpXD5Bc
arm m    (2025-12-18 11:37:56)
1/8/2025
Please consult with an internal medicine specialist due to high levels of LDL-cholesterol , SGPT and high uric acid level. Additionally, weight reduction is highly recommended. For the next 3 months, kindly provide updates on your LDL-cholesterol, SGPT, uric acid.
------
ID#AAAB12WJnQ0
arm m    (2026-03-20 01:33:14)
18/12/2025
Please consult a gastrointestinal specialist due to your high liver enzymes and make an effort to reduce your weight. Ensure to update your liver enzyme levels and urine test results in the next 3 months.
------
ID#AAAB5phllGE
arm m    (2026-05-05 07:08:19)
20/3/2026
Please pay close attention to the increasing liver enzyme levels. If you consume alcohol, you should stop drinking. Additionally, please focus on managing your increasing body weight. Kindly repeat and update your liver enzyme tests within the next 3 months.
------
ID#AAAB7QGIruY
arm m    (2026-05-16 06:59:31)
5/5/2026
Please focus on reducing your weight.</t>
        </r>
      </text>
    </comment>
    <comment ref="AH109" authorId="0" shapeId="0" xr:uid="{00000000-0006-0000-0000-0000BC000000}">
      <text>
        <r>
          <rPr>
            <sz val="11"/>
            <color rgb="FF000000"/>
            <rFont val="Arial"/>
            <scheme val="minor"/>
          </rPr>
          <t>======
ID#AAAB51IU9QE
arm m    (2026-05-07 02:40:44)
16/12/2025 อุดฟัน(#11,12) 7/11/25 อุดฟัน#21</t>
        </r>
      </text>
    </comment>
    <comment ref="AK109" authorId="0" shapeId="0" xr:uid="{00000000-0006-0000-0000-0000C0000000}">
      <text>
        <r>
          <rPr>
            <sz val="11"/>
            <color rgb="FF000000"/>
            <rFont val="Arial"/>
            <scheme val="minor"/>
          </rPr>
          <t>======
ID#AAABww-7i0I
arm m    (2025-08-02 09:21:54)
21/2/2025
Please consult with an internal medicine specialist for high triglyceride levels. Update your triglyceride levels in the next months. .
------
ID#AAABww-7i0M
arm m    (2025-11-07 09:12:38)
7/8/2025
Please address the abnormal findings (อุดฟัน#12,11,21) from your dental examination before going offshore.
------
ID#AAABzHH68t8
arm m    (2026-01-29 01:25:20)
7/11/2025
Please address the abnormal findings (อุดฟัน#12,11) from your dental examination before the next shift and update us on medical certificate
------
ID#AAAB51IU9QI
arm m    (2026-05-07 02:41:03)
28/1/2026
No additional recommendation.
------
ID#AAAB6h9GTOQ
arm m    (2026-05-16 02:27:53)
12/5/2026
Please receive dental treatment by filling tooth #18 then submit medical certificate before going offshore.</t>
        </r>
      </text>
    </comment>
    <comment ref="AH110" authorId="0" shapeId="0" xr:uid="{00000000-0006-0000-0000-0000D0000000}">
      <text>
        <r>
          <rPr>
            <sz val="11"/>
            <color rgb="FF000000"/>
            <rFont val="Arial"/>
            <scheme val="minor"/>
          </rPr>
          <t>======
ID#AAAB7BGbCmg
arm m    (2026-05-22 06:32:54)
18/2/2026 รับยาลดไขมัน Simvastatin20mg. และมีนัดรับยา 15/4/26 และพบแพทย์ 10/6/26 12/1/2026 อุดฟัน#27 26/11/2025 URIC ACID=8.6 TRIGLYCERIDE=380 LDL-CHOLESTEROL=173 SGOT (AST)=26 SGPT (ALT)=49 พนักงานขูดหินปูนทั้งปาก 6/8/25</t>
        </r>
      </text>
    </comment>
    <comment ref="AK110" authorId="0" shapeId="0" xr:uid="{00000000-0006-0000-0000-0000D4000000}">
      <text>
        <r>
          <rPr>
            <sz val="11"/>
            <color rgb="FF000000"/>
            <rFont val="Arial"/>
            <scheme val="minor"/>
          </rPr>
          <t>======
ID#AAABteFivCE
arm m    (2025-08-01 08:53:10)
Please address the abnormal findings from your dental examination and receive dental treatment before going offshore. Additionally, please consult with an endocrinologist for assistance with weight reduction, high triglyceride, and high uric acid levels. Kindly provide updates on your body weight, triglyceride, and uric acid levels in 3 months. (For offshore work at CTEP, only individuals with a BMI less than 35 are accepted.)
------
ID#AAABw7zI7Sc
arm m    (2025-12-02 10:22:03)
6/8/2025
After going back to onshore next shift, please receive dental treatment by filling (27B, 37B ) then submit medical certificate to us. 
Additionally, please consult an endocrinologist regarding weight reduction, elevated LDL-cholesterol. Additionally, consider reducing your weight and adjusting your diet to manage your high uric acid levels. In the next 3 months, provide updates on your body weight, LDL-cholesterol, and uric acid levels. 
Note that for offshore work at CTEP, only individuals with a BMI less than 35 are accepted.
Additionally, please consult an endocrinologist regarding weight reduction, elevated LDL-cholesterol. Additionally, consider reducing your weight and adjusting your diet to manage your high uric acid levels. In the next 3 months, provide updates on your body weight, LDL-cholesterol, and uric acid levels. Note that for offshore work at CTEP, only individuals with a BMI less than 35 are accepted.
------
ID#AAABuG91uMA
arm m    (2025-12-03 06:52:53)
2/12/2025
As previously recommended on 22 September 2025, please update us on your body weight, LDL-cholesterol, and triglyceride levels before going offshore. Additionally, please submit your medical certificate regarding the liver nodule that was followed up on 28 November 2025. (Please note that for offshore work at CTEP, only individuals with a BMI below 35 are accepted.)
------
ID#AAABze1bOAs
arm m    (2026-02-19 06:16:07)
3/12/2025 
Please continue treatment with your doctor and kindly update us on your BMI, LDL cholesterol, triglyceride, and uric acid levels, and provide a medical certificate confirming your consultation with a gastrointestinal specialist for the suspected liver mass within the next 3 months.
------
ID#AAAB7BGbCmo
arm m    (2026-05-22 06:33:19)
19/2/2026
As previously recommended on 3 December 2025 and 13 January 2026, please continue treatment with your doctor. Kindly provide updates on your BMI, LDL cholesterol, triglyceride, and uric acid levels.
In addition, please submit a medical certificate confirming consultation with a gastrointestinal specialist regarding the suspected liver mass within the next three months.
Failure to provide the above updates may affect your fitness for offshore work.
------
ID#AAAB-5IOrYI
arm m    (2026-07-16 06:12:26)
25/5/2026 Moderate health risk Please consult an endocrinologist for assistance with weight reduction, high triglycerides, elevated liver enzymes, and slightly elevated uric acid levels. Kindly update us on your body weight, triglyceride levels, liver enzyme levels, and uric acid levels over the next three months. Note that for offshore work at CTEP, only individuals with a BMI below 35 are eligible. Additionally, please address the abnormal findings from your dental examination (gingivitis).</t>
        </r>
      </text>
    </comment>
    <comment ref="AH111" authorId="0" shapeId="0" xr:uid="{00000000-0006-0000-0000-0000E4000000}">
      <text>
        <r>
          <rPr>
            <sz val="11"/>
            <color rgb="FF000000"/>
            <rFont val="Arial"/>
            <scheme val="minor"/>
          </rPr>
          <t>======
ID#AAAB3yWrvyA
arm m    (2026-04-21 04:47:29)
4/9/2025 ถอนฟัน#18</t>
        </r>
      </text>
    </comment>
    <comment ref="AK111" authorId="0" shapeId="0" xr:uid="{00000000-0006-0000-0000-0000E9000000}">
      <text>
        <r>
          <rPr>
            <sz val="11"/>
            <color rgb="FF000000"/>
            <rFont val="Arial"/>
            <scheme val="minor"/>
          </rPr>
          <t>======
ID#AAABwwRdIXc
arm m    (2025-06-04 04:36:50)
No additional recommendation.
------
ID#AAABwwRdIXg
arm m    (2025-09-08 09:01:06)
16/6/2025
Please address the abnormal findings from your dental examination before going to offshore work.
------
ID#AAAB3yWrvyE
arm m    (2026-04-21 04:47:50)
8/9/2025
No additional recommendation.</t>
        </r>
      </text>
    </comment>
    <comment ref="AH112" authorId="0" shapeId="0" xr:uid="{00000000-0006-0000-0000-0000F9000000}">
      <text>
        <r>
          <rPr>
            <sz val="11"/>
            <color rgb="FF000000"/>
            <rFont val="Arial"/>
            <scheme val="minor"/>
          </rPr>
          <t>======
ID#AAAB2VZEtwA
arm m    (2026-03-28 08:39:50)
26/12/2025 Uric Acid = 9.7 , TG=71 , LDL=157 18/9/2025 ขุดหินปูน 30/3/2025 ขุดหินปูน+อุดฟัน#16</t>
        </r>
      </text>
    </comment>
    <comment ref="AK112" authorId="0" shapeId="0" xr:uid="{00000000-0006-0000-0000-0000FF000000}">
      <text>
        <r>
          <rPr>
            <sz val="11"/>
            <color rgb="FF000000"/>
            <rFont val="Arial"/>
            <scheme val="minor"/>
          </rPr>
          <t>======
ID#AAABteFivAs
arm m    (2025-06-04 09:22:07)
Please consult with an internal medicine specialist about your high uric acid levels and consider reducing your weight. Also, please have your uric acid levels checked again in the next 3 months.
------
ID#AAABteFivAw
arm m    (2025-08-14 09:39:49)
7/8/2025
Please send the result of abnormal urine test (UA) for review before going offshore. Additionally, please address the abnormal findings from your dental examination.
------
ID#AAAB2VZEtwE
arm m    (2026-03-28 08:40:13)
11/8/2025
As requested since 16 June 2025, please provide the current LDL-cholesterol level and details of dental treatment before proceeding with offshore work.
------
ID#AAAB8C-Q364
arm m    (2026-05-27 01:29:20)
31/3/2026
Please consult with an internal medicine specialist due to your high levels of LDL-cholesterol and uric acid. Additionally, weight reduction is highly recommended. For the next 3 months, kindly provide updates on your LDL-cholesterol, uric acid.
------
ID#AAAB-5IOrYM
arm m    (2026-07-16 06:19:20)
26/5/2026 Moderate health risk Please continue treatment for your hyperlipidemia, place increased focus on managing your rising uric acid levels, and kindly provide an update on your uric acid level within the next 3 months.</t>
        </r>
      </text>
    </comment>
    <comment ref="AH113" authorId="0" shapeId="0" xr:uid="{00000000-0006-0000-0000-00000E010000}">
      <text>
        <r>
          <rPr>
            <sz val="11"/>
            <color rgb="FF000000"/>
            <rFont val="Arial"/>
            <scheme val="minor"/>
          </rPr>
          <t>======
ID#AAAB5icqGv4
arm m    (2026-05-16 08:04:00)
16/1/2026 ขุดหินปูน</t>
        </r>
      </text>
    </comment>
    <comment ref="AK113" authorId="0" shapeId="0" xr:uid="{00000000-0006-0000-0000-000013010000}">
      <text>
        <r>
          <rPr>
            <sz val="11"/>
            <color rgb="FF000000"/>
            <rFont val="Arial"/>
            <scheme val="minor"/>
          </rPr>
          <t>======
ID#AAABwwRdIYc
arm m    (2025-08-02 09:35:05)
Please address the abnormal findings from your dental examination and receive dental treatment before going offshore. Additionally, please focus on reducing your weight.
------
ID#AAAB5icqGv8
arm m    (2026-05-16 08:04:39)
7/8/2025
Please address the abnormal findings from your dental examination.</t>
        </r>
      </text>
    </comment>
    <comment ref="AH114" authorId="0" shapeId="0" xr:uid="{00000000-0006-0000-0000-000022010000}">
      <text>
        <r>
          <rPr>
            <sz val="11"/>
            <color rgb="FF000000"/>
            <rFont val="Arial"/>
            <scheme val="minor"/>
          </rPr>
          <t>======
ID#AAAB1QEQSIs
arm m    (2026-03-02 07:00:30)
19/1/26 ตรวจติดตาม UricAid=6.8 และอุดฟันซี่ 38 / 26/4/2025 ถอนฟันคุด , 26/6/2025ความดันโลหิต=129/80</t>
        </r>
      </text>
    </comment>
    <comment ref="AK114" authorId="0" shapeId="0" xr:uid="{00000000-0006-0000-0000-000027010000}">
      <text>
        <r>
          <rPr>
            <sz val="11"/>
            <color rgb="FF000000"/>
            <rFont val="Arial"/>
            <scheme val="minor"/>
          </rPr>
          <t>======
ID#AAABww-7iuY
arm m    (2025-06-27 01:31:13)
26/12/2024
Please consult with an internal medicine specialist regarding your elevated blood pressure. Control your diet for your high uric acid levels. It is highly recommended that you consider weight reduction as part of your management strategy. Update us on your blood pressure within next month. Note: For offshore positions at CTEP, eligibility requires a blood pressure under 140/90 mmHg.
------
ID#AAABy3aK5PU
arm m    (2026-01-20 02:20:29)
26/6/2025 
Consult an endocrinologist about weight reduction and visit a dentist regarding the abnormal dental examination findings. It's also advised to maintain a diet specifically designed to manage high uric acid levels. After 6 months, we kindly request updates on body weight, uric acid levels, ongoing treatments, and any dental interventions you've received. For offshore roles at CTEP, it's important to note that only candidates with a BMI under 35 are considered eligible.
------
ID#AAAB1QEQSIw
arm m    (2026-03-02 07:01:06)
20/1/2026
Please focus on weight reduction. Note that all offshore workforces are required to have a BMI below 35.
------
ID#AAAB_fDsgXQ
arm m    (2026-07-24 09:50:36)
4/3/2026 Moderate health risk Please focus on weight reduction. Kindly provide an update on your body weight or BMI within the next 6 months. Please note that all offshore workforce personnel working for CTEP are required to maintain a BMI of less than 35.</t>
        </r>
      </text>
    </comment>
    <comment ref="AH115" authorId="0" shapeId="0" xr:uid="{00000000-0006-0000-0000-000033010000}">
      <text>
        <r>
          <rPr>
            <sz val="11"/>
            <color rgb="FF000000"/>
            <rFont val="Arial"/>
            <scheme val="minor"/>
          </rPr>
          <t>======
ID#AAAB9x_npvA
arm m    (2026-06-18 06:27:39)
28/1/2026 TG=100 13/9/25 อุดฟัน#24,25 , 8/8/25 ติดตามความดัน =136/89 ไม่มียา</t>
        </r>
      </text>
    </comment>
    <comment ref="AK115" authorId="0" shapeId="0" xr:uid="{00000000-0006-0000-0000-000037010000}">
      <text>
        <r>
          <rPr>
            <sz val="11"/>
            <color rgb="FF000000"/>
            <rFont val="Arial"/>
            <scheme val="minor"/>
          </rPr>
          <t>======
ID#AAABww-7irw
arm m    (2025-09-17 01:12:09)
8/8/2025
Please recheck blood pressure data in medical report and submit to us again. Please receive dental treatment within 6 months.
------
ID#AAABzNUVEgM
arm m    (2026-01-30 06:27:26)
16/9/2025
Please consult an internal medicine specialist for high triglyceride levels. Update your triglyceride levels in the next 3 months.
------
ID#AAAB9x_npvE
arm m    (2026-06-18 06:28:18)
30/1/2026 Low health risk
Please continue treatment for your hyperlipidemia.</t>
        </r>
      </text>
    </comment>
    <comment ref="AH116" authorId="0" shapeId="0" xr:uid="{00000000-0006-0000-0000-000009000000}">
      <text>
        <r>
          <rPr>
            <sz val="11"/>
            <color rgb="FF000000"/>
            <rFont val="Arial"/>
            <scheme val="minor"/>
          </rPr>
          <t>======
ID#AAAB8qo7ef0
arm m    (2026-06-02 06:33:53)
18/9/25 #14 อุดฟัน , 18/9/25ความดันโลหิต=122/70 / 7/8/25อุดฟันซี่47</t>
        </r>
      </text>
    </comment>
    <comment ref="AK116" authorId="0" shapeId="0" xr:uid="{00000000-0006-0000-0000-00000F000000}">
      <text>
        <r>
          <rPr>
            <sz val="11"/>
            <color rgb="FF000000"/>
            <rFont val="Arial"/>
            <scheme val="minor"/>
          </rPr>
          <t>======
ID#AAABteFivAk
arm m    (2025-10-29 06:48:42)
23/5/2025
Please closely monitor your blood pressure. If it rises above 140 mmHg, consult a specialist in internal medicine for further evaluation and management.
------
ID#AAAB8qo7ef4
arm m    (2026-06-02 06:34:09)
29/10/2025
No additional recommendation.
------
ID#AAAB-0h4tcM
arm m    (2026-07-08 02:09:09)
4/6/2026 Pending 
Please address the abnormal findings from your dental examination (#37) before going to offshore work. Please focus on reducing your weight</t>
        </r>
      </text>
    </comment>
    <comment ref="AH117" authorId="0" shapeId="0" xr:uid="{00000000-0006-0000-0000-00001D000000}">
      <text>
        <r>
          <rPr>
            <sz val="11"/>
            <color rgb="FF000000"/>
            <rFont val="Arial"/>
            <scheme val="minor"/>
          </rPr>
          <t>======
ID#AAAB1-XJJTQ
arm m    (2026-03-17 02:50:39)
9/5/2025 อุดฟัน #46,47</t>
        </r>
      </text>
    </comment>
    <comment ref="AK117" authorId="0" shapeId="0" xr:uid="{00000000-0006-0000-0000-000020000000}">
      <text>
        <r>
          <rPr>
            <sz val="11"/>
            <color rgb="FF000000"/>
            <rFont val="Arial"/>
            <scheme val="minor"/>
          </rPr>
          <t>======
ID#AAAB1-XJJTU
arm m    (2026-03-17 02:51:10)
8/8/2025
Please reduce weight and control your diet to decrease high uric acid levels.</t>
        </r>
      </text>
    </comment>
    <comment ref="AH118" authorId="0" shapeId="0" xr:uid="{00000000-0006-0000-0000-000031000000}">
      <text>
        <r>
          <rPr>
            <sz val="11"/>
            <color rgb="FF000000"/>
            <rFont val="Arial"/>
            <scheme val="minor"/>
          </rPr>
          <t>======
ID#AAAB8qo7egA
arm m    (2026-06-02 06:44:08)
27/5/26 ขูดหินปูน</t>
        </r>
      </text>
    </comment>
    <comment ref="AK118" authorId="0" shapeId="0" xr:uid="{00000000-0006-0000-0000-000035000000}">
      <text>
        <r>
          <rPr>
            <sz val="11"/>
            <color rgb="FF000000"/>
            <rFont val="Arial"/>
            <scheme val="minor"/>
          </rPr>
          <t>======
ID#AAABww-7isw
arm m    (2025-06-26 01:16:35)
No additional recommendation
------
ID#AAAB8qo7egE
arm m    (2026-06-02 06:44:28)
7/8/2026
Please reduce weight and control your diet to decrease high uric acid levels. Additionally, please address the abnormal findings from your dental examination.
------
ID#AAAB87PtpCc
arm m    (2026-06-08 02:29:06)
4/6/2026
Please address the abnormal findings from your dental examination (#38) prior to offshore work. You are also advised to closely monitor your rising blood pressure.</t>
        </r>
      </text>
    </comment>
    <comment ref="AH119" authorId="0" shapeId="0" xr:uid="{00000000-0006-0000-0000-000040000000}">
      <text>
        <r>
          <rPr>
            <sz val="11"/>
            <color rgb="FF000000"/>
            <rFont val="Arial"/>
            <scheme val="minor"/>
          </rPr>
          <t>======
ID#AAABww-7iv4
arm m    (2025-10-10 07:24:28)
ได้รับการขูดหินปูนทั้งปากแล้ว 20/12/2024</t>
        </r>
      </text>
    </comment>
    <comment ref="AK119" authorId="0" shapeId="0" xr:uid="{00000000-0006-0000-0000-000045000000}">
      <text>
        <r>
          <rPr>
            <sz val="11"/>
            <color rgb="FF000000"/>
            <rFont val="Arial"/>
            <scheme val="minor"/>
          </rPr>
          <t>======
ID#AAABwwRdIX4
arm m    (2025-10-10 07:24:56)
18/12/2024
Low health risk
------
ID#AAAB2Jrj6D0
arm m    (2026-03-18 02:00:08)
10/10/2025
Please consult an internal medicine specialist for very high LDL-cholesterol. Update your LDL-cholesterol within the next 3 months.
------
ID#AAAB2KVQpYU
arm m    (2026-03-18 09:46:26)
17/3/2026
As previously recommended on 10 October 2025, please update your LDL cholesterol and blood pressure within one month.
------
ID#AAAB3Hsx_BI
arm m    (2026-04-08 07:07:37)
18/3/2026
Please continue management of hypertension and hyperlipidemia with your treating physician. Kindly provide updated LDL cholesterol results within the next 3 months.
Please note that all offshore personnel working for CTEP are required to maintain blood pressure below 140/90 mmHg.
------
ID#AAACFdKUr6E
arm m    (2026-08-11 02:27:25)
8/4/2026 Low health risk 
Please continue management of hypertension and hyperlipidemia with your treating physician.</t>
        </r>
      </text>
    </comment>
    <comment ref="AH120" authorId="0" shapeId="0" xr:uid="{00000000-0006-0000-0000-000053000000}">
      <text>
        <r>
          <rPr>
            <sz val="11"/>
            <color rgb="FF000000"/>
            <rFont val="Arial"/>
            <scheme val="minor"/>
          </rPr>
          <t>======
ID#AAAB1QEQSIk
arm m    (2026-03-02 06:53:59)
20/8/2025 ทำฟัน#11,24</t>
        </r>
      </text>
    </comment>
    <comment ref="AK120" authorId="0" shapeId="0" xr:uid="{00000000-0006-0000-0000-000057000000}">
      <text>
        <r>
          <rPr>
            <sz val="11"/>
            <color rgb="FF000000"/>
            <rFont val="Arial"/>
            <scheme val="minor"/>
          </rPr>
          <t>======
ID#AAABww-7ius
Saisuda T    (2025-08-24 04:53:44)
Please control your diet to decrease high uric acid levels.
------
ID#AAAB1QEQSIo
arm m    (2026-03-02 06:54:19)
22/8/2025
Please control your diet to decrease high uric acid levels. Please receive dental treatment for tooth 38, 48 in nexdt 3 months.</t>
        </r>
      </text>
    </comment>
    <comment ref="AH121" authorId="0" shapeId="0" xr:uid="{00000000-0006-0000-0000-000064000000}">
      <text>
        <r>
          <rPr>
            <sz val="11"/>
            <color rgb="FF000000"/>
            <rFont val="Arial"/>
            <scheme val="minor"/>
          </rPr>
          <t>======
ID#AAAB1i1Jf34
arm m    (2026-03-10 07:56:35)
29/11/2025 รักษารากฟัน#47 9/10/2025 #35อุดฟัน 6/10/2025 Uric Acid=6.6 15/8/25 อุดฟัน#14 , 25/6/25 cholesterol=191 TG=80 LDL=122 , 24/6/25 เอ็กซเรย์ปอดปกติ</t>
        </r>
      </text>
    </comment>
    <comment ref="AK121" authorId="0" shapeId="0" xr:uid="{00000000-0006-0000-0000-00006A000000}">
      <text>
        <r>
          <rPr>
            <sz val="11"/>
            <color rgb="FF000000"/>
            <rFont val="Arial"/>
            <scheme val="minor"/>
          </rPr>
          <t>======
ID#AAABteFiu_8
arm m    (2025-05-02 09:48:08)
Please address the abnormal findings from your dental examination (dental caries) before going offshore.
------
ID#AAABteFivAA
arm m    (2025-06-27 09:07:28)
2/5/2025
Please address the abnormal findings from your dental examination before going to offshore work. Please send the abnormal chest X-ray results. Consult with a specialist in internal medicine regarding your high LDL-cholesterol and uric acid levels. Make sure to track and update your LDL-cholesterol and uric acid levels over the next 3 months.
------
ID#AAABteFivAE
arm m    (2025-08-18 07:23:03)
27/6/2025
As previously recommended on May 2, 2025, please address the abnormal findings from your dental examination before going offshore. Consult with an internal medicine specialist for your abnormal chest X-ray results. Continue treatment for your hyperlipidemia.
------
ID#AAABteFivAI
arm m    (2025-10-15 01:37:03)
18/8/2025
For ฟันผุลึก #35,47 &gt; Has he completed treatment ?
------
ID#AAABteFivAM
Saisuda T    (2025-10-16 04:05:49)
14/10/25 : Please provide the chest x-ray result.
------
ID#AAAB1i1Jf38
arm m    (2026-03-10 07:56:56)
16/10/2025
No additional recommendation.
------
ID#AAAB9Awfz5g
arm m    (2026-06-09 03:47:43)
13/3/2026
Please consult an internal medicine specialist for high LDL-cholesterol. Update your LDL-cholesterol in the next 3 months. Please continue to address the abnormal findings from your dental examination (dental abrasion) within 3 months. It is also recommended that you follow a low-sugar diet to help manage your rising fasting blood sugar levels.</t>
        </r>
      </text>
    </comment>
    <comment ref="AH122" authorId="0" shapeId="0" xr:uid="{00000000-0006-0000-0000-000078000000}">
      <text>
        <r>
          <rPr>
            <sz val="11"/>
            <color rgb="FF000000"/>
            <rFont val="Arial"/>
            <scheme val="minor"/>
          </rPr>
          <t>======
ID#AAAB25hZIC0
arm m    (2026-04-02 06:31:00)
18/5/2025 ทำฟันอุดคอฟัน36</t>
        </r>
      </text>
    </comment>
    <comment ref="AK122" authorId="0" shapeId="0" xr:uid="{00000000-0006-0000-0000-00007D000000}">
      <text>
        <r>
          <rPr>
            <sz val="11"/>
            <color rgb="FF000000"/>
            <rFont val="Arial"/>
            <scheme val="minor"/>
          </rPr>
          <t>======
ID#AAAB25hZIC4
arm m    (2026-04-02 06:31:30)
9/6/2025
No additional recommendation.</t>
        </r>
      </text>
    </comment>
    <comment ref="AH123" authorId="0" shapeId="0" xr:uid="{00000000-0006-0000-0000-00008A000000}">
      <text>
        <r>
          <rPr>
            <sz val="11"/>
            <color rgb="FF000000"/>
            <rFont val="Arial"/>
            <scheme val="minor"/>
          </rPr>
          <t>======
ID#AAABzVJ3LkA
arm m    (2026-02-04 10:00:39)
16/7/2025 #48ผ่าฟันคุด
------
ID#AAAB0BHFBIM
arm m    (2026-02-09 07:47:27)
3/2/2026 ขุดหินปูน ขัดฟัน</t>
        </r>
      </text>
    </comment>
    <comment ref="AK123" authorId="0" shapeId="0" xr:uid="{00000000-0006-0000-0000-000090000000}">
      <text>
        <r>
          <rPr>
            <sz val="11"/>
            <color rgb="FF000000"/>
            <rFont val="Arial"/>
            <scheme val="minor"/>
          </rPr>
          <t>======
ID#AAAB0JlzhrY
arm m    (2026-02-11 01:19:04)
10/10/2025
Please consult a gastrointestinal specialist due to your high liver enzymes and make an effort to reduce your weight. Ensure to update your liver enzyme levels and body weight in the next 3 months.</t>
        </r>
      </text>
    </comment>
    <comment ref="AH124" authorId="0" shapeId="0" xr:uid="{00000000-0006-0000-0000-0000A0000000}">
      <text>
        <r>
          <rPr>
            <sz val="11"/>
            <color rgb="FF000000"/>
            <rFont val="Arial"/>
            <scheme val="minor"/>
          </rPr>
          <t>======
ID#AAAB7BGbCmw
arm m    (2026-05-22 06:44:27)
11/11/25 พนักงานขุดหินปูน, #28อุดฟัน</t>
        </r>
      </text>
    </comment>
    <comment ref="AK124" authorId="0" shapeId="0" xr:uid="{00000000-0006-0000-0000-0000A5000000}">
      <text>
        <r>
          <rPr>
            <sz val="11"/>
            <color rgb="FF000000"/>
            <rFont val="Arial"/>
            <scheme val="minor"/>
          </rPr>
          <t>======
ID#AAABww-7i6E
arm m    (2025-10-17 01:41:24)
10/10/2025
Please address the abnormal findings from your dental examination (by #28 filling) before going offshore. Additionally, please adhere to a low sugar and carbohydrate diet due to your elevated fasting blood sugar levels.
------
ID#AAAB7BGbCm0
arm m    (2026-05-22 06:45:24)
16/10/2026
No additional recommendation.</t>
        </r>
      </text>
    </comment>
    <comment ref="AK125" authorId="0" shapeId="0" xr:uid="{00000000-0006-0000-0000-0000B7000000}">
      <text>
        <r>
          <rPr>
            <sz val="11"/>
            <color rgb="FF000000"/>
            <rFont val="Arial"/>
            <scheme val="minor"/>
          </rPr>
          <t>======
ID#AAAB6c7hJKU
arm m    (2026-05-14 06:31:55)
28/1/2026
Please monitor your blood pressure and provide a follow-up report in the next 3 months. Note: For offshore assignments at CTEP, only individuals with a blood pressure below 140/90 mmHg are eligible.</t>
        </r>
      </text>
    </comment>
    <comment ref="AH126" authorId="0" shapeId="0" xr:uid="{00000000-0006-0000-0000-0000C6000000}">
      <text>
        <r>
          <rPr>
            <sz val="11"/>
            <color rgb="FF000000"/>
            <rFont val="Arial"/>
            <scheme val="minor"/>
          </rPr>
          <t>======
ID#AAAB0wxCbSw
arm m    (2026-03-02 06:46:40)
18/11/2025 #37อุดฟัน , ขูดหินปูน , รับยาsimvastatin 20 mg 5/3/2025 การขูดหินปูนและขัดฟันทั้งปาก , รับยาsimvastatin 20 mg</t>
        </r>
      </text>
    </comment>
    <comment ref="AK126" authorId="0" shapeId="0" xr:uid="{00000000-0006-0000-0000-0000CB000000}">
      <text>
        <r>
          <rPr>
            <sz val="11"/>
            <color rgb="FF000000"/>
            <rFont val="Arial"/>
            <scheme val="minor"/>
          </rPr>
          <t>======
ID#AAABww-7i2Y
arm m    (2025-11-18 08:43:12)
3/10/2025
Please address the abnormal findings (48, 18 deep dental caries &gt; need extraction, and 37, 38 dental caries &gt; need filling) from your dental examination report before going offshore. Please consult an endocrinologist for assistance with weight reduction and managing high LDL-cholesterol, high triglycerides, and high liver enzyme levels. Kindly update us on your body weight, LDL-cholesterol, triglycerides, and liver enzyme levels in the next 3 months. Note that for offshore work at CTEP, only individuals with a BMI of less than 35 are accepted.
------
ID#AAAB0wxCbS0
arm m    (2026-03-02 06:47:04)
18/11/2025
Please address the abnormal findings (48, 18 deep dental caries &gt; need extraction, and 38 dental caries &gt; need filling) from your dental examination report before the next shift (ensure that you have no toothache or inflammation before going offshore). Please consult an endocrinologist for assistance with weight reduction and managing high LDL-cholesterol, high triglycerides, and high liver enzyme levels. Kindly update us on your body weight, LDL-cholesterol, triglycerides, and liver enzyme levels in the next 3 months. Note that for offshore work at CTEP, only individuals with a BMI of less than 35 are accepted
------
ID#AAAB0zqVU_U
arm m    (2026-03-05 06:57:30)
4/3/2026
Please address the abnormal findings related to dental caries before going offshore. Please consult an endocrinologist for assistance with weight reduction, high LDL-cholesterol, and high triglyceride levels. Kindly provide updates on your body weight, LDL cholesterol, and triglyceride levels in 3 months. (For offshore work at CTEP, only individuals with a BMI less than 35 are accepted.)
------
ID#AAAB9Awfz5M
arm m    (2026-06-09 03:37:55)
5/3/2026
Please consult an endocrinologist for assistance with weight reduction, high LDL-cholesterol, and high triglyceride levels. Kindly provide updates on your body weight, LDL cholesterol, and triglyceride levels in 3 months. (For offshore work at CTEP, only individuals with a BMI less than 35 are accepted.)
------
ID#AAACFdKUr6A
arm m    (2026-08-11 02:24:32)
9/6/2026 Moderate health risk Please consult an endocrinologist for assistance with weight reduction, high LDL-cholesterol, and high triglyceride levels. Kindly provide updates on your body weight, LDL cholesterol, and triglyceride levels within the next 2 months. (For offshore work at CTEP, only individuals with a BMI less than 35 are accepted.)</t>
        </r>
      </text>
    </comment>
    <comment ref="AH127" authorId="0" shapeId="0" xr:uid="{00000000-0006-0000-0000-0000DB000000}">
      <text>
        <r>
          <rPr>
            <sz val="11"/>
            <color rgb="FF000000"/>
            <rFont val="Arial"/>
            <scheme val="minor"/>
          </rPr>
          <t>======
ID#AAAByhc7TJY
arm m    (2026-01-13 04:42:38)
2/12/2025 SGOT=38 SGPT=75 19/7/25 ได้รับการถอนฟันซี่47, 17/7/25ได้รับการขูดหินปูน ,13/7/2025 ความดัน= 129/78 , ค่าเอนไซม์ตับ SGOT=40,SGPT=77</t>
        </r>
      </text>
    </comment>
    <comment ref="AK127" authorId="0" shapeId="0" xr:uid="{00000000-0006-0000-0000-0000DF000000}">
      <text>
        <r>
          <rPr>
            <sz val="11"/>
            <color rgb="FF000000"/>
            <rFont val="Arial"/>
            <scheme val="minor"/>
          </rPr>
          <t>======
ID#AAABuG6zrYc
arm m    (2025-12-03 02:21:37)
19/7/2025
Additionally, please provide an update on your high liver enzyme level (SGPT) within the next 3 months.
------
ID#AAAByhaH5jM
arm m    (2026-01-13 09:09:58)
3/12/2025
Please follow the specialist's recommendation and provide an update on your liver enzyme levels and annual health check-up results by 28 January 2026.
------
ID#AAAByhgdvqk
arm m    (2026-01-15 04:51:07)
13/1/2025
Please receive dental treatment by filling tooth (อุดฟันซี่ที่) 36,46,47,17,25,28,11,12 then submit medical certificate before going offshore.
------
ID#AAAB1q9w0uo
arm m    (2026-03-12 06:26:59)
15/1/2026
Your dental extraction must be completely healed, and all stitches must be removed before going offshore. Please continue receiving dental treatment for the remaining abnormal teeth (#36, #47, #17, #25, #28, #11, #12) within the next 3 months.</t>
        </r>
      </text>
    </comment>
    <comment ref="AH128" authorId="0" shapeId="0" xr:uid="{00000000-0006-0000-0000-0000EE000000}">
      <text>
        <r>
          <rPr>
            <sz val="11"/>
            <color rgb="FF000000"/>
            <rFont val="Arial"/>
            <scheme val="minor"/>
          </rPr>
          <t>======
ID#AAAB3yWrvxc
arm m    (2026-04-21 03:31:03)
12/3/2026 BP=138/78 , BMI=30.4 , Uric acid=6.60</t>
        </r>
      </text>
    </comment>
    <comment ref="AK128" authorId="0" shapeId="0" xr:uid="{00000000-0006-0000-0000-0000F2000000}">
      <text>
        <r>
          <rPr>
            <sz val="11"/>
            <color rgb="FF000000"/>
            <rFont val="Arial"/>
            <scheme val="minor"/>
          </rPr>
          <t>======
ID#AAAB1s3-u-U
arm m    (2026-03-13 01:09:51)
7/8/2025
Please reduce weight and control your diet to decrease your slightly elevated uric acid levels. Please update your BMI within the next 6 months. Note that all offshore workforce members working for CTEP require a BMI of less than 35 and blood pressure below 140/90 mmHg.
------
ID#AAAB3yWrvxg
arm m    (2026-04-21 03:31:32)
12/3/2026
Please prioritize weight reduction and update your BMI within the next 6 months, as all offshore workforces working for CTEP are required to maintain a Body Mass Index (BMI) below 35.
------
ID#AAAB5EY_o8U
arm m    (2026-04-30 06:15:00)
28/4/2026
Please consult an endocrinologist for assistance with weight reduction. Kindly provide updates on your body weight in 6 months. Please address the abnormal findings from your dental examination (Attrition ฟันสึก #14,46,47) before the next shift. (Please note that for offshore work at CTEP, only individuals with a BMI less than 35 are accepted.)</t>
        </r>
      </text>
    </comment>
    <comment ref="AK129" authorId="0" shapeId="0" xr:uid="{00000000-0006-0000-0000-000008010000}">
      <text>
        <r>
          <rPr>
            <sz val="11"/>
            <color rgb="FF000000"/>
            <rFont val="Arial"/>
            <scheme val="minor"/>
          </rPr>
          <t>======
ID#AAABww-7it4
arm m    (2025-06-27 01:31:44)
26/12/2024
Please provide us an update with your body weight, triglyceride and liver enzyme levels in the next 3 months.
------
ID#AAABwytyEAw
Saisuda T    (2025-11-27 04:50:53)
26/62025:Moderate health risk:
Please consult an endocrinologist for assistance with weight reduction. Kindly provide updates on your body weight in 6 months. (Please note that for offshore work at CTEP, only individuals with a BMI less than 35 are accepted.)
------
ID#AAABw7zI7SQ
arm m    (2025-12-02 10:17:56)
27/11/2025
Please address the abnormal findings from your dental examination, specifically the dental caries on tooth #28, before proceeding with offshore work. Please consult an endocrinologist for assistance with weight reduction and high triglyceride levels. Kindly provide updates on your body weight and triglyceride levels in 3 months. (For offshore work at CTEP, only individuals with a BMI less than 35 are accepted.)
------
ID#AAABzy9yrxk
arm m    (2026-02-06 02:21:35)
2/12/2025
Please ensure that your dental extraction site is fully healed and that any stitches are removed before proceeding with offshore work. Please consult an endocrinologist for assistance with weight reduction and high triglyceride levels. Kindly provide updates on your body weight and triglyceride levels in 3 months. (For offshore work at CTEP, only individuals with a BMI less than 35 are accepted.)
------
ID#AAACDpUZ118
arm m    (2026-07-22 02:41:34)
6/2/2026  Moderate health risk Please consult an endocrinologist for assistance with weight reduction levels. Kindly provide updates on your body weight in 6 months. (For offshore work at CTEP, only individuals with a BMI less than 35 are accepted.)</t>
        </r>
      </text>
    </comment>
    <comment ref="AH130" authorId="0" shapeId="0" xr:uid="{00000000-0006-0000-0000-000016010000}">
      <text>
        <r>
          <rPr>
            <sz val="11"/>
            <color rgb="FF000000"/>
            <rFont val="Arial"/>
            <scheme val="minor"/>
          </rPr>
          <t>======
ID#AAAB5BZ8cjA
arm m    (2026-04-28 01:59:45)
6/9/2025 TG=132 SGPT=13</t>
        </r>
      </text>
    </comment>
    <comment ref="AK130" authorId="0" shapeId="0" xr:uid="{00000000-0006-0000-0000-00001B010000}">
      <text>
        <r>
          <rPr>
            <sz val="11"/>
            <color rgb="FF000000"/>
            <rFont val="Arial"/>
            <scheme val="minor"/>
          </rPr>
          <t>======
ID#AAAB5BZ8cjE
arm m    (2026-04-28 02:00:09)
5/11/2025
Please continue treatment for your hypertriglyceridemia and hypertension under the care of your doctor.</t>
        </r>
      </text>
    </comment>
    <comment ref="AK131" authorId="0" shapeId="0" xr:uid="{00000000-0006-0000-0000-00002D010000}">
      <text>
        <r>
          <rPr>
            <sz val="11"/>
            <color rgb="FF000000"/>
            <rFont val="Arial"/>
            <scheme val="minor"/>
          </rPr>
          <t>======
ID#AAABwwRdIXk
arm m    (2025-06-04 06:33:56)
13/12/2024 Please continue to take medication and update your LDL-cholesterol in the next 3 months.
------
ID#AAABwwRdIXo
Saisuda T    (2025-08-20 01:17:32)
9/6/25:Please update on your LDL-cholesterol level in the next 3 months.
------
ID#AAABw7zI7SU
arm m    (2025-12-02 10:20:14)
20/8/2025
Please continue treatment for your hyperlipidemia. Kindly provide an update on your LDL-cholesterol level within the next 3 months.
------
ID#AAAB5KvfwFU
Saisuda T    (2026-05-02 02:41:06)
2/12/25 :Moderate health risk: Please continue treatment for your hyperlipidemia. Kindly provide an update on your LDL-cholesterol level within the next 3 months.
------
ID#AAAB_fDsgV8
arm m    (2026-07-24 09:48:27)
5/5/2026 Moderate health risk For LDL cholesterol that remains poorly controlled despite lifestyle modifications, treatment with medication under the supervision of a specialist is recommended. Please continue efforts toward weight reduction as advised.
Kindly provide an updated LDL cholesterol result within the next three (3) months.
Please be advised that if your LDL cholesterol level increases to above 250 mg/dL, you may be temporarily assessed as unfit for offshore work.</t>
        </r>
      </text>
    </comment>
    <comment ref="AH132" authorId="0" shapeId="0" xr:uid="{00000000-0006-0000-0000-00003C010000}">
      <text>
        <r>
          <rPr>
            <sz val="11"/>
            <color rgb="FF000000"/>
            <rFont val="Arial"/>
            <scheme val="minor"/>
          </rPr>
          <t>======
ID#AAABww-7i3A
arm m    (2025-10-14 02:15:43)
17/2/2025 ความดันโลหิต=118/81 , ตรวจคลื่นไฟฟ้าหัวใจ ปกติ ,14/1/2025 ตรวจความดันโลหิต=112/78 , ตรวจความดันโลหิตสูง 12/11/24 , ขูดหินปูน 21/11/2024
------
ID#AAAB9ROOPP0
arm m    (2026-07-03 09:37:01)
1/12/2025 SGOT=38 , SGPT=27 , BP=109/74 30/9/2025 ขูดหินปูน</t>
        </r>
      </text>
    </comment>
    <comment ref="AK132" authorId="0" shapeId="0" xr:uid="{00000000-0006-0000-0000-000003000000}">
      <text>
        <r>
          <rPr>
            <sz val="11"/>
            <color rgb="FF000000"/>
            <rFont val="Arial"/>
            <scheme val="minor"/>
          </rPr>
          <t>======
ID#AAABwwRdIYQ
arm m    (2025-10-14 02:16:18)
21/2/2025
Low health risk
------
ID#AAABw7zI7SA
arm m    (2025-12-02 09:16:13)
14/10/2025
Please consult a gastrointestinal specialist regarding your elevated liver enzyme levels. Additionally, please focus more on weight reduction and dietary adjustments to help manage your slightly increased uric acid levels. Continue monitoring and treatment for your hypertension, and ensure your liver enzyme levels are rechecked within the next 3 months.
------
ID#AAAB9ROOPP4
arm m    (2026-07-03 09:37:46)
2/12/2025 Low health risk 
Please focus more on weight reduction, dietary adjustments to help manage your slightly increased uric acid levels and continue monitoring and treatment for your hypertension.
------
ID#AAAB-0h4tcA
arm m    (2026-07-08 02:04:07)
6/7/2026 Moderate health risk Please consult an internal medicine specialist regarding your elevated LDL cholesterol level and take appropriate measures to reduce your body weight. Please continue treatment and regular follow-up for your hypertension with your treating physician. In addition, please address the abnormal findings identified during your dental examination.
Kindly provide an update on your LDL cholesterol level within the next 3 months for further review.</t>
        </r>
      </text>
    </comment>
    <comment ref="AH133" authorId="0" shapeId="0" xr:uid="{00000000-0006-0000-0000-000014000000}">
      <text>
        <r>
          <rPr>
            <sz val="11"/>
            <color rgb="FF000000"/>
            <rFont val="Arial"/>
            <scheme val="minor"/>
          </rPr>
          <t>======
ID#AAAB_G53xr4
arm m    (2026-07-06 06:31:31)
7/2/2026 ไม่มีนิ่วในไตทั้งสองข้างจากการตรวจอัลตราซาวน์ 6/2/2026 BP=116/88 กรดยูริก=6.7 ALT=30 ASL=24 , ตรวจปัสสาวะ=protein=1+ 24/10/2025 น้ำตาล=113 , กรดยูริก=7.0 , ตรวจปัสสาวะ 22/8/25ตรวจติดตามปัสสาวะBlood=ปกติ(จากเดิม2+) ,Protein 2+(จากเดิม1+) มันัดตรวจอีก 20/11/25</t>
        </r>
      </text>
    </comment>
    <comment ref="AK133" authorId="0" shapeId="0" xr:uid="{00000000-0006-0000-0000-000018000000}">
      <text>
        <r>
          <rPr>
            <sz val="11"/>
            <color rgb="FF000000"/>
            <rFont val="Arial"/>
            <scheme val="minor"/>
          </rPr>
          <t>======
ID#AAABww-7i04
Saisuda T    (2025-08-20 02:59:50)
10/7/25: Please consult an internal medicine specialist for your high blood pressure and abnormal urinary test. Additionally, please focus on weight reduction. Update your blood pressure and urinary test results within 3 months. Note: For offshore assignments at CTEP, eligibility is limited to individuals with a blood pressure below 140/90 mmHg and individuals diagnosed with mild restrictive lung disease should exercise caution when considering employment in occupations involving confined space work due to health and safety concerns. Regular monitoring of pulmonary function tests is recommended to assess changes and adjust treatment, as necessary.
------
ID#AAABww-7i08
arm m    (2025-10-24 09:34:48)
22/8/2025
Please provide us with an update after your follow-up appointment with your doctor on 20 November 2025. Additionally, please reduce weight, focus on a low sugar diet due to your rising fasting blood sugar and control your diet to decrease high uric acid levels.
------
ID#AAAB0DTAHJ4
arm m    (2026-02-10 04:03:02)
24/10/2025
Please provide us with an update after your follow-up appointment with your doctor on 20 November 2025. Additionally, please reduce weight, focus on a low sugar diet due to your rising fasting blood sugar and control your diet to decrease high uric acid levels.
------
ID#AAAB_G53xr8
arm m    (2026-07-06 06:32:14)
10/2/2026 Low health risk 
Please reduce weight, focus on a low sugar diet due to your rising fasting blood sugar and control your diet to decrease high uric acid levels
------
ID#AAAB_fDsgV4
arm m    (2026-07-24 09:46:58)
7/7/2026 Pending 
Please address the abnormal findings from your dental examination (teeth 34 and 46) before going offshore. Please also repeat your urine analysis (UA), which showed the presence of red blood cells, before going offshore.
In addition, please consult an internal medicine specialist regarding your elevated LDL cholesterol level. Weight reduction and dietary modifications are also strongly recommended to help manage your high uric acid level.
Please provide an update on your LDL cholesterol level within the next 3 months.</t>
        </r>
      </text>
    </comment>
    <comment ref="AH134" authorId="0" shapeId="0" xr:uid="{00000000-0006-0000-0000-000025000000}">
      <text>
        <r>
          <rPr>
            <sz val="11"/>
            <color rgb="FF000000"/>
            <rFont val="Arial"/>
            <scheme val="minor"/>
          </rPr>
          <t>======
ID#AAABteFivCA
arm m    (2025-09-16 09:42:49)
6/8/25น้ำหนัก88.4 BMI=27.9 , อุดฟัน#47,46,37,36 , 17/5/2025 TG=198 LDL-C=64 13/2/2025 ไขมันTriglyceride=265 LDL-C=173 , ตรวจไขมัน LDL=143 , Triglyceride=173 1/12/2024 , อุดฟัน#14B,16Bและขุูดหินปูนแล้ว26/10/24</t>
        </r>
      </text>
    </comment>
    <comment ref="AK134" authorId="0" shapeId="0" xr:uid="{00000000-0006-0000-0000-00002A000000}">
      <text>
        <r>
          <rPr>
            <sz val="11"/>
            <color rgb="FF000000"/>
            <rFont val="Arial"/>
            <scheme val="minor"/>
          </rPr>
          <t>======
ID#AAABwwRdIYA
arm m    (2025-06-09 06:17:32)
15/2/2025 
Please continue treatment for your high LDL-cholesterol levels, and strive to reduce your weight. Ensure to get your LDL-cholesterol levels rechecked in the next 3 months.
------
ID#AAABwwRdIYE
arm m    (2025-09-16 09:45:17)
15/8/2025
Low health risk
------
ID#AAAB9RMDxsU
arm m    (2026-07-03 04:24:20)
19/9/2025 Low health risk 
Please focus on reducing your weight.
------
ID#AAAB_HFotZ4
arm m    (2026-07-06 02:03:27)
6/7/2026 Pending 
Please address the abnormal findings from your dental examination (26) before going to offshore work. Please focus on reducing your weight.</t>
        </r>
      </text>
    </comment>
    <comment ref="AH135" authorId="0" shapeId="0" xr:uid="{00000000-0006-0000-0000-000038000000}">
      <text>
        <r>
          <rPr>
            <sz val="11"/>
            <color rgb="FF000000"/>
            <rFont val="Arial"/>
            <scheme val="minor"/>
          </rPr>
          <t>======
ID#AAAB5icqGwA
arm m    (2026-05-16 08:10:13)
31/1/2026 SGOT=47 , SGPT= 107
20/10/25ติดตามค่าตับ SGOT=92 SGPT=176 ไม่มียา นัดตรวจติดตามอีก 31/3/26</t>
        </r>
      </text>
    </comment>
    <comment ref="AK135" authorId="0" shapeId="0" xr:uid="{00000000-0006-0000-0000-00003B000000}">
      <text>
        <r>
          <rPr>
            <sz val="11"/>
            <color rgb="FF000000"/>
            <rFont val="Arial"/>
            <scheme val="minor"/>
          </rPr>
          <t>======
ID#AAABteFivAU
arm m    (2025-05-02 09:57:07)
Please address the abnormal findings from your dental examination and receive dental treatment before going offshore. Additionally, please consult with a gastrointestinal specialist due to your high liver enzymes and make an effort to reduce your weight. Ensure to update your liver enzyme levels in the next 3 months.
------
ID#AAABteFivAY
arm m    (2025-06-25 06:38:58)
2/5/2025
Please update your liver enzyme level (SGPT) in your next annual physical examination and focus on weight reduction.
------
ID#AAABteFivAc
arm m    (2025-08-14 09:44:47)
7/8/25
Please send the result of abnormal urine test (UA) for review before going offshore. Please seek advice from a gastroenterologist due to your significantly elevated liver enzymes, and consider working towards weight reduction for your health. Please ensure to follow up on your liver enzyme levels in 3 months.
------
ID#AAABteFivAg
Saisuda T    (2025-10-21 01:59:46)
11/8/2025 : Pending :Please seek advice from a gastroenterologist due to your significantly elevated liver enzymes, and consider working towards weight reduction for your health. Please ensure to follow up on your liver enzyme levels in 3 months.
------
ID#AAABxWzVCBA
arm m    (2026-01-07 03:00:52)
20/10/2025
Please follow up with a gastroenterologist due to your significantly elevated liver enzymes, and consider working towards weight reduction for your health. Please ensure to follow up on your liver enzyme levels on 12 Jan 2026 then submit the result to us.
------
ID#AAAB24dkeMc
arm m    (2026-04-01 04:06:28)
7/11/2026
Please follow up with a gastroenterologist due to your significantly elevated liver enzyme levels, and consider working toward weight reduction for your health. Please ensure that your liver enzymes are rechecked within the next 3 months. If you consume alcohol, please stop drinking. Kindly note that if liver enzyme levels remain elevated, you may be considered unfit for offshore work.
------
ID#AAAB5icqGwE
arm m    (2026-05-16 08:10:38)
31/3/2026
Please follow up with a gastroenterologist due to your significantly elevated liver enzyme levels, and consider working toward weight reduction for your health. 
Please ensure that your liver enzymes are rechecked and send ultrasound upper abdomen in September 2026. 
If you consume alcohol, please stop drinking. Kindly note that if liver enzyme levels remain elevated, you may be considered unfit for offshore work.
------
ID#AAAB-MgxGNs
arm m    (2026-06-23 01:50:21)
11/6/2026 High health risk 
Please consult an internal medicine specialist regarding your high blood pressure, significantly elevated liver enzyme levels, and high LDL cholesterol. In addition, please focus on weight reduction.
Kindly provide an update on your blood pressure, LDL cholesterol, and liver enzyme levels within the next 3 months for re-evaluation.
Please note that, for offshore positions at CTEP, eligibility requires a blood pressure below 140/90 mmHg.</t>
        </r>
      </text>
    </comment>
    <comment ref="AH136" authorId="0" shapeId="0" xr:uid="{00000000-0006-0000-0000-000049000000}">
      <text>
        <r>
          <rPr>
            <sz val="11"/>
            <color rgb="FF000000"/>
            <rFont val="Arial"/>
            <scheme val="minor"/>
          </rPr>
          <t>======
ID#AAAB1-XJJTk
arm m    (2026-03-17 03:41:51)
10/7/2025 อุดฟัน #16</t>
        </r>
      </text>
    </comment>
    <comment ref="AK136" authorId="0" shapeId="0" xr:uid="{00000000-0006-0000-0000-00004D000000}">
      <text>
        <r>
          <rPr>
            <sz val="11"/>
            <color rgb="FF000000"/>
            <rFont val="Arial"/>
            <scheme val="minor"/>
          </rPr>
          <t>======
ID#AAABww-7iw8
arm m    (2025-05-02 09:54:48)
No additional recommendation.
------
ID#AAABww-7ixA
Saisuda T    (2025-08-24 04:45:56)
2/5/2025:Please address the abnormal findings from your dental examination before going to offshore work.
------
ID#AAAB1-XJJUo
arm m    (2026-03-17 03:42:16)
22/8/2025
No additional recommendation.
------
ID#AAAB1IWcYBY
arm m    (2026-03-20 09:30:13)
18/3/2026
Please address the abnormal findings identified in your dental examination (urgent dental problem: ขูดหินปูนและเกลารากฟัน) before going offshore.
------
ID#AAAB2erL1eg
arm m    (2026-03-25 01:12:40)
20/3/2026
Please submit the abnormal chest X-ray results for our review. If you have already followed up with a specialist, kindly provide the medical certificate.</t>
        </r>
      </text>
    </comment>
    <comment ref="AK137" authorId="0" shapeId="0" xr:uid="{00000000-0006-0000-0000-00005D000000}">
      <text>
        <r>
          <rPr>
            <sz val="11"/>
            <color rgb="FF000000"/>
            <rFont val="Arial"/>
            <scheme val="minor"/>
          </rPr>
          <t>======
ID#AAABww-7izc
arm m    (2025-09-16 09:45:52)
Low health risk
------
ID#AAABww-7izg
arm m    (2025-10-29 06:50:25)
19/9/2025
Please receive dental treatment for #37,#47 then submit medical certificate within 3 months. Additionally, please focus on reducing your weight</t>
        </r>
      </text>
    </comment>
    <comment ref="AH138" authorId="0" shapeId="0" xr:uid="{00000000-0006-0000-0000-00006F000000}">
      <text>
        <r>
          <rPr>
            <sz val="11"/>
            <color rgb="FF000000"/>
            <rFont val="Arial"/>
            <scheme val="minor"/>
          </rPr>
          <t>======
ID#AAABww-7iyM
arm m    (2025-10-21 09:38:11)
25/4/2025 ตรวจไขมันในเลือด LDL=111.1 , รักษาฟันซี่24,38แล้ว11/11/24
------
ID#AAACACujd7A
arm m    (2026-07-15 09:56:49)
8/1/26 ติดตามค่าUricAcid=7.6 /4/12/2025 อุดฟัน#26 24/10/2025 อุดฟัน #25 ถอน#24</t>
        </r>
      </text>
    </comment>
    <comment ref="AK138" authorId="0" shapeId="0" xr:uid="{00000000-0006-0000-0000-000072000000}">
      <text>
        <r>
          <rPr>
            <sz val="11"/>
            <color rgb="FF000000"/>
            <rFont val="Arial"/>
            <scheme val="minor"/>
          </rPr>
          <t>======
ID#AAABww-7ixg
arm m    (2025-05-02 09:24:59)
Please consult with a specialist in internal medicine regarding your high LDL-cholesterol, very high liver enzyme and uric acid levels. Make sure to track and update your LDL-cholesterol, liver enzyme, and uric acid levels in the next 3 months. Additionally, please continue dental treatment for the remaining abnormal dental issues until they are fully resolved and update on medical certificate to us
------
ID#AAABww-7ixk
arm m    (2025-10-21 09:38:38)
29/4/2025
Low health risk
------
ID#AAABw9eH6K8
arm m    (2025-12-04 09:35:23)
3/11/2025
Please address the abnormal findings from your dental examination ( #36, 26 broken filling ) before going offshore. Additionally, please consult an internal medicine specialist about your high uric acid levels. Also, please have your uric acid levels checked again in the next 3 months.
------
ID#AAAByY_L0Tc
arm m    (2026-01-12 01:35:28)
4/12/2025
Please consult an internal medicine specialist about your high uric acid levels. Also, please have your uric acid levels checked again in Feb 2026.
------
ID#AAACAACyQmU
arm m    (2026-07-14 09:18:29)
9/1/2026 Low health risk 
Please control your diet to decrease high uric acid levels.
------
ID#AAACDpUZ12Y
arm m    (2026-07-22 02:51:46)
16/7/2026 Pending 
Please address the abnormal findings from your dental examination (36,35,23,26) before going to offshore work. Please control your diet to decrease your slightly elevated uric acid levels.</t>
        </r>
      </text>
    </comment>
    <comment ref="AH139" authorId="0" shapeId="0" xr:uid="{00000000-0006-0000-0000-000081000000}">
      <text>
        <r>
          <rPr>
            <sz val="11"/>
            <color rgb="FF000000"/>
            <rFont val="Arial"/>
            <scheme val="minor"/>
          </rPr>
          <t>======
ID#AAAByhc7TJc
arm m    (2026-01-13 06:25:02)
2/9/2025 LDL = 203 , Uric Acid=7.1 , ผลฟันปกติ</t>
        </r>
      </text>
    </comment>
    <comment ref="AK139" authorId="0" shapeId="0" xr:uid="{00000000-0006-0000-0000-000083000000}">
      <text>
        <r>
          <rPr>
            <sz val="11"/>
            <color rgb="FF000000"/>
            <rFont val="Arial"/>
            <scheme val="minor"/>
          </rPr>
          <t>======
ID#AAABww-7i5U
arm m    (2025-07-14 06:20:38)
16/6/2025
Please provide the dental examination results. Consult with an internal medicine specialist due to your very high LDL-cholesterol levels. Adjust your diet to lower uric acid levels. Ensure you provide updates on your LDL-cholesterol results within the next 3 months.
------
ID#AAABww-7i5Y
arm m    (2025-09-10 01:44:03)
16/6/2025
Please consult with an internal medicine specialist due to your very high LDL-cholesterol levels. Adjust your diet to lower uric acid levels. Ensure you provide updates on your LDL-cholesterol results within the next 3 months.
------
ID#AAAByhc7TJg
arm m    (2026-01-13 06:25:38)
10/9/2025
Please consult with an internal medicine specialist due to your very high LDL-cholesterol levels. Ensure you provide updates on your LDL-cholesterol results within the next 3 months.
------
ID#AAAB0AU9AnA
arm m    (2026-02-09 01:25:20)
14/1/2026
Please consult with a specialist in internal medicine due to your high LDL-cholesterol levels. Implement a controlled diet to manage your high uric acid levels. Within the next 3 months, ensure you track and update your LDL-cholesterol level.</t>
        </r>
      </text>
    </comment>
    <comment ref="AH140" authorId="0" shapeId="0" xr:uid="{00000000-0006-0000-0000-000094000000}">
      <text>
        <r>
          <rPr>
            <sz val="11"/>
            <color rgb="FF000000"/>
            <rFont val="Arial"/>
            <scheme val="minor"/>
          </rPr>
          <t>======
ID#AAABww-7is0
arm m    (2025-10-25 04:05:52)
26/12/2024ทำฟัน#45,48 , 21/12/24ตรวจความดันได้125/77 , ตรวจUricAcid=6.3</t>
        </r>
      </text>
    </comment>
    <comment ref="AK140" authorId="0" shapeId="0" xr:uid="{00000000-0006-0000-0000-000098000000}">
      <text>
        <r>
          <rPr>
            <sz val="11"/>
            <color rgb="FF000000"/>
            <rFont val="Arial"/>
            <scheme val="minor"/>
          </rPr>
          <t>======
ID#AAABww-7ivk
arm m    (2025-10-25 04:06:19)
27/12/2024
Low health risk
------
ID#AAABww-7ivo
arm m    (2025-11-20 09:23:47)
27/10/2025
Please consult an internal medicine specialist about your high uric acid levels and consider reducing your weight. Also, please have your uric acid levels checked again in the next 3 months.</t>
        </r>
      </text>
    </comment>
    <comment ref="AH141" authorId="0" shapeId="0" xr:uid="{00000000-0006-0000-0000-0000A9000000}">
      <text>
        <r>
          <rPr>
            <sz val="11"/>
            <color rgb="FF000000"/>
            <rFont val="Arial"/>
            <scheme val="minor"/>
          </rPr>
          <t>======
ID#AAABww-7i0Q
arm m    (2025-10-16 07:09:17)
25/2/25 ขุดหินปูดและขัดฟันทั้งปาก , 21/11/24-ขูดหินปูน+ทำฟันซี่46</t>
        </r>
      </text>
    </comment>
    <comment ref="AK141" authorId="0" shapeId="0" xr:uid="{00000000-0006-0000-0000-0000AC000000}">
      <text>
        <r>
          <rPr>
            <sz val="11"/>
            <color rgb="FF000000"/>
            <rFont val="Arial"/>
            <scheme val="minor"/>
          </rPr>
          <t>======
ID#AAABww-7ivE
arm m    (2025-10-16 07:09:33)
It would be greatly appreciated, if you could see a dentist for gingivitis treatment before going offshore.
------
ID#AAABww-7ivI
arm m    (2025-10-17 04:37:16)
16/10/2025
Please receive dental treatment (dental caries#26) then submit medical certificate to us before going offshore. 
Additionally, please consult an internal medicine specialist for high triglyceride levels. Update your triglyceride levels in the next 3 months.
------
ID#AAABww-7ivM
arm m    (2025-11-20 09:21:18)
17/10/2025
Please consult an internal medicine specialist for high triglyceride levels. Update your triglyceride levels in the next 3 months.</t>
        </r>
      </text>
    </comment>
    <comment ref="AH142" authorId="0" shapeId="0" xr:uid="{00000000-0006-0000-0000-0000BB000000}">
      <text>
        <r>
          <rPr>
            <sz val="11"/>
            <color rgb="FF000000"/>
            <rFont val="Arial"/>
            <scheme val="minor"/>
          </rPr>
          <t>======
ID#AAAB7BGbCm8
arm m    (2026-05-22 06:50:29)
31/3/2026 LDL=206 6/11/2025 ขูดหินปูน 27/9/2025 LDL=187 ความดัน=114/77</t>
        </r>
      </text>
    </comment>
    <comment ref="AK142" authorId="0" shapeId="0" xr:uid="{00000000-0006-0000-0000-0000BE000000}">
      <text>
        <r>
          <rPr>
            <sz val="11"/>
            <color rgb="FF000000"/>
            <rFont val="Arial"/>
            <scheme val="minor"/>
          </rPr>
          <t>======
ID#AAABteFivA8
arm m    (2025-08-02 09:43:09)
27/1/2025
No additional recommendation.
------
ID#AAABteFivBA
arm m    (2025-10-01 06:33:14)
7/8/2025
Please consult an internal medicine specialist for very high LDL-cholesterol. Update your LDL-cholesterol within the next 3 months. Additionally, please address the abnormal findings from your dental examination.
------
ID#AAABteFivBE
arm m    (2025-11-07 09:08:09)
30/9/2025
Please consult an internal medicine specialist for your high LDL-cholesterol. Update your LDL-cholesterol within the next 3 months. Additionally, please address the abnormal findings from your dental examination (Gingivitis).
------
ID#AAAB2pG_Xo8
arm m    (2026-04-02 01:20:54)
7/11/2025
Please consult an internal medicine specialist for your high LDL-cholesterol. Update your LDL-cholesterol within the next 3 months.
------
ID#AAAB7BGbCnA
arm m    (2026-05-22 06:50:47)
1/4/2026
Please consult an internal medicine specialist for very high LDL-cholesterol. Update your LDL-cholesterol within the next 3 months.
(Next following up, if LDL cholesterol still very high, please consult the doctor for treatment by medication.)
------
ID#AAAB_Vae7Os
arm m    (2026-07-07 02:50:07)
25/5/2026 High health risk Please consult an internal medicine specialist about your high triglycerides and very elevated liver enzymes. Kindly ensure you retest your triglycerides, liver enzymes levels in the upcoming 3 months. Adhere to a low-sugar and low-carbohydrate diet to address your elevated fasting blood sugar levels. Additionally, address the abnormal findings from your dental examination (gingivitis).
------
ID#AAAB-0lNKc8
arm m    (2026-07-08 08:59:29)
7/7/2026 Moderate health risk please consult an internal medicine specialist regarding your high triglyceride levels and significantly elevated liver enzyme levels. Kindly ensure that your triglyceride and liver enzyme levels are re-tested within 1 month.
------
ID#AAACEji6KiA
arm m    (2026-08-03 07:08:31)
9/7/2026 Moderate health risk Please continue treatment for your abnormal liver function and hypertriglyceridemia under the care of your doctor. If you consume alcohol, please stop, as it may further affect your liver function and triglyceride levels.
Kindly provide updated liver enzyme (SGOT/AST) and triglyceride results within the next 6 months for follow-up.</t>
        </r>
      </text>
    </comment>
    <comment ref="AH143" authorId="0" shapeId="0" xr:uid="{00000000-0006-0000-0000-0000CF000000}">
      <text>
        <r>
          <rPr>
            <sz val="11"/>
            <color rgb="FF000000"/>
            <rFont val="Arial"/>
            <scheme val="minor"/>
          </rPr>
          <t>======
ID#AAAB5BZ8cjI
arm m    (2026-04-28 02:07:20)
7/11/2025 TG=158 LDL=128 9/7/2025 ตรวจไขมันLDL=92, TG=66 4/7/2025 ขุดหินปูนและขัดฟัน</t>
        </r>
      </text>
    </comment>
    <comment ref="AK143" authorId="0" shapeId="0" xr:uid="{00000000-0006-0000-0000-0000D3000000}">
      <text>
        <r>
          <rPr>
            <sz val="11"/>
            <color rgb="FF000000"/>
            <rFont val="Arial"/>
            <scheme val="minor"/>
          </rPr>
          <t>======
ID#AAABww-7irQ
arm m    (2025-06-04 07:10:56)
No additional recommendation.
------
ID#AAABww-7irU
arm m    (2025-11-07 09:26:00)
14/7/2025
Please แonsult an internal medicine specialist for high LDL-cholesterol. Update your LDL-cholesterol levels within the next three months.months.
------
ID#AAAB5BZ8cjM
arm m    (2026-04-28 02:07:47)
7/11/2025
No additional recommendation.
------
ID#AAAB9Awfz5k
arm m    (2026-06-09 03:48:55)
29/4/2026
Please consult an internal medicine specialist for very high LDL-cholesterol. Update your LDL-cholesterol within the next 3 months</t>
        </r>
      </text>
    </comment>
    <comment ref="AK144" authorId="0" shapeId="0" xr:uid="{00000000-0006-0000-0000-0000E7000000}">
      <text>
        <r>
          <rPr>
            <sz val="11"/>
            <color rgb="FF000000"/>
            <rFont val="Arial"/>
            <scheme val="minor"/>
          </rPr>
          <t>======
ID#AAABww-7ir4
arm m    (2025-06-04 07:15:40)
Please focus on reducing your weight.
------
ID#AAABww-7ir8
arm m    (2025-07-04 06:26:24)
16/6/2025
Please address the abnormal findings from your dental examination before going to offshore work. Additionally, please focus on reducing your weight.
------
ID#AAAB2UzaJX0
Saisuda T    (2026-03-28 06:34:54)
4/7/25 :Low health risk: Please focus on reducing your weight.
------
ID#AAAB-u1M2lE
arm m    (2026-07-01 04:17:23)
31/3/2026 Moderate health risk Please consult an internal medicine specialist for high LDL-cholesterol. Update your LDL-cholesterol in the next 3 months.</t>
        </r>
      </text>
    </comment>
    <comment ref="AH145" authorId="0" shapeId="0" xr:uid="{00000000-0006-0000-0000-0000F8000000}">
      <text>
        <r>
          <rPr>
            <sz val="11"/>
            <color rgb="FF000000"/>
            <rFont val="Arial"/>
            <scheme val="minor"/>
          </rPr>
          <t>======
ID#AAABwwRdIX8
arm m    (2025-10-01 08:50:20)
31/7/2025 ติดตามรับยาโรคประจำตัวความดันโลหิต 13/3/2025 ตรวจความดันโลหิต=147/82, 30/1/2025 ตรวจไขมัน , 22/01/2025 ถอนฟันคุด#48 , ติดตามความดัน ไขมันแล้ว31/10/2024 ได้รับยาทาน นัดอีก3เดือน (มียาความดัน ยาลดไขมัน)
------
ID#AAAB_dhdVxQ
arm m    (2026-07-23 08:08:45)
20/4/2026 ติดตามความดัน=139/83 นัดตรวจ13/7/69 2/3/2026 ติดตามควมดันได้147/92, 20/12/2025 LDL=90 Cholesterol=173 TG=128 29-9-2025 ผลฟันปกติ</t>
        </r>
      </text>
    </comment>
    <comment ref="AK145" authorId="0" shapeId="0" xr:uid="{00000000-0006-0000-0000-0000FD000000}">
      <text>
        <r>
          <rPr>
            <sz val="11"/>
            <color rgb="FF000000"/>
            <rFont val="Arial"/>
            <scheme val="minor"/>
          </rPr>
          <t>======
ID#AAABww-7iz8
arm m    (2025-04-23 04:08:18)
6/2/2025 -As previously recommended, please update your blood pressure result within a month. Note: To work offshore at CTEP, individuals must have a blood pressure below 140/90 mmHg. .
------
ID#AAABww-7i0A
arm m    (2025-08-05 02:13:47)
21/4/2025
Please continue your ongoing treatment for hypertension with the specialist. Update us on your blood pressure result in the next 3 months. Note: To work offshore at CTEP, individuals must have a blood pressure below 140/90 mmHg.
------
ID#AAABww-7i0E
arm m    (2025-10-01 08:50:47)
1/8/2025
Please continue your ongoing treatment for hypertension with the specialist. Update us on your blood pressure result in the next 3 months. Note: To work offshore at CTEP, individuals must have a blood pressure below 140/90 mmHg.
------
ID#AAAB0wvJMXY
arm m    (2026-03-02 03:02:27)
9/1/2026
------
ID#AAAB4AC1iGA
arm m    (2026-04-23 01:08:04)
2/3/2026
Please consult an internal medicine specialist for high blood pressure, and consider weight reduction as it's highly recommended. Follow up on the blood pressure within 3 months. (For offshore work at CTEP, only individuals with a blood pressure lower than 140/90 mmHg are accepted.)
------
ID#AAACEMDn_X8
arm m    (2026-07-29 03:14:10)
22/4/2026 Moderate health risk Please follow up on the blood pressure in the next 3 months. Additionally, please reduce weight and control your diet to decrease high uric acid levels. (For offshore work at CTEP, only individuals with a blood pressure lower than 140/90 mmHg are accepted.)
------
ID#AAACEkf1lP4
arm m    (2026-07-31 13:04:02)
30/7/2026 Pending 
Please address the abnormal findings from your dental examination (teeth 14, 16, 26, and 17) before going offshore. Please continue treatment for your hypertension and hyperlipidemia with your doctor. Please focus on weight reduction and kindly provide an updated body weight or BMI within the next six months.
Note: All offshore personnel working for CTEP are required to maintain a BMI below 35.</t>
        </r>
      </text>
    </comment>
    <comment ref="AH146" authorId="0" shapeId="0" xr:uid="{00000000-0006-0000-0000-00000D010000}">
      <text>
        <r>
          <rPr>
            <sz val="11"/>
            <color rgb="FF000000"/>
            <rFont val="Arial"/>
            <scheme val="minor"/>
          </rPr>
          <t>======
ID#AAAB0Bfwmvc
arm m    (2026-02-11 08:26:37)
21/11/2025 อุดฟัน#36,44.7 7/10/25 TG=456 ความดันโลหิต=100/60 14/3/25 ถอนฟัน1ซี่</t>
        </r>
      </text>
    </comment>
    <comment ref="AK146" authorId="0" shapeId="0" xr:uid="{00000000-0006-0000-0000-000011010000}">
      <text>
        <r>
          <rPr>
            <sz val="11"/>
            <color rgb="FF000000"/>
            <rFont val="Arial"/>
            <scheme val="minor"/>
          </rPr>
          <t>======
ID#AAABwwRdIYI
Saisuda T    (2025-10-11 08:01:57)
3/9/25 : High health risk : Please consult an endocrinologist for assistance with weight reduction and management of high triglyceride levels. Additionally, please control your diet to help lower your slightly elevated uric acid levels. 
Kindly provide updates on your body weight and triglyceride levels within the next 3 months. 
For offshore work at CTEP, only individuals with a BMI below 35 are eligible.
------
ID#AAABwwRdIYM
arm m    (2025-11-22 02:49:42)
10/10/2025
Please submit dental treatment certificate before going offshore. 
Additionally, please consult an endocrinologist for assistance with weight reduction and management of high triglyceride levels. Additionally, please control your diet to help lower your slightly elevated uric acid levels. Kindly provide updates on your body weight and triglyceride levels within the next 6 months. For offshore work at CTEP, only individuals with a BMI below 35 are eligible.
------
ID#AAAB0MmK-q8
arm m    (2026-02-12 03:51:31)
21/11/2025
Please consult an endocrinologist for assistance with weight reduction and management of high triglyceride levels. Additionally, please control your diet to help lower your slightly elevated uric acid levels. Kindly provide updates on your body weight and triglyceride levels within the next 6 months. For offshore work at CTEP, only individuals with a BMI below 35 are eligible.
------
ID#AAAB21OPHzI
arm m    (2026-03-31 08:04:44)
12/2/2026
Please address the abnormal dental findings related to dental caries prior to going offshore.
For poorly controlled triglyceride levels that have not improved with lifestyle modifications alone, treatment with medication under the care of a specialist is recommended. Kindly provide an update on your triglyceride levels along with a medical certificate confirming specialist consultation within the next three months.
Please continue to focus on weight reduction. Kindly provide an update on your body weight or BMI within the next six months. Please note that all offshore workforce personnel working for CTEP are required to maintain a BMI of less than 35.</t>
        </r>
      </text>
    </comment>
    <comment ref="AH147" authorId="0" shapeId="0" xr:uid="{00000000-0006-0000-0000-000021010000}">
      <text>
        <r>
          <rPr>
            <sz val="11"/>
            <color rgb="FF000000"/>
            <rFont val="Arial"/>
            <scheme val="minor"/>
          </rPr>
          <t>======
ID#AAAB8qo7ehI
arm m    (2026-06-02 07:13:26)
28/10/2025 ความดันโลหิต=132/87 27/10/2025 BMI =28.90</t>
        </r>
      </text>
    </comment>
    <comment ref="AK147" authorId="0" shapeId="0" xr:uid="{00000000-0006-0000-0000-000026010000}">
      <text>
        <r>
          <rPr>
            <sz val="11"/>
            <color rgb="FF000000"/>
            <rFont val="Arial"/>
            <scheme val="minor"/>
          </rPr>
          <t>======
ID#AAABww-7iw0
arm m    (2025-10-30 10:09:28)
5/9/2025
Please prioritize weight reduction and update your BMI within the next 6 months, as all offshore workforces working for CTEP are required to maintain a Body Mass Index (BMI) below 35.
------
ID#AAAB8qo7eoY
arm m    (2026-06-02 07:13:55)
30/10/2025
Please focus on reducing your weight.</t>
        </r>
      </text>
    </comment>
    <comment ref="AH148" authorId="0" shapeId="0" xr:uid="{00000000-0006-0000-0000-000032010000}">
      <text>
        <r>
          <rPr>
            <sz val="11"/>
            <color rgb="FF000000"/>
            <rFont val="Arial"/>
            <scheme val="minor"/>
          </rPr>
          <t>======
ID#AAABww-7i2Q
arm m    (2025-09-30 07:25:20)
18/4/25ติดตามEKG=ปกติ ,Uric acid=8.7 (*มีผลตรวจEST ปกติเมื่อ6-9-24) , 29/01/2025 ขูดหินปูน , 28/1/2025 ตรวจไขมันไตรกลีเซอไรด์ =168 , 07/09/2024 อุดฟัน#46,36,45
------
ID#AAAB9BqCC1k
arm m    (2026-06-10 02:18:02)
19/2/2026 FBS=99,TG=178, LDL-c=103 30/9/2025 ขูดหินปูนทั้งปาก</t>
        </r>
      </text>
    </comment>
    <comment ref="AK148" authorId="0" shapeId="0" xr:uid="{00000000-0006-0000-0000-000036010000}">
      <text>
        <r>
          <rPr>
            <sz val="11"/>
            <color rgb="FF000000"/>
            <rFont val="Arial"/>
            <scheme val="minor"/>
          </rPr>
          <t>======
ID#AAABww-7i4Q
Saisuda T    (2025-04-18 10:55:04)
31/1/25:Please provide us the result of abnormal EKG test before going to offshore work. It is also recommended that you undertake weight reduction and control diet for high uric acid level. .
------
ID#AAABww-7i4U
arm m    (2025-09-30 08:53:07)
18/4/2025
Please reduce weight and control your diet to decrease high uric acid levels.
------
ID#AAAB9BqCC1o
arm m    (2026-06-10 02:18:28)
30/9/2025
Please reduce weight and control your diet to decrease high uric acid levels. Additionally, please address the abnormal findings from your dental examination.
------
ID#AAAB8IMkbMI
arm m    (2026-06-15 08:21:11)
11/6/2026
Please address the abnormal findings from your dental examination (38,44) before going to offshore work. Please consult with an internal medicine specialist regarding your high triglycerides and uric acid levels. Additionally, it would be beneficial to reduce your weight. Kindly ensure that your triglyceride and uric acid levels are rechecked within the next 6 months.</t>
        </r>
      </text>
    </comment>
    <comment ref="AH149" authorId="0" shapeId="0" xr:uid="{00000000-0006-0000-0000-000008000000}">
      <text>
        <r>
          <rPr>
            <sz val="11"/>
            <color rgb="FF000000"/>
            <rFont val="Arial"/>
            <scheme val="minor"/>
          </rPr>
          <t>======
ID#AAABww-7ivA
arm m    (2025-10-14 02:24:34)
18/12/2024 ขุดหิดปูน , อุดฟันกรามล่างซ้าย 1 ซี่
------
ID#AAAB_dXswrM
arm m    (2026-07-22 08:50:25)
10/2/2026 ความดันโลหิต=120/86 , Uric=6.4 ,TG=138 , LDL=191 , SGPT=26 19/11/2025 Uric acid = 7.4 SGPT=48 TG=235 LDL-C=147</t>
        </r>
      </text>
    </comment>
    <comment ref="AK149" authorId="0" shapeId="0" xr:uid="{00000000-0006-0000-0000-00000C000000}">
      <text>
        <r>
          <rPr>
            <sz val="11"/>
            <color rgb="FF000000"/>
            <rFont val="Arial"/>
            <scheme val="minor"/>
          </rPr>
          <t>======
ID#AAABww-7isc
arm m    (2025-10-14 02:25:00)
31/1/2025
He has color blindness. Could you please provide the details of his job tasks? Please ensure that none of his tasks involve color-related work.
------
ID#AAABww-7isg
arm m    (2025-11-20 09:17:22)
14/10/2025
Due to color blindness, you should refrain from tasks that require accurate color differentiation. Please consult an internal medicine specialist regarding your elevated triglyceride, liver enzyme, and uric acid levels. Additionally, please focus on weight reduction and dietary adjustments. Ensure to monitor and report your triglyceride, liver enzyme, and uric acid levels within the next 3 months.
------
ID#AAAB0bTVveA
arm m    (2026-02-16 06:18:41)
20/11/2025
Due to color blindness, you should refrain from tasks that require accurate color differentiation. Please continue your treatment for dyslipidemia with your doctor. Additionally, please focus on weight reduction and dietary adjustments. Ensure to monitor and report your triglyceride, and uric acid levels within the next 3 months.
------
ID#AAAB51IU9PY
arm m    (2026-05-07 01:46:18)
16/2/2026
Due to color blindness, you should refrain from tasks that require accurate color differentiation. Please continue treatment for dyslipidemia with your doctor, with greater focus on elevated LDL cholesterol. Additionally, please focus on weight reduction and dietary modifications. Ensure that your LDL cholesterol is monitored and updated within the next 3 months.
------
ID#AAAB_dXswrQ
arm m    (2026-07-22 08:50:55)
6/5/2026 Significant health risk (Color blindness), High Health risk Due to color blindness, you should refrain from tasks that require accurate color differentiation.
In addition, due to poor control of LDL cholesterol, consultation with an endocrinologist is recommended for appropriate treatment. Please also focus on weight reduction to address overweight status and dietary control to manage elevated uric acid levels.
Kindly provide an update on your LDL cholesterol level within the next three months. Please note that if the LDL cholesterol level continues to increase, this may be considered a potential risk, and unfitness for offshore work .</t>
        </r>
      </text>
    </comment>
    <comment ref="AH150" authorId="0" shapeId="0" xr:uid="{00000000-0006-0000-0000-00001C000000}">
      <text>
        <r>
          <rPr>
            <sz val="11"/>
            <color rgb="FF000000"/>
            <rFont val="Arial"/>
            <scheme val="minor"/>
          </rPr>
          <t>======
ID#AAABww-7i0g
arm m    (2025-09-26 01:54:01)
4/7/2025 TG=166 , 2/7/2025 ขูดหินปูน+ขัดฟัน 2/10/2024 อุดฟัน #37
------
ID#AAACAACyQmg
arm m    (2026-07-14 10:09:03)
2/1/2026 TG=121 31/10/2025 ความดันโลหิต=129/88 อุดฟัน#18 29-10-2025 Triglyceride=125 Urine analysis=ปกติ 30/9/2025 BP=126/90 / 2/7/25 ขูดหินปูนแล้ว</t>
        </r>
      </text>
    </comment>
    <comment ref="AK150" authorId="0" shapeId="0" xr:uid="{00000000-0006-0000-0000-00001F000000}">
      <text>
        <r>
          <rPr>
            <sz val="11"/>
            <color rgb="FF000000"/>
            <rFont val="Arial"/>
            <scheme val="minor"/>
          </rPr>
          <t>======
ID#AAABww-7i2A
arm m    (2025-07-04 06:36:21)
16/6/2025
Please address the abnormal findings from your dental examination before going to offshore work. Consult an internal medicine specialist for high triglyceride levels. Update your triglyceride levels and your abnormal urine analysis results during your next annual physical examination before October 1, 2025. Additionally, update your exercise stress test (EST) result before it expires on July 25, 2025.
------
ID#AAABww-7i2E
arm m    (2025-09-26 01:54:35)
4/7/2025 
Please onsult an internal medicine specialist for high triglyceride levels. Update your triglyceride levels and your abnormal urine analysis results during your next annual physical examination before October 1, 2025. Additionally, update your exercise stress test (EST) result before it expires on July 25, 2025.
------
ID#AAABww-7i2I
arm m    (2025-11-03 03:51:27)
30/9/2025
Please receive dental treatment and submit medical certificate to us before going offshore. Additionally, please consult an internal specialist for your high triglyceride and abnormal urine test. Kindly update us on your blood pressure, triglyceride and urine test results in the next 3 months.
------
ID#AAABww-7i2M
arm m    (2025-11-05 06:09:24)
3/11/2025
Please consult an internal specialist for your high triglyceride and abnormal urine test. Kindly update us on your blood pressure, triglyceride and urine test results in the next 1 months.
------
ID#AAACAACyQmY
arm m    (2026-07-14 09:20:33)
5/11/2025 Low health risk 
Please continue treatment for your hypertriglyceridemia under the care of your doctor.
------
ID#AAACACujd6w
arm m    (2026-07-15 09:01:49)
15/7/2026 Pending
Please arrange to repeat your abnormal urine analysis (red blood cells), and address the abnormal findings related to dental caries (teeth 37) prior to offshore deployment.
------
ID#AAACDpUZ12I
arm m    (2026-07-22 02:46:29)
16/7/2026 Pending 
Please arrange to repeat your abnormal urine analysis (red blood cells) prior to offshore deployment.</t>
        </r>
      </text>
    </comment>
    <comment ref="AH151" authorId="0" shapeId="0" xr:uid="{00000000-0006-0000-0000-000030000000}">
      <text>
        <r>
          <rPr>
            <sz val="11"/>
            <color rgb="FF000000"/>
            <rFont val="Arial"/>
            <scheme val="minor"/>
          </rPr>
          <t>======
ID#AAAB8qzVkj8
arm m    (2026-06-02 02:52:08)
ฟัน#46สึกลึก (ได้รับการรักษาอุดฟันแล้ว 10/6/25)</t>
        </r>
      </text>
    </comment>
    <comment ref="AK151" authorId="0" shapeId="0" xr:uid="{00000000-0006-0000-0000-000032000000}">
      <text>
        <r>
          <rPr>
            <sz val="11"/>
            <color rgb="FF000000"/>
            <rFont val="Arial"/>
            <scheme val="minor"/>
          </rPr>
          <t>======
ID#AAAB8qzVkkA
arm m    (2026-06-02 02:52:39)
17/6/2025
Please repeat your abnormal urine analysis result.
------
ID#AAAB87PtpCg
arm m    (2026-06-08 02:30:25)
4/6/2026
Please address the abnormal findings from your dental examination (#25) before going to offshore work.</t>
        </r>
      </text>
    </comment>
    <comment ref="AH152" authorId="0" shapeId="0" xr:uid="{00000000-0006-0000-0000-00003F000000}">
      <text>
        <r>
          <rPr>
            <sz val="11"/>
            <color rgb="FF000000"/>
            <rFont val="Arial"/>
            <scheme val="minor"/>
          </rPr>
          <t>======
ID#AAAB3yWrvxk
arm m    (2026-04-21 03:37:09)
6/11/2025 TG=112 , ความดันโลหิต=123/75 น้ำหนัก=86 26/9/2025 BP=131/88 , TG=253 9/9/2025 อุดฟัน#37</t>
        </r>
      </text>
    </comment>
    <comment ref="AK152" authorId="0" shapeId="0" xr:uid="{00000000-0006-0000-0000-000043000000}">
      <text>
        <r>
          <rPr>
            <sz val="11"/>
            <color rgb="FF000000"/>
            <rFont val="Arial"/>
            <scheme val="minor"/>
          </rPr>
          <t>======
ID#AAABww-7itk
Saisuda T    (2025-04-19 04:24:03)
19-4-25:Please provide BMI updates for the next 6 months. For offshore work at CTEP, only individuals with a BMI less than 35 are accepted.
------
ID#AAABww-7ito
arm m    (2025-10-01 06:27:59)
16/6/2025
Please address the abnormal findings from your dental examination before going to offshore work. Continue your weight reduction diet to control elevated triglycerides, and closely monitor your elevated blood pressure. Please update your blood pressure within three months. Note that all offshore workforce who work for CTEP require a blood pressure below 140/90 mmHg.
------
ID#AAABww-7its
arm m    (2025-11-06 07:41:38)
30/9/2025
Please continue your weight reduction diet to control elevated triglycerides, and closely monitor your elevated blood pressure. Please update on your blood pressure, body weight and triglyceride levels within 3 months. Note that all offshore workforce who work for CTEP require a blood pressure below 140/90 mmHg.
------
ID#AAAB3yWrvxo
arm m    (2026-04-21 03:37:44)
6/11/2025
Please continue your weight reduction diet. Kindly provide an updated BMI result within the next 6 months for follow-up.
------
ID#AAAB5phllF8
arm m    (2026-05-05 07:04:26)
28/4/2026
Please address the abnormal findings from your dental examination (#37 dental caries) before going offshore. Please consult an endocrinologist for assistance with weight reduction and high triglyceride levels. Kindly provide updates on your body weight and triglyceride levels in 3 months. (For offshore work at CTEP, only individuals with a BMI less than 35 are accepted.)</t>
        </r>
      </text>
    </comment>
    <comment ref="AK153" authorId="0" shapeId="0" xr:uid="{00000000-0006-0000-0000-000056000000}">
      <text>
        <r>
          <rPr>
            <sz val="11"/>
            <color rgb="FF000000"/>
            <rFont val="Arial"/>
            <scheme val="minor"/>
          </rPr>
          <t>======
ID#AAAB2MmUp3c
arm m    (2026-03-19 09:48:25)
27/6/2026
Please control your diet to manage your rising triglyceride levels.</t>
        </r>
      </text>
    </comment>
    <comment ref="AH154" authorId="0" shapeId="0" xr:uid="{00000000-0006-0000-0000-000063000000}">
      <text>
        <r>
          <rPr>
            <sz val="11"/>
            <color rgb="FF000000"/>
            <rFont val="Arial"/>
            <scheme val="minor"/>
          </rPr>
          <t>======
ID#AAACEjGZoXQ
arm m    (2026-07-31 04:41:43)
31/10/25 ขูดหินปูน</t>
        </r>
      </text>
    </comment>
    <comment ref="AK154" authorId="0" shapeId="0" xr:uid="{00000000-0006-0000-0000-000067000000}">
      <text>
        <r>
          <rPr>
            <sz val="11"/>
            <color rgb="FF000000"/>
            <rFont val="Arial"/>
            <scheme val="minor"/>
          </rPr>
          <t>======
ID#AAACEjGZoWo
arm m    (2026-07-31 01:15:29)
3/11/2025 Low health risk 
Please focus on reducing your weight.</t>
        </r>
      </text>
    </comment>
    <comment ref="AK155" authorId="0" shapeId="0" xr:uid="{00000000-0006-0000-0000-00007C000000}">
      <text>
        <r>
          <rPr>
            <sz val="11"/>
            <color rgb="FF000000"/>
            <rFont val="Arial"/>
            <scheme val="minor"/>
          </rPr>
          <t>======
ID#AAABww-7i3g
arm m    (2025-11-07 09:16:49)
4/11/2025
Please address the abnormal findings from your dental examination (วัสดุอุดฟันแตก#26, ฟันโยน#25, ฟันผุ#47,46 ) before going offshore. Additionally, please consult with a specialist in internal medicine regarding your high LDL-cholesterol, high liver enzyme and uric acid levels. Make sure to track and update your LDL-cholesterol, liver enzyme, and uric acid levels over the next 3 months.
------
ID#AAAB2Jrj6EE
arm m    (2026-03-18 02:15:07)
7/11/2025
Please continue addressing the abnormal findings from your dental examination (วัสดุอุดฟันแตก#26 นัดถอน 17 Dec 2025, ฟันผุ#47,46 ) before the next shift. Additionally, please consult with a specialist in internal medicine regarding your high LDL-cholesterol, high liver enzyme and uric acid levels. Make sure to track and update your LDL-cholesterol, liver enzyme, and uric acid levels over the next 3 months.
------
ID#AAAB9gJArEw
arm m    (2026-06-12 10:28:59)
17/3/2026
Please consult with a specialist in internal medicine regarding your high LDL-cholesterol, and uric acid levels. Make sure to track and update your LDL-cholesterol, and uric acid levels within the next 3 months.</t>
        </r>
      </text>
    </comment>
    <comment ref="AH156" authorId="0" shapeId="0" xr:uid="{00000000-0006-0000-0000-000089000000}">
      <text>
        <r>
          <rPr>
            <sz val="11"/>
            <color rgb="FF000000"/>
            <rFont val="Arial"/>
            <scheme val="minor"/>
          </rPr>
          <t>======
ID#AAAB-0lNKdE
arm m    (2026-07-08 09:17:25)
5/9/2025 ขูดหินปูนและเกลารากฟัน 29/8/2025 ขูดหินปูนและเกลารากฟัน 22/8/2025 ขูดหินปูนและเกลารากฟัน 15/8/2025 ขูดหินปูนและเกลารากฟัน</t>
        </r>
      </text>
    </comment>
    <comment ref="AK156" authorId="0" shapeId="0" xr:uid="{00000000-0006-0000-0000-00008D000000}">
      <text>
        <r>
          <rPr>
            <sz val="11"/>
            <color rgb="FF000000"/>
            <rFont val="Arial"/>
            <scheme val="minor"/>
          </rPr>
          <t>======
ID#AAABww-7i54
arm m    (2025-11-06 07:58:21)
4/11/2025
Please address the abnormal findings (Chronic Periodontitis) from your dental examination within 3 months.
------
ID#AAAB-0lNKdI
arm m    (2026-07-08 09:18:03)
4/11/2025 Low health risk 
No additional recommendation.</t>
        </r>
      </text>
    </comment>
    <comment ref="AH157" authorId="0" shapeId="0" xr:uid="{00000000-0006-0000-0000-00009F000000}">
      <text>
        <r>
          <rPr>
            <sz val="11"/>
            <color rgb="FF000000"/>
            <rFont val="Arial"/>
            <scheme val="minor"/>
          </rPr>
          <t>======
ID#AAAB3zyo-ek
arm m    (2026-04-22 01:32:15)
9/3/2026 ขูดหินปูน+ขัดฟัน 8/3/2026 TG=247 LDL-C=179 SGOT=21</t>
        </r>
      </text>
    </comment>
    <comment ref="AK157" authorId="0" shapeId="0" xr:uid="{00000000-0006-0000-0000-0000A3000000}">
      <text>
        <r>
          <rPr>
            <sz val="11"/>
            <color rgb="FF000000"/>
            <rFont val="Arial"/>
            <scheme val="minor"/>
          </rPr>
          <t>======
ID#AAAB1j7GW4E
arm m    (2026-03-10 09:43:31)
3/12/2025
Please consult an internal medicine specialist regarding your high triglycerides. It would also be beneficial for you to work on reducing your weight. Kindly ensure that your triglycerides are checked again within the next 3 months. Additionally, please address the abnormal findings noted in your dental certificate.
------
ID#AAAB3zyo-eo
arm m    (2026-04-22 01:32:42)
10/3/2026
Please consult an internal medicine specialist due to your high LDL-cholesterol and elevated triglycerides. It is also recommended that you work on weight reduction. Ensure to monitor and provide updates on your LDL-cholesterol and triglycerides within the next 3 months.
------
ID#AAAB9Awfz5Y
arm m    (2026-06-09 03:43:37)
23/4/2026
Please consult with an internal medicine specialist regarding your high LDL-cholesterol levels, and strive to reduce your weight. Ensure to get your LDL-cholesterol levels rechecked in the next 3 months.</t>
        </r>
      </text>
    </comment>
    <comment ref="AH159" authorId="0" shapeId="0" xr:uid="{00000000-0006-0000-0000-0000C5000000}">
      <text>
        <r>
          <rPr>
            <sz val="11"/>
            <color rgb="FF000000"/>
            <rFont val="Arial"/>
            <scheme val="minor"/>
          </rPr>
          <t>======
ID#AAAB9x_npvY
arm m    (2026-06-18 06:49:32)
ได้รับการขูดหินปูนแล้ว 5/12/25</t>
        </r>
      </text>
    </comment>
    <comment ref="AK159" authorId="0" shapeId="0" xr:uid="{00000000-0006-0000-0000-0000C9000000}">
      <text>
        <r>
          <rPr>
            <sz val="11"/>
            <color rgb="FF000000"/>
            <rFont val="Arial"/>
            <scheme val="minor"/>
          </rPr>
          <t>======
ID#AAAB9x_npvc
arm m    (2026-06-18 06:50:09)
30/3/2026 Moderate health risk
Please prioritize weight reduction and update your BMI within the next 6 months, as all offshore workforces working for CTEP are required to maintain a Body Mass Index (BMI) below 35.
------
ID#AAAB9MRf9cc
arm m    (2026-06-25 07:04:43)
20/6/2026 Pending 
Please receive dental treatment by filling tooth # 15,16 then submit medical certificate before going offshore.
Additionally, please prioritize weight reduction and update your BMI within the next 6 months, as all offshore workforces working for CTEP are required to maintain a Body Mass Index (BMI) below 35.</t>
        </r>
      </text>
    </comment>
    <comment ref="AH160" authorId="0" shapeId="0" xr:uid="{00000000-0006-0000-0000-0000DA000000}">
      <text>
        <r>
          <rPr>
            <sz val="11"/>
            <color rgb="FF000000"/>
            <rFont val="Arial"/>
            <scheme val="minor"/>
          </rPr>
          <t>======
ID#AAAB6X_c-Xo
arm m    (2026-05-12 08:32:09)
3/6/2025 #44 ถอนฟัน</t>
        </r>
      </text>
    </comment>
    <comment ref="AK160" authorId="0" shapeId="0" xr:uid="{00000000-0006-0000-0000-0000DD000000}">
      <text>
        <r>
          <rPr>
            <sz val="11"/>
            <color rgb="FF000000"/>
            <rFont val="Arial"/>
            <scheme val="minor"/>
          </rPr>
          <t>======
ID#AAAB6YPTD0E
arm m    (2026-05-12 08:32:29)
14/11/2025 For the impacted tooth #48, please proceed as recommended by the dentist.
------
ID#AAAB6macuoI
arm m    (2026-05-18 08:31:18)
13/5/2026
Please address the abnormal findings from your dental examination (12, 34, 35, 28) before going to offshore work.</t>
        </r>
      </text>
    </comment>
    <comment ref="AK161" authorId="0" shapeId="0" xr:uid="{00000000-0006-0000-0000-0000F1000000}">
      <text>
        <r>
          <rPr>
            <sz val="11"/>
            <color rgb="FF000000"/>
            <rFont val="Arial"/>
            <scheme val="minor"/>
          </rPr>
          <t>======
ID#AAAB51IU9Pc
arm m    (2026-05-07 01:49:40)
2/3/2026
Please consult with a specialist in internal medicine due to your high LDL-cholesterol levels. Implement a controlled diet to manage your high uric acid levels. Within the next 3 months, ensure you track and update your LDL-cholesterol level.
------
ID#AAACEMDn_Xg
arm m    (2026-07-29 01:47:19)
6/5/2026 Moderate health risk Please continue treatment for your hyperlipidemia. Kindly control your diet to help reduce the slightly elevated uric acid level. Please provide an update on your LDL cholesterol level within the next 3 months.</t>
        </r>
      </text>
    </comment>
    <comment ref="AK162" authorId="0" shapeId="0" xr:uid="{00000000-0006-0000-0000-000006010000}">
      <text>
        <r>
          <rPr>
            <sz val="11"/>
            <color rgb="FF000000"/>
            <rFont val="Arial"/>
            <scheme val="minor"/>
          </rPr>
          <t>======
ID#AAAB2h_asKQ
arm m    (2026-03-26 06:34:54)
2/3/2026
Please receive dental treatment (พบฟันผุลึก#23 , พบรากฟันค้างในเหงือก #18,28 , ควรอุด #13,11,21) then submit medical certificate before going offshore. Additionally, please consult an internal medicine specialist for high LDL-cholesterol. Update your LDL-cholesterol in the next 3 months.</t>
        </r>
      </text>
    </comment>
    <comment ref="AK163" authorId="0" shapeId="0" xr:uid="{00000000-0006-0000-0000-00001A010000}">
      <text>
        <r>
          <rPr>
            <sz val="11"/>
            <color rgb="FF000000"/>
            <rFont val="Arial"/>
            <scheme val="minor"/>
          </rPr>
          <t>======
ID#AAAB2erL1ek
arm m    (2026-03-25 01:14:01)
27/2/2026
Please consult an internal medicine specialist regarding your high blood pressure, elevated LDL-cholesterol, high triglyceride and high uric acid levels. Ensure you provide an update on your blood pressure, LDL-cholesterol, triglyceride and uric acid levels in the next 3 months. Additionally, please address the abnormal findings from your dental examination (#36, #46 Abrasion) before the next shift. Focus on a low sugar diet due to your rising fasting blood sugar. Note that for offshore assignments at CTEP, maintaining a blood pressure below 140/90 mmHg is acceptable.
------
ID#AAAB61KsQnk
arm m    (2026-05-20 10:02:47)
23/3/2026
Please consult with an internal medicine specialist due to your elevated LDL-cholesterol and high triglycerides. You should also control your diet to manage your slightly elevated uric acid level. Please update us on your LDL-cholesterol and triglyceride levels in the next 3 months.</t>
        </r>
      </text>
    </comment>
    <comment ref="AK175" authorId="0" shapeId="0" xr:uid="{00000000-0006-0000-0000-0000BD000000}">
      <text>
        <r>
          <rPr>
            <sz val="11"/>
            <color rgb="FF000000"/>
            <rFont val="Arial"/>
            <scheme val="minor"/>
          </rPr>
          <t>======
ID#AAAB9BqCC1s
arm m    (2026-06-10 02:25:24)
31/10/2025
Please receive dental treatment if you have toothache.</t>
        </r>
      </text>
    </comment>
    <comment ref="AH177" authorId="0" shapeId="0" xr:uid="{00000000-0006-0000-0000-0000E3000000}">
      <text>
        <r>
          <rPr>
            <sz val="11"/>
            <color rgb="FF000000"/>
            <rFont val="Arial"/>
            <scheme val="minor"/>
          </rPr>
          <t>======
ID#AAAB4LtV8XM
arm m    (2026-04-09 09:45:06)
13/11/2025 ผ่าฟันคุด#48 28/8/2025 ถอน#25 6/5/2025 ขูดหินปูนทั้งปาก , ถอนฟัน#24</t>
        </r>
      </text>
    </comment>
    <comment ref="AK177" authorId="0" shapeId="0" xr:uid="{00000000-0006-0000-0000-0000E5000000}">
      <text>
        <r>
          <rPr>
            <sz val="11"/>
            <color rgb="FF000000"/>
            <rFont val="Arial"/>
            <scheme val="minor"/>
          </rPr>
          <t>======
ID#AAAB4LtV8XU
arm m    (2026-04-09 09:47:32)
14/11/2025 Please receive dental treatment for the abnormal findings from your dental examination (especially #26, 18) before proceeding to offshore work next 2 shift or within 3 months
------
ID#AAAB4uYPdvw
arm m    (2026-04-23 09:10:16)
10/4/2026
Please address the abnormal findings related to dental caries involving teeth 12, 28, 33, 34, 35, 43, 44, 46, and 47, and provide a repeat urinalysis (UA) prior to offshore work.</t>
        </r>
      </text>
    </comment>
    <comment ref="AH178" authorId="0" shapeId="0" xr:uid="{00000000-0006-0000-0000-0000F7000000}">
      <text>
        <r>
          <rPr>
            <sz val="11"/>
            <color rgb="FF000000"/>
            <rFont val="Arial"/>
            <scheme val="minor"/>
          </rPr>
          <t>======
ID#AAAB_dXswrU
arm m    (2026-07-22 08:54:38)
5/4/2026 ขูดหินปูน , ถอนฟันคุด#18 11/8/2025 ผ่าฟันคุด #38</t>
        </r>
      </text>
    </comment>
    <comment ref="AK178" authorId="0" shapeId="0" xr:uid="{00000000-0006-0000-0000-0000FA000000}">
      <text>
        <r>
          <rPr>
            <sz val="11"/>
            <color rgb="FF000000"/>
            <rFont val="Arial"/>
            <scheme val="minor"/>
          </rPr>
          <t>======
ID#AAAB3Hsx_BM
arm m    (2026-04-08 07:12:27)
14/11/2025
If you have toothache for impacted tooth (ฟันคุด) please receive treatment before going offshore.
------
ID#AAACDpUZ12M
arm m    (2026-07-22 02:49:05)
8/4/2026 Low health risk 
Your dental extraction must be completely healed, and all stitches removed before going offshore.</t>
        </r>
      </text>
    </comment>
    <comment ref="AH179" authorId="0" shapeId="0" xr:uid="{00000000-0006-0000-0000-00000C010000}">
      <text>
        <r>
          <rPr>
            <sz val="11"/>
            <color rgb="FF000000"/>
            <rFont val="Arial"/>
            <scheme val="minor"/>
          </rPr>
          <t>======
ID#AAAB3yWrvxw
arm m    (2026-04-21 04:06:11)
16/9/25 พนักงานได้ขูดหินปูนแล้ว</t>
        </r>
      </text>
    </comment>
    <comment ref="AK179" authorId="0" shapeId="0" xr:uid="{00000000-0006-0000-0000-00000F010000}">
      <text>
        <r>
          <rPr>
            <sz val="11"/>
            <color rgb="FF000000"/>
            <rFont val="Arial"/>
            <scheme val="minor"/>
          </rPr>
          <t>======
ID#AAAB3yWrvx0
arm m    (2026-04-21 04:06:35)
8/12/2025
Please receive dental scaling before going offshore.</t>
        </r>
      </text>
    </comment>
    <comment ref="AH180" authorId="0" shapeId="0" xr:uid="{00000000-0006-0000-0000-000020010000}">
      <text>
        <r>
          <rPr>
            <sz val="11"/>
            <color rgb="FF000000"/>
            <rFont val="Arial"/>
            <scheme val="minor"/>
          </rPr>
          <t>======
ID#AAAB2VZEtwI
arm m    (2026-03-28 08:58:33)
4/6/2025 #38ถอนฟัน</t>
        </r>
      </text>
    </comment>
    <comment ref="AK180" authorId="0" shapeId="0" xr:uid="{00000000-0006-0000-0000-000023010000}">
      <text>
        <r>
          <rPr>
            <sz val="11"/>
            <color rgb="FF000000"/>
            <rFont val="Arial"/>
            <scheme val="minor"/>
          </rPr>
          <t>======
ID#AAAB2VZEtwM
arm m    (2026-03-28 09:01:02)
19/12/2025
Please reduce weight and control your diet to decrease high uric acid levels.
------
ID#AAAB61KsQnc
arm m    (2026-05-20 10:01:25)
31/2/2026
Please consult an internal medicine specialist regarding your high blood pressure, and focus on weight reduction and your high uric acid level. Ensure to follow up with your blood pressure treatment plan within 1 month. and uric acid result within the next 3 months. Note that for offshore work at CTEP, maintaining a blood pressure below 140/90 mmHg is a requirement. 
Please receive dental treatment then submit medical certificate to us before going offshore.
------
ID#AAAB-5IOrYQ
arm m    (2026-07-16 06:23:49)
19/5/2026 Temporary unfit 
Since we had recommended for treatment about hypertension on 31 Mar 2026 but he started to take medication for Hypertension on 18 May 2026, so please continue to take medication for at least 2 weeks then update the blood pressure for review again.</t>
        </r>
      </text>
    </comment>
    <comment ref="AH181" authorId="0" shapeId="0" xr:uid="{00000000-0006-0000-0000-000031010000}">
      <text>
        <r>
          <rPr>
            <sz val="11"/>
            <color rgb="FF000000"/>
            <rFont val="Arial"/>
            <scheme val="minor"/>
          </rPr>
          <t>======
ID#AAAB9BKCl8A
arm m    (2026-06-09 08:33:47)
6/3/2026 TG=138 , LDL=95 , AST=26 , ALT=27 14/7/2025 ขุดหินปูน</t>
        </r>
      </text>
    </comment>
    <comment ref="AK181" authorId="0" shapeId="0" xr:uid="{00000000-0006-0000-0000-000034010000}">
      <text>
        <r>
          <rPr>
            <sz val="11"/>
            <color rgb="FF000000"/>
            <rFont val="Arial"/>
            <scheme val="minor"/>
          </rPr>
          <t>======
ID#AAAB0186zDM
arm m    (2026-03-07 01:09:13)
19/12/2025 
Please consult a specialist in internal medicine due to your very high LDL-cholesterol, high triglycerides, and elevated liver enzyme levels. Over the next 3 months, ensure that you monitor and provide updates on your LDL-cholesterol, triglycerides, and liver enzyme levels.
------
ID#AAAB9BKCl8E
arm m    (2026-06-09 08:34:22)
7/3/2026
No additional recommendation.
------
ID#AAAB8JOTkt0
arm m    (2026-06-15 01:51:11)
10/5/2026
Please address the abnormal findings related to dental caries (#15) before going offshore. Please consult with a specialist in internal medicine regarding your elevated LDL-cholesterol, high triglyceride, high liver enzyme levels, and strategies for weight reduction. Dietary adjustments may also be necessary to decrease your uric acid levels. Ensure you monitor and update us on your LDL-cholesterol, triglyceride, liver enzyme levels, and body weight over the next 3 months.
------
ID#AAACEji6Kh4
arm m    (2026-08-03 06:53:36)
17/6/2026 High health risk 
Please consult with a specialist in internal medicine regarding your elevated LDL-cholesterol, high triglyceride, high liver enzyme levels, and strategies for weight reduction. Dietary adjustments may also be necessary to decrease your uric acid levels. Ensure you monitor and update us on your LDL-cholesterol, triglyceride, liver enzyme levels, and body weight over the next 3 months.</t>
        </r>
      </text>
    </comment>
    <comment ref="AH182" authorId="0" shapeId="0" xr:uid="{00000000-0006-0000-0000-000007000000}">
      <text>
        <r>
          <rPr>
            <sz val="11"/>
            <color rgb="FF000000"/>
            <rFont val="Arial"/>
            <scheme val="minor"/>
          </rPr>
          <t>======
ID#AAAB0BHFBIQ
arm m    (2026-02-09 07:59:11)
30/9/2025 ขุดหินปูน</t>
        </r>
      </text>
    </comment>
    <comment ref="AK182" authorId="0" shapeId="0" xr:uid="{00000000-0006-0000-0000-00000B000000}">
      <text>
        <r>
          <rPr>
            <sz val="11"/>
            <color rgb="FF000000"/>
            <rFont val="Arial"/>
            <scheme val="minor"/>
          </rPr>
          <t>======
ID#AAAB0f2X7X0
arm m    (2026-02-18 04:11:24)
25/12/2025
Please consult an internal medicine specialist regarding your elevated triglyceride levels. It is also recommended that you undertake weight reduction and follow a controlled diet to manage your high uric acid levels. 
Ensure to monitor and report your triglyceride levels within the next 3 months.
------
ID#AAAB2wGoBKo
arm m    (2026-04-09 03:43:09)
11/2/2026
Please continue your treatment for hyperlipidemia and hyperuricemia with your doctor and closely monitor your high blood pressure and control your diet to manage your high uric acid levels. Additionally, focus on reducing your weight. Please provide an update on your blood pressure, liver enzymes, triglyceride and uric acid results within the next 3 months. Note: For offshore workforces at CTEP, eligibility is limited to individuals with a blood pressure below 140/90 mmHg.
------
ID#AAAB6HIuUk8
arm m    (2026-05-12 01:09:40)
9/4/2026
Please continue your treatment for hyperlipidemia and hyperuricemia with your doctor and closely monitor your high blood pressure and control your diet to manage your high uric acid levels. Additionally, focus on reducing your weight. 
Please provide an update on your blood pressure, and uric acid results within the next 3 months. 
Note: For offshore workforces at CTEP, eligibility is limited to individuals with a blood pressure below 140/90 mmHg.
------
ID#AAACFeAduc8
arm m    (2026-08-11 09:29:59)
11/5/2026 Moderate health risk Please continue your treatment for hyperlipidemia and hyperuricemia with your doctor and control your diet to manage your high uric acid levels. Please provide an update on your blood pressure, and uric acid results within the next 6 months. Note: For offshore workforces at CTEP, eligibility is limited to individuals with a blood pressure below 140/90 mmHg.</t>
        </r>
      </text>
    </comment>
    <comment ref="AK185" authorId="0" shapeId="0" xr:uid="{00000000-0006-0000-0000-000042000000}">
      <text>
        <r>
          <rPr>
            <sz val="11"/>
            <color rgb="FF000000"/>
            <rFont val="Arial"/>
            <scheme val="minor"/>
          </rPr>
          <t>======
ID#AAAB4AC1iGE
arm m    (2026-04-23 01:09:57)
17/2/2026
Please receive dental treatment for tooth (ฟันผุลึก#26,36,46, อุดฟัน#21,22, (ผ่าฟันคุด #38,48 ถ้าปวดหรือผุ) then submit medical certificate before going offshore.
------
ID#AAAB9t0RhWU
arm m    (2026-06-16 09:25:41)
22/4/2026 Moderate health risk
Please receive dental treatment for tooth (ฟันผุลึก#26,46, อุดฟัน#21,22, (ผ่าฟันคุด #38,48 ถ้าปวดหรือผุ) then submit medical certificate before the next shift.</t>
        </r>
      </text>
    </comment>
    <comment ref="AK187" authorId="0" shapeId="0" xr:uid="{00000000-0006-0000-0000-000065000000}">
      <text>
        <r>
          <rPr>
            <sz val="11"/>
            <color rgb="FF000000"/>
            <rFont val="Arial"/>
            <scheme val="minor"/>
          </rPr>
          <t>======
ID#AAAB6c7hJKY
arm m    (2026-05-14 06:33:50)
10/3/2026
Please consult an endocrinologist for assistance with weight reduction, high triglyceride, and high uric acid levels. Kindly provide updates on your body weight, triglyceride, and uric acid level in 3 months. (For offshore work at CTEP, only individuals with a BMI less than 35 are accepted.)</t>
        </r>
      </text>
    </comment>
    <comment ref="AK188" authorId="0" shapeId="0" xr:uid="{00000000-0006-0000-0000-00007A000000}">
      <text>
        <r>
          <rPr>
            <sz val="11"/>
            <color rgb="FF000000"/>
            <rFont val="Arial"/>
            <scheme val="minor"/>
          </rPr>
          <t>======
ID#AAAB6HaI8MM
arm m    (2026-05-12 02:24:14)
13/3/2026 Please consult with an internal medicine specialist due to high levels of LDL-cholesterol and high uric acid level. Additionally, weight reduction is highly recommended. For the next 3 months, kindly provide updates on your LDL-cholesterol, uric acid, and body weight.</t>
        </r>
      </text>
    </comment>
    <comment ref="AK189" authorId="0" shapeId="0" xr:uid="{00000000-0006-0000-0000-00008C000000}">
      <text>
        <r>
          <rPr>
            <sz val="11"/>
            <color rgb="FF000000"/>
            <rFont val="Arial"/>
            <scheme val="minor"/>
          </rPr>
          <t>======
ID#AAAB2s4UiX0
arm m    (2026-04-07 02:21:29)
2/4/2026
Please address the abnormal finding related to dental caries (#46) before going offshore, continue treatment for hyperlipidemia, and provide an updated LDL cholesterol result within the next 3 months.
------
ID#AAAB9Awfz5c
arm m    (2026-06-09 03:45:03)
7/4/2026
Please continue treatment for hyperlipidemia and provide an updated LDL cholesterol result in May 2026.
------
ID#AAACE1m7vqE
arm m    (2026-08-06 06:29:32)
9/6/2026 Moderate health risk Please continue your treatment for hyperlipidemia. Kindly update your LDL cholesterol within the next 3 months.</t>
        </r>
      </text>
    </comment>
    <comment ref="AH190" authorId="0" shapeId="0" xr:uid="{00000000-0006-0000-0000-00009E000000}">
      <text>
        <r>
          <rPr>
            <sz val="11"/>
            <color rgb="FF000000"/>
            <rFont val="Arial"/>
            <scheme val="minor"/>
          </rPr>
          <t>======
ID#AAAB9sjFatM
arm m    (2026-06-16 02:45:59)
17/11/2025 ขูดหินปูน</t>
        </r>
      </text>
    </comment>
    <comment ref="AK190" authorId="0" shapeId="0" xr:uid="{00000000-0006-0000-0000-0000A1000000}">
      <text>
        <r>
          <rPr>
            <sz val="11"/>
            <color rgb="FF000000"/>
            <rFont val="Arial"/>
            <scheme val="minor"/>
          </rPr>
          <t>======
ID#AAAB9sjFatQ
arm m    (2026-06-16 02:46:18)
8/4/2026
No additional recommendation. If you have toothache of the impacted tooth, please receive treatment before going offshore.</t>
        </r>
      </text>
    </comment>
    <comment ref="AH191" authorId="0" shapeId="0" xr:uid="{00000000-0006-0000-0000-0000B3000000}">
      <text>
        <r>
          <rPr>
            <sz val="11"/>
            <color rgb="FF000000"/>
            <rFont val="Arial"/>
            <scheme val="minor"/>
          </rPr>
          <t>======
ID#AAAB8DPsB-Q
arm m    (2026-05-28 03:08:30)
24/12/2025 ถอนฟัน #46</t>
        </r>
      </text>
    </comment>
    <comment ref="AK191" authorId="0" shapeId="0" xr:uid="{00000000-0006-0000-0000-0000B4000000}">
      <text>
        <r>
          <rPr>
            <sz val="11"/>
            <color rgb="FF000000"/>
            <rFont val="Arial"/>
            <scheme val="minor"/>
          </rPr>
          <t>======
ID#AAAB8DPsB-U
arm m    (2026-05-28 03:08:54)
8/4/2026
Please control your diet to decrease high uric acid levels.
------
ID#AAACE1m7vp8
arm m    (2026-08-06 06:26:32)
29/5/2026 Moderate health risk Please consult with a specialist in internal medicine regarding your high LDL-cholesterol, and uric acid levels. Make sure to track and update your LDL-cholesterol, and uric acid levels within the next 3 months. Additionally, please address the abnormal findings from your dental examination (38, 48 impacted tooth and gingivitis).</t>
        </r>
      </text>
    </comment>
    <comment ref="AH192" authorId="0" shapeId="0" xr:uid="{00000000-0006-0000-0000-0000C4000000}">
      <text>
        <r>
          <rPr>
            <sz val="11"/>
            <color rgb="FF000000"/>
            <rFont val="Arial"/>
            <scheme val="minor"/>
          </rPr>
          <t>======
ID#AAAB91NfdSQ
arm m    (2026-06-22 03:58:47)
25/5/2026 ติดตามตรวจ ALT=46.2 , AST=29.4 , 19/4/2026 ถอนฟัน#16 26/9/2025 ถอนฟัน#26</t>
        </r>
      </text>
    </comment>
    <comment ref="AK192" authorId="0" shapeId="0" xr:uid="{00000000-0006-0000-0000-0000C8000000}">
      <text>
        <r>
          <rPr>
            <sz val="11"/>
            <color rgb="FF000000"/>
            <rFont val="Arial"/>
            <scheme val="minor"/>
          </rPr>
          <t>======
ID#AAAB4AC1iGI
arm m    (2026-04-23 01:11:52)
8/4/2026
Have you treated the tooth number #16? Please follow up Triglyceride and SGPT level then submit before going offshore.
------
ID#AAAB91NfdSU
arm m    (2026-06-22 03:59:15)
22/4/2026 Pending 
Please follow up triglyceride and liver enzymes levels before going offshore as recommended since 8 April 2026.
------
ID#AAACE1m7vpw
arm m    (2026-08-06 06:21:03)
24/6/2026 Pending 
Please address the abnormal findings related to dental caries (ฟันผุลึก#14 และฟันผุ#17,27,37,47, ฟันผุและฟันไม่มีคู่สบ #18) before going offshore.</t>
        </r>
      </text>
    </comment>
    <comment ref="AH193" authorId="0" shapeId="0" xr:uid="{00000000-0006-0000-0000-0000D9000000}">
      <text>
        <r>
          <rPr>
            <sz val="11"/>
            <color rgb="FF000000"/>
            <rFont val="Arial"/>
            <scheme val="minor"/>
          </rPr>
          <t>======
ID#AAAB91NfdTM
arm m    (2026-06-22 04:05:34)
10/4/2026 Uric Acid=8.7 , TG=178 , LDL=150 หมอแนะนำปรับพฤกรรมและนัดติดตามวันที่ 14-8-2026</t>
        </r>
      </text>
    </comment>
    <comment ref="AK193" authorId="0" shapeId="0" xr:uid="{00000000-0006-0000-0000-0000DC000000}">
      <text>
        <r>
          <rPr>
            <sz val="11"/>
            <color rgb="FF000000"/>
            <rFont val="Arial"/>
            <scheme val="minor"/>
          </rPr>
          <t>======
ID#AAAB5EY_o8Y
arm m    (2026-04-30 06:16:32)
8/4/2026
Please consult an internal medicine specialist because of your high LDL-cholesterol, elevated triglycerides, and high uric acid levels. It's also recommended to reduce weight. Ensure you monitor and report your LDL-cholesterol, triglycerides before going offshore.
------
ID#AAAB91NfdTQ
arm m    (2026-06-22 04:06:51)
30/4/2026 Low health risk 
Please reduce weight and control your diet to decrease high uric acid levels.</t>
        </r>
      </text>
    </comment>
    <comment ref="AH194" authorId="0" shapeId="0" xr:uid="{00000000-0006-0000-0000-0000ED000000}">
      <text>
        <r>
          <rPr>
            <sz val="11"/>
            <color rgb="FF000000"/>
            <rFont val="Arial"/>
            <scheme val="minor"/>
          </rPr>
          <t>======
ID#AAAB8qzVkkM
arm m    (2026-06-02 03:03:09)
9/4/2026 LDL=79 6/1/2026 LDL=199 TG=102 22/7/2025 ขูดหินปูน</t>
        </r>
      </text>
    </comment>
    <comment ref="AK194" authorId="0" shapeId="0" xr:uid="{00000000-0006-0000-0000-0000F0000000}">
      <text>
        <r>
          <rPr>
            <sz val="11"/>
            <color rgb="FF000000"/>
            <rFont val="Arial"/>
            <scheme val="minor"/>
          </rPr>
          <t>======
ID#AAAB3JHQC8U
arm m    (2026-04-10 06:39:55)
8/4/2026
Please follow up LDL cholesterol level before going offshore.
------
ID#AAAB8qzVkkQ
arm m    (2026-06-02 03:03:35)
10/4/2026 Please continue treatment for your hyperlipidemia and focus on weight reduction.
------
ID#AAAB9Awfz5o
arm m    (2026-06-09 03:50:18)
4/6/2026
Please address the abnormal findings from your dental examination (#47) before going to offshore work. Please focus on reducing your weight</t>
        </r>
      </text>
    </comment>
    <comment ref="AH195" authorId="0" shapeId="0" xr:uid="{00000000-0006-0000-0000-000003010000}">
      <text>
        <r>
          <rPr>
            <sz val="11"/>
            <color rgb="FF000000"/>
            <rFont val="Arial"/>
            <scheme val="minor"/>
          </rPr>
          <t>======
ID#AAACEktJ_7E
arm m    (2026-08-03 13:59:39)
24/2/2026 FBS=143 TG=147 LDL=190 13/1/2026 FBS=140 TG=93 LDL=170</t>
        </r>
      </text>
    </comment>
    <comment ref="AK195" authorId="0" shapeId="0" xr:uid="{00000000-0006-0000-0000-000004010000}">
      <text>
        <r>
          <rPr>
            <sz val="11"/>
            <color rgb="FF000000"/>
            <rFont val="Arial"/>
            <scheme val="minor"/>
          </rPr>
          <t>======
ID#AAACEktJ_7M
arm m    (2026-08-03 14:00:04)
4/6/2026 High health risk 
Please consult an endocrinologist regarding your significantly elevated LDL cholesterol levels and for recommendations on weight reduction. You should also continue your ongoing treatment for diabetes.
Kindly provide follow-up results for FBS (fasting blood sugar), HbA1c, BMI, and LDL cholesterol within the next 3 months. Please note that if your LDL cholesterol continues to increase from the current level, you may be considered temporarily unfit for offshore work.</t>
        </r>
      </text>
    </comment>
    <comment ref="AK196" authorId="0" shapeId="0" xr:uid="{00000000-0006-0000-0000-000018010000}">
      <text>
        <r>
          <rPr>
            <sz val="11"/>
            <color rgb="FF000000"/>
            <rFont val="Arial"/>
            <scheme val="minor"/>
          </rPr>
          <t>======
ID#AAAB91NfdUY
arm m    (2026-06-22 04:38:33)
4/6/2026 High health risk 
Please consult an internal medicine specialist for very high LDL-cholesterol, and make efforts to reduce your weight. Update your LDL-cholesterol in the next 3 months.</t>
        </r>
      </text>
    </comment>
    <comment ref="AK198" authorId="0" shapeId="0" xr:uid="{00000000-0006-0000-0000-00003D010000}">
      <text>
        <r>
          <rPr>
            <sz val="11"/>
            <color rgb="FF000000"/>
            <rFont val="Arial"/>
            <scheme val="minor"/>
          </rPr>
          <t>======
ID#AAACEMDn_Xk
arm m    (2026-07-29 02:02:05)
27/7/2026 Significant health risk (Color blindness) Due to color blindness (Red-Green color blindness), you should refrain from tasks that require accurate color differentiation. Additionally, please address the abnormal findings from your dental examination (Gingivitis).</t>
        </r>
      </text>
    </comment>
    <comment ref="AK199" authorId="0" shapeId="0" xr:uid="{00000000-0006-0000-0000-000015000000}">
      <text>
        <r>
          <rPr>
            <sz val="11"/>
            <color rgb="FF000000"/>
            <rFont val="Arial"/>
            <scheme val="minor"/>
          </rPr>
          <t>======
ID#AAACEMDn_Xs
arm m    (2026-07-29 02:09:39)
27/7/2026 Pending 
Please address the abnormal findings from your dental examination (#22) before going offshore. Please also focus on reducing your weight.</t>
        </r>
      </text>
    </comment>
    <comment ref="AK200" authorId="0" shapeId="0" xr:uid="{00000000-0006-0000-0000-000026000000}">
      <text>
        <r>
          <rPr>
            <sz val="11"/>
            <color rgb="FF000000"/>
            <rFont val="Arial"/>
            <scheme val="minor"/>
          </rPr>
          <t>======
ID#AAACEji6KgM
arm m    (2026-08-03 04:51:19)
3/8/2026 Pending
Please address the abnormal findings from your dental examination before going to offshore work. Please consult an endocrinologist for assistance with weight reduction, high triglyceride, and high uric acid levels. Kindly provide updates on your body weight, triglyceride, and uric acid level in 3 months. (For offshore work at CTEP, only individuals with a BMI less than 35 are accepted.)</t>
        </r>
      </text>
    </comment>
  </commentList>
  <extLst>
    <ext xmlns:r="http://schemas.openxmlformats.org/officeDocument/2006/relationships" uri="GoogleSheetsCustomDataVersion2">
      <go:sheetsCustomData xmlns:go="http://customooxmlschemas.google.com/" r:id="rId1" roundtripDataSignature="AMtx7mhQz9F6gk7aCTNCRFs8T8GVJ6OP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K2" authorId="0" shapeId="0" xr:uid="{00000000-0006-0000-0100-000002000000}">
      <text>
        <r>
          <rPr>
            <sz val="11"/>
            <color rgb="FF000000"/>
            <rFont val="Arial"/>
            <scheme val="minor"/>
          </rPr>
          <t>======
ID#AAABww-7iw4
arm m    (2025-10-02 06:40:42)
Low health risk
------
ID#AAABxkK-R9U
arm m    (2025-12-16 09:21:02)
9/12/2025
Please follow up blood pressure and send the result before going offshore.</t>
        </r>
      </text>
    </comment>
    <comment ref="AK3" authorId="0" shapeId="0" xr:uid="{00000000-0006-0000-0100-00001A000000}">
      <text>
        <r>
          <rPr>
            <sz val="11"/>
            <color rgb="FF000000"/>
            <rFont val="Arial"/>
            <scheme val="minor"/>
          </rPr>
          <t>======
ID#AAABww-7iwA
arm m    (2025-08-01 09:30:33)
27/12/2024
Please continue to receive dental treatment as recommended by the dentist before the next shift.
------
ID#AAABww-7iwE
Saisuda T    (2025-09-11 06:31:41)
1/8/25:Please provide EST or CAC result before going offshore. (we have last testing which checked on 2 Aug 2024. It is expired 1 Aug 2025)
------
ID#AAAB-nhbnvg
arm m    (2026-06-27 09:11:38)
8/8/2025 Low health risk 
No additional recommendation.
------
ID#AAAB-u1M2lA
arm m    (2026-07-01 02:44:27)
29/6/2026 Pending 
Please address the abnormal findings from your dental examination (16, 17, 26, 27, 36, 37, 48, 47 before going to offshore work. Please consult a specialist in internal medicine due to your very high LDL-cholesterol and elevated liver enzymes. Over the next 3 months, ensure you track your LDL-cholesterol and liver enzyme levels.</t>
        </r>
      </text>
    </comment>
    <comment ref="AH4" authorId="0" shapeId="0" xr:uid="{00000000-0006-0000-0100-00002B000000}">
      <text>
        <r>
          <rPr>
            <sz val="11"/>
            <color rgb="FF000000"/>
            <rFont val="Arial"/>
            <scheme val="minor"/>
          </rPr>
          <t>======
ID#AAAB5icqGvo
arm m    (2026-05-16 07:33:08)
2/3/2026 ความดันโลหิต=122/83 5/12/25ตรวตติดตามค่าTrig.=125 , วัดความ135/94 / 11/9/25 ตรวจค่าTrig=300, 9/9/25 ได้รับการขูดหินปูนทั้งปากแล้ว</t>
        </r>
      </text>
    </comment>
    <comment ref="AK4" authorId="0" shapeId="0" xr:uid="{00000000-0006-0000-0100-000001000000}">
      <text>
        <r>
          <rPr>
            <sz val="11"/>
            <color rgb="FF000000"/>
            <rFont val="Arial"/>
            <scheme val="minor"/>
          </rPr>
          <t>======
ID#AAABww-7ivQ
arm m    (2025-06-13 03:42:20)
Please continue treatment for your hypertension and hyperlipidemia with your specialist. Please update your triglyceride and blood pressure levels within the next 6 months.
------
ID#AAABww-7ivU
Saisuda T    (2025-09-11 07:52:27)
16/6/25:Please send the results of the dental examination conducted by the dentist. Additionally, please send the abnormal chest X-ray results. Consult an internal medicine specialist regarding your high triglycerides. It would also be beneficial for you to work on reducing your weight. Kindly ensure that your triglycerides are checked again within the next 3 months.
------
ID#AAABuvugQ4I
arm m    (2025-12-08 07:37:29)
11/9/2025
Please closely monitor your fluctuating blood pressure and elevated triglyceride levels. Kindly provide an update on your blood pressure and triglyceride levels within the next 3 months. Please note that all offshore workforces working for CTEP are required to maintain a blood pressure below 140/90 mmHg.
------
ID#AAAB0zqVU_M
arm m    (2026-03-05 06:39:36)
8/12/2025
Please closely monitor your blood pressure. Kindly provide an update on your blood pressure within the next 3 months. Please note that all offshore workforces working for CTEP are required to maintain a blood pressure below 140/90 mmHg.
------
ID#AAAB5icqGvs
arm m    (2026-05-16 07:33:36)
5/3/2026
Please continue treatment for your hypertension with your treating physician. Kindly note that all offshore personnel are required to have blood pressure below 140/90 mmHg.
------
ID#AAACE1m7vqQ
arm m    (2026-08-06 06:53:32)
7/6/2026 High health risk 
Please consult an internal medicine specialist for your high blood pressure. Additionally, please focus on weight reduction. Update your blood pressure in Aug 2026. Note: For offshore assignments at CTEP, eligibility is limited to individuals with a blood pressure below 140/90 mmHg.</t>
        </r>
      </text>
    </comment>
    <comment ref="AH5" authorId="0" shapeId="0" xr:uid="{00000000-0006-0000-0100-000017000000}">
      <text>
        <r>
          <rPr>
            <sz val="11"/>
            <color rgb="FF000000"/>
            <rFont val="Arial"/>
            <scheme val="minor"/>
          </rPr>
          <t>======
ID#AAAB_ckcgcM
arm m    (2026-07-23 01:48:41)
25/2/26 อุดฟัน#36,37</t>
        </r>
      </text>
    </comment>
    <comment ref="AK5" authorId="0" shapeId="0" xr:uid="{00000000-0006-0000-0100-000019000000}">
      <text>
        <r>
          <rPr>
            <sz val="11"/>
            <color rgb="FF000000"/>
            <rFont val="Arial"/>
            <scheme val="minor"/>
          </rPr>
          <t>======
ID#AAABww-7i6Q
arm m    (2025-08-05 08:48:07)
No additional recommendation.
------
ID#AAAB0wvJMXM
arm m    (2026-03-02 01:29:26)
8/8/2025
Please receive dental treatment within 6 months.
------
ID#AAAB_ckcgcQ
arm m    (2026-07-23 01:49:14)
27/2/2026 Low health risk 
Please continue dental treatment for remaining dental issues as recommended by the dentist.
------
ID#AAACEGJ9Sn8
arm m    (2026-07-27 07:52:12)
23/7/2026 Pending
Please ensure that your Exercise Stress Test (EST) or Coronary Artery Calcium (CAC) test is updated before it expires. (EST is valid for one year; the CAC test is valid for three years.) Please also address the abnormal findings from your dental examination before going offshore.</t>
        </r>
      </text>
    </comment>
    <comment ref="AK6" authorId="0" shapeId="0" xr:uid="{00000000-0006-0000-0100-00002C000000}">
      <text>
        <r>
          <rPr>
            <sz val="11"/>
            <color rgb="FF000000"/>
            <rFont val="Arial"/>
            <scheme val="minor"/>
          </rPr>
          <t>======
ID#AAABww-7ivs
arm m    (2025-10-25 04:11:33)
Please seek advice from a gastrointestinal specialist about your very high liver enzymes and high uric acid levels. Kindly provide us with updates on your liver enzyme and uric acid levels within the next 3 months.
------
ID#AAABww-7ivw
arm m    (2025-11-17 07:27:38)
27/10/2025
Individuals aged 55 and above are required to submit either an exercise stress test or coronary artery calcium (CAC) score results for review prior to going offshore.</t>
        </r>
      </text>
    </comment>
    <comment ref="AH7" authorId="0" shapeId="0" xr:uid="{00000000-0006-0000-0100-000015000000}">
      <text>
        <r>
          <rPr>
            <sz val="11"/>
            <color rgb="FF000000"/>
            <rFont val="Arial"/>
            <scheme val="minor"/>
          </rPr>
          <t>======
ID#AAAB7t90jzU
arm m    (2026-06-11 01:09:35)
13/2/2026 ผลตรวจUrine OV = ปกติ 4/2/2026 TG=116,LDL-C=80.3 27/8/2025 TG=161 คอเลศเตอรอล=202 23/7/2025 อุดฟัน #35</t>
        </r>
      </text>
    </comment>
    <comment ref="AK7" authorId="0" shapeId="0" xr:uid="{00000000-0006-0000-0100-000018000000}">
      <text>
        <r>
          <rPr>
            <sz val="11"/>
            <color rgb="FF000000"/>
            <rFont val="Arial"/>
            <scheme val="minor"/>
          </rPr>
          <t>======
ID#AAABww-7ixU
arm m    (2025-06-13 06:25:41)
Please focus on reducing your weight
------
ID#AAABww-7ixY
arm m    (2025-07-24 06:13:14)
17/6/2025
Please address the abnormal findings (#35 broken tooth) from your dental examination before the next shift. Additionally, please focus on reducing your weight.
------
ID#AAAByzM7lcA
arm m    (2026-02-05 01:25:38)
23/7/2025
Please focus on weight reduction and dietary control to manage your rising triglyceride levels. Kindly update your triglyceride and LDL-cholesterol levels within the next 6 months.
------
ID#AAAB0bTVveM
arm m    (2026-02-16 07:13:14)
5/2/2026
Please consult an internal medicine specialist for treatment of a parasitic infection, as indicated by a positive urine O.V. result, prior to going offshore. Please also continue treatment for your hyperlipidemia and focus on weight reduction.
Kindly provide an update on the treatment details for the parasitic infection within one month.
------
ID#AAAB7t90jzY
arm m    (2026-06-11 01:10:12)
16/2/2026
Please continue treatment for your hyperlipidemia and focus on weight reduction.</t>
        </r>
      </text>
    </comment>
    <comment ref="AK8" authorId="0" shapeId="0" xr:uid="{00000000-0006-0000-0100-00002A000000}">
      <text>
        <r>
          <rPr>
            <sz val="11"/>
            <color rgb="FF000000"/>
            <rFont val="Arial"/>
            <scheme val="minor"/>
          </rPr>
          <t>======
ID#AAABzom1jqQ
arm m    (2026-02-24 09:19:51)
30-5-2025
Please check EST or heart function every year.
------
ID#AAAB2ydQPNU
arm m    (2026-03-30 02:34:23)
24/2/2026
Please consult a cardiologist for evaluation of your cardiac arrhythmia (PVC). Kindly provide updated details within the next one month, including the 24-hour Holter monitoring results and a list of all medications currently being taken. Please also address the abnormal findings related to dental caries.
------
ID#AAAB9t0RhWQ
arm m    (2026-06-16 09:22:34)
28/3/2026 Special health risk
You are approved for offshore work with light duty. Please follow up with your cardiologist as scheduled. Take all medications as prescribed. Maintain LDL cholesterol levels below 70 mg/dL. Please update your medical certificate with LDL cholesterol and blood pressure results after the next follow up in 3 months. Kindly provide the 24 hour Holter monitoring results on an annual basis.</t>
        </r>
      </text>
    </comment>
    <comment ref="AH9" authorId="0" shapeId="0" xr:uid="{00000000-0006-0000-0100-000013000000}">
      <text>
        <r>
          <rPr>
            <sz val="11"/>
            <color rgb="FF000000"/>
            <rFont val="Arial"/>
            <scheme val="minor"/>
          </rPr>
          <t>======
ID#AAABww-7i3k
arm m    (2025-11-04 01:49:06)
ตรวจความดัน19/10/24=130/80 อุดฟัน #35 แล้ว 19/10/2024</t>
        </r>
      </text>
    </comment>
    <comment ref="AK9" authorId="0" shapeId="0" xr:uid="{00000000-0006-0000-0100-000016000000}">
      <text>
        <r>
          <rPr>
            <sz val="11"/>
            <color rgb="FF000000"/>
            <rFont val="Arial"/>
            <scheme val="minor"/>
          </rPr>
          <t>======
ID#AAABww-7iyY
arm m    (2025-11-04 01:49:26)
Before going offshore next shift, please receive dental treatment for other teeth which need for filling then submit medical certificate.Additionally, please focus on reducing your weight.
------
ID#AAABww-7iyc
arm m    (2025-11-05 06:27:35)
4/11/2025
Please receive dental treatment by ขูดหินปูน , อุดฟันซี่15,32,35,41 then submit medical certificate before going offshore. Additionally, please consult an internal medicine specialist for your high blood pressure. Please focus on weight reduction. Update your blood pressure and Fasting Blood sugar in next 3 months. Note: For offshore assignments at CTEP, eligibility is limited to individuals with a blood pressure below 140/90 mmHg.
------
ID#AAABww-7iyg
arm m    (2025-11-06 07:46:17)
5/11/2025
Please provide your current blood pressure result. If you have a history of hypertension, kindly also include the name of any medication you are currently taking.
------
ID#AAACEkf1lP0
arm m    (2026-07-31 12:58:17)
6/11/2026 Moderate health risk Please continue treatment for your hypertension and hyperlipidemia. Monitor your rising blood sugar closely and focus on weight reduction. Kindly provide updates on your blood pressure, fasting blood sugar, HbA1c, and lipid profile within the next 6 months.</t>
        </r>
      </text>
    </comment>
    <comment ref="AH10" authorId="0" shapeId="0" xr:uid="{00000000-0006-0000-0100-000027000000}">
      <text>
        <r>
          <rPr>
            <sz val="11"/>
            <color rgb="FF000000"/>
            <rFont val="Arial"/>
            <scheme val="minor"/>
          </rPr>
          <t>======
ID#AAABww-7iyE
arm m    (2025-10-25 04:20:01)
9/1/2025 ตรวจความดันโลหิต=125/74 ,HbA1c=5.5% ,มีกำหนดตรวจหลัง 23/10/2024
------
ID#AAACE0wWA4U
arm m    (2026-08-05 04:46:47)
12/2/2026 ตรวจปัสสาวะปกติ 11/2/2026 น้ำตาล=106 , TG=210 , LDL-c=85 14/11/2025 ถอน#47</t>
        </r>
      </text>
    </comment>
    <comment ref="AK10" authorId="0" shapeId="0" xr:uid="{00000000-0006-0000-0100-000029000000}">
      <text>
        <r>
          <rPr>
            <sz val="11"/>
            <color rgb="FF000000"/>
            <rFont val="Arial"/>
            <scheme val="minor"/>
          </rPr>
          <t>======
ID#AAABww-7i20
arm m    (2025-10-25 04:20:31)
15/1/2025
Low health risk
------
ID#AAABww-7i24
arm m    (2025-11-17 07:30:20)
4/11/2025
Please receive dental treatment by อุดฟันซี่ 47 then submit medical certificate before going offshore. Additionally, please consult an internal medicine specialist for high LDL-cholesterol and abnormal Urine Analysis. Update your LDL-cholesterol, Fasting blood sugar and Urine analysis in the next 3 months.
------
ID#AAAB0bTVveE
arm m    (2026-02-16 06:22:45)
17/11/2025
Please consult an internal medicine specialist for high LDL-cholesterol and abnormal Urine Analysis. Update your LDL-cholesterol, Fasting blood sugar and Urine analysis in the next 3 months.
------
ID#AAACE1m7vp4
arm m    (2026-08-06 06:24:37)
16/2/2026 Moderate health risk Please continue treatment for your hyperlipidemia and impaired fasting glucose with your doctor. Kindly update your fasting blood sugar (FBS), LDL cholesterol, and triglyceride levels within the next 6 months.</t>
        </r>
      </text>
    </comment>
    <comment ref="U11" authorId="0" shapeId="0" xr:uid="{00000000-0006-0000-0100-000004000000}">
      <text>
        <r>
          <rPr>
            <sz val="11"/>
            <color rgb="FF000000"/>
            <rFont val="Arial"/>
            <scheme val="minor"/>
          </rPr>
          <t>======
ID#AAACD9CM34g
Saisuda T    (2026-07-25 07:20:27)
203</t>
        </r>
      </text>
    </comment>
    <comment ref="V11" authorId="0" shapeId="0" xr:uid="{00000000-0006-0000-0100-000005000000}">
      <text>
        <r>
          <rPr>
            <sz val="11"/>
            <color rgb="FF000000"/>
            <rFont val="Arial"/>
            <scheme val="minor"/>
          </rPr>
          <t>======
ID#AAACD9CM34k
Saisuda T    (2026-07-25 07:20:43)
142</t>
        </r>
      </text>
    </comment>
    <comment ref="AH11" authorId="0" shapeId="0" xr:uid="{00000000-0006-0000-0100-000011000000}">
      <text>
        <r>
          <rPr>
            <sz val="11"/>
            <color rgb="FF000000"/>
            <rFont val="Arial"/>
            <scheme val="minor"/>
          </rPr>
          <t>======
ID#AAAB9BqCC1w
arm m    (2026-06-10 02:32:04)
22/4/2026 TG= 327 มีนัดตรวจติดตาม 10/7/2026 , 22/1/2026 URIC ACID=6.8 , TG=336 , LDL=154 29/10/25ตรวจติดตามFBS=104,HbA1C=5.8,LDL169,Trig=130,UricAcid=8.5 ไม่มียา</t>
        </r>
      </text>
    </comment>
    <comment ref="AK11" authorId="0" shapeId="0" xr:uid="{00000000-0006-0000-0100-000014000000}">
      <text>
        <r>
          <rPr>
            <sz val="11"/>
            <color rgb="FF000000"/>
            <rFont val="Arial"/>
            <scheme val="minor"/>
          </rPr>
          <t>======
ID#AAAB4uYPdvs
arm m    (2026-04-23 09:08:30)
3/11/2025
Please consult an internal medicine specialist regarding your high triglycerides. It would also be beneficial for you to work on reducing your weight. Kindly ensure that your triglycerides are checked again within the next 3 months.
------
ID#AAAB9BqCC10
arm m    (2026-06-10 02:32:31)
23/4/2026
Please follow up with an internal medicine specialist regarding your high triglycerides as appointment It would also be beneficial for you to work on reducing your weight. Kindly ensure that you follow up and update laboratory and medical certificate again after following up.
------
ID#AAACEMDn_Xw
arm m    (2026-07-29 02:18:07)
17/6/2026 High health risk Kindly consult an internal medicine specialist for evaluation and management of your elevated blood sugar, high LDL-cholesterol, and abnormal liver enzyme levels. If you have already been diagnosed with diabetes, please provide your treatment history. Please focus on weight reduction. Additionally, maintain appropriate diet control to address your slightly elevated uric acid level. Kindly provide an update on your fasting blood sugar (FBS), HbA1c, LDL-cholesterol, liver enzyme levels, and your treatment plan within the next 3 months.</t>
        </r>
      </text>
    </comment>
    <comment ref="AH12" authorId="0" shapeId="0" xr:uid="{00000000-0006-0000-0100-000025000000}">
      <text>
        <r>
          <rPr>
            <sz val="11"/>
            <color rgb="FF000000"/>
            <rFont val="Arial"/>
            <scheme val="minor"/>
          </rPr>
          <t>======
ID#AAAB5BZ8cjU
arm m    (2026-04-28 02:38:25)
10/6/2025 TG=188 , cholesterol=100 7/11/2024 ตรวจความดันได้ 105/70,ตรวจปัสสาวะไม่พบโปรตีนรั่ว,ตรวจEcho ผลปกติ,ขูดหินปูน รักษาโรคเหงือก อุดฟัน 31,42แล้ว 3/11/24 รักษาโรคเหงือก #31-42 , ขูดหินปูน 3/11/2024</t>
        </r>
      </text>
    </comment>
    <comment ref="AK12" authorId="0" shapeId="0" xr:uid="{00000000-0006-0000-0100-000028000000}">
      <text>
        <r>
          <rPr>
            <sz val="11"/>
            <color rgb="FF000000"/>
            <rFont val="Arial"/>
            <scheme val="minor"/>
          </rPr>
          <t>======
ID#AAAB5BZ8cjY
arm m    (2026-04-28 02:38:52)
19/9/2025
No additional recommendation.</t>
        </r>
      </text>
    </comment>
    <comment ref="AH13" authorId="0" shapeId="0" xr:uid="{00000000-0006-0000-0100-00000F000000}">
      <text>
        <r>
          <rPr>
            <sz val="11"/>
            <color rgb="FF000000"/>
            <rFont val="Arial"/>
            <scheme val="minor"/>
          </rPr>
          <t>======
ID#AAAB1IWcYBQ
arm m    (2026-03-20 09:21:26)
23/4/2025 ผลฟันปกติ</t>
        </r>
      </text>
    </comment>
    <comment ref="AK13" authorId="0" shapeId="0" xr:uid="{00000000-0006-0000-0100-000012000000}">
      <text>
        <r>
          <rPr>
            <sz val="11"/>
            <color rgb="FF000000"/>
            <rFont val="Arial"/>
            <scheme val="minor"/>
          </rPr>
          <t>======
ID#AAABww-7iyI
arm m    (2025-05-02 10:03:07)
Please reduce weight and control your diet to decrease high uric acid levels.
------
ID#AAAB1IWcYBU
arm m    (2026-03-20 09:22:03)
2/5/2025
Please reduce weight and control your diet to decrease high uric acid levels.
------
ID#AAAB2fhoIro
Saisuda T    (2026-03-25 06:53:20)
23/3/2026:Pending:Please receive dental scaling before going offshore.</t>
        </r>
      </text>
    </comment>
    <comment ref="AH14" authorId="0" shapeId="0" xr:uid="{00000000-0006-0000-0100-000023000000}">
      <text>
        <r>
          <rPr>
            <sz val="11"/>
            <color rgb="FF000000"/>
            <rFont val="Arial"/>
            <scheme val="minor"/>
          </rPr>
          <t>======
ID#AAAB0BHFBIw
arm m    (2026-02-09 09:18:09)
3/2/2026 BP=136/80 FBS=110 HbA1C=6.4 9/11/25 ติดตามค่าน้ำตาล FES=123, HbA1c=6.4 BP=132/76 15/9/25 ติดตามความดัน 132/82 ชีพจร81 /2-6/9/25 ติดตามค่าความดัน , 14/8/25 ตรวจติดตามค่าFBS=120,ผลตรวจปัสสาวะ ปกติ</t>
        </r>
      </text>
    </comment>
    <comment ref="AK14" authorId="0" shapeId="0" xr:uid="{00000000-0006-0000-0100-000026000000}">
      <text>
        <r>
          <rPr>
            <sz val="11"/>
            <color rgb="FF000000"/>
            <rFont val="Arial"/>
            <scheme val="minor"/>
          </rPr>
          <t>======
ID#AAABteFivBY
arm m    (2025-06-04 09:30:12)
21/1/2025 Please consult with an endocrinologist regarding your weight reduction and continue to take medication for high blood pressure. Update us on your blood pressure and BMI with medical certificate. Note: For offshore work at CTEP, only individuals with a blood pressure lower than 140/90 mmHg and a BMI less than 35 are accepted.
------
ID#AAABteFivBc
Saisuda T    (2025-08-27 08:32:26)
20/8/2025:As previously recommended, please provide your current body weight and blood pressure readings.
------
ID#AAABteFivBg
Saisuda T    (2025-09-09 07:21:47)
22/8/25:Due to suboptimal control of your hypertension and elevated fasting blood sugar levels, it is recommended that you consult an endocrinologist for appropriate treatment. Kindly update your blood pressure, fasting blood sugar, and HbA1c within one month. Please note that all offshore personnel working for CTEP are required to maintain blood pressure below 140/90 mmHg
------
ID#AAABteFivBk
arm m    (2025-11-10 08:31:37)
9/9/2025
Please continue your chronic disease treatment under your doctor's care, and kindly update your blood pressure, body weight, fasting blood sugar (FBS), and HbA1c within the next 3 months.
------
ID#AAAB0Jlzhrc
arm m    (2026-02-11 01:23:06)
10/11/2025
Please continue your chronic disease treatment under your doctor's care, and kindly update on body weight, fasting blood sugar (FBS), and HbA1c within the next 3 months.
------
ID#AAAB21OPHzE
arm m    (2026-03-31 07:58:31)
10/2/2026
Please consult with an internal medicine specialist regarding your weight reduction, high blood pressure. Update your blood pressure within the next three months. Please note, for offshore work at CTEP, individuals are only accepted if they have a BMI below 35.
------
ID#AAAB6c7hJW4
Saisuda T    (2026-05-14 09:32:02)
31/3/26:High health risk:Please continue treatment for hypertension with your treating physician. Consultation with an endocrinologist is recommended to assist with weight reduction. Kindly provide updated body weight and blood pressure readings within the next two (2) months.For offshore work at CTEP, only personnel with a BMI below 35 and blood pressure less than 140/90 mmHg are accepted.
------
ID#AAAB9Awfz5E
arm m    (2026-06-09 03:14:35)
14/5/2026
Please focus on weight reduction and closely monitor your elevated blood pressure. Kindly update your blood pressure within the next 3 months and your BMI within the next 6 months. Please note that all offshore workforce working for CTEP are required to maintain blood pressure below 140/90 mmHg and BMI below 35.
------
ID#AAACEMDn_Xc
arm m    (2026-07-29 01:34:09)
9/6/2026 Moderate health risk Please continue treatment for your hyperlipidemia and hypertension with your doctor, along with weight reduction. Kindly provide an update on your blood pressure and BMI within the next 6 months. Please note that all offshore personnel working for CTEP are required to maintain a blood pressure below 140/90 mmHg and a BMI below 35.</t>
        </r>
      </text>
    </comment>
    <comment ref="AH15" authorId="0" shapeId="0" xr:uid="{00000000-0006-0000-0100-00000D000000}">
      <text>
        <r>
          <rPr>
            <sz val="11"/>
            <color rgb="FF000000"/>
            <rFont val="Arial"/>
            <scheme val="minor"/>
          </rPr>
          <t>======
ID#AAACEMDn_X0
arm m    (2026-07-29 02:58:36)
28/8/2025 อุดฟัน #25,35</t>
        </r>
      </text>
    </comment>
    <comment ref="AK15" authorId="0" shapeId="0" xr:uid="{00000000-0006-0000-0100-000010000000}">
      <text>
        <r>
          <rPr>
            <sz val="11"/>
            <color rgb="FF000000"/>
            <rFont val="Arial"/>
            <scheme val="minor"/>
          </rPr>
          <t>======
ID#AAABww-7iro
arm m    (2025-08-26 03:55:36)
15/2/2025
Low health risk
------
ID#AAABww-7irs
Saisuda T    (2025-10-16 08:29:47)
8/9/25 : Pending : Please provide full report of physical examination and EST. Please provide more information of mental health condition and current medication before going offshore.
------
ID#AAACEMDn_X4
arm m    (2026-07-29 03:01:15)
16/10/2025 Low health risk Please reduce weight and control your diet to decrease high uric acid levels.</t>
        </r>
      </text>
    </comment>
    <comment ref="AH16" authorId="0" shapeId="0" xr:uid="{00000000-0006-0000-0100-000021000000}">
      <text>
        <r>
          <rPr>
            <sz val="11"/>
            <color rgb="FF000000"/>
            <rFont val="Arial"/>
            <scheme val="minor"/>
          </rPr>
          <t>======
ID#AAAB3yWrvx4
arm m    (2026-04-21 04:18:31)
20/11/2025 ถอนฟันคุด#18</t>
        </r>
      </text>
    </comment>
    <comment ref="AK16" authorId="0" shapeId="0" xr:uid="{00000000-0006-0000-0100-000024000000}">
      <text>
        <r>
          <rPr>
            <sz val="11"/>
            <color rgb="FF000000"/>
            <rFont val="Arial"/>
            <scheme val="minor"/>
          </rPr>
          <t>======
ID#AAABww-7i5E
arm m    (2025-06-04 09:33:59)
Please submit the results of EST.
------
ID#AAABww-7i5I
arm m    (2025-11-22 03:05:19)
16/6/2025
Please address the abnormal findings from your dental examination before going to offshore work.
------
ID#AAAB3yWrvx8
arm m    (2026-04-21 04:18:59)
21/11/2025
No additional recommendation.</t>
        </r>
      </text>
    </comment>
    <comment ref="AH17" authorId="0" shapeId="0" xr:uid="{00000000-0006-0000-0100-00000B000000}">
      <text>
        <r>
          <rPr>
            <sz val="11"/>
            <color rgb="FF000000"/>
            <rFont val="Arial"/>
            <scheme val="minor"/>
          </rPr>
          <t>======
ID#AAABww-7izQ
Saisuda T    (2025-06-12 10:32:42)
30/4/2025 ตรวจไขมันในเลือด 27/3/25 ตรวจรักษาเบาหวานต่อเนื่อง 13/12/24 ตรวจปัสสาวะ และทำฟันซี่15แล้ว, ตรวจติดตาม12/9/24 FBS=113,HbA1C=7.5,LDL=172 (มียาลดน้ำไขมันและยาเบาหวาน)
------
ID#AAAB5BZ-XJI
arm m    (2026-04-28 02:50:17)
5/3/2026 Uric acid =3.9 TG=99 LDL-C=103 FBS=181 HbA1c=10.1 22/1/2026 HbA1c=10.2 , FBS=238 6/11/2025 HbA1c=8.4 FBS=158 Triglyceride=122 LDL-C=75 +ยาลดไขมันและยาลดน้ำตาล 17/7/2025 อุดฟัน#14,16 , ตรวจติดตามไขมันในเลือดสูงมียา FBS=174,LDL=128,TG=127 27/3/25 ตรวจรักษาเบาหวานต่อเนื่อง(มียาลดน้ำไขมันและยาเบาหวาน),11/6/25รักษาฟันขูดหินปูนแล้ว,นัดติดตามเบาหวาน+รับยาต่อเนื่อง17/7/25</t>
        </r>
      </text>
    </comment>
    <comment ref="AK17" authorId="0" shapeId="0" xr:uid="{00000000-0006-0000-0100-00000E000000}">
      <text>
        <r>
          <rPr>
            <sz val="11"/>
            <color rgb="FF000000"/>
            <rFont val="Arial"/>
            <scheme val="minor"/>
          </rPr>
          <t>======
ID#AAABww-7i38
arm m    (2025-04-23 03:44:33)
16/12/2024 Please consult an internal medicine specialist for high LDL-cholesterol. Update your LDL-cholesterol in the next 3 months.
------
ID#AAABww-7i4A
arm m    (2025-05-02 09:44:32)
Please provide an EST or CAC test before going to offshore work, as you are 55 years old. Continue treatment for your diabetes and hyperlipidemia with your doctor. Please update your FBS, LDL-cholesterol, and HbA1c levels by July 9, 2025.
------
ID#AAABww-7i4E
Saisuda T    (2025-06-13 01:53:45)
2/5/25 As previously recommended, please provide an EST or CAC test due to your age of 55 years and elevated FBS levels.
------
ID#AAABww-7i4I
Saisuda T    (2025-08-24 05:02:28)
22/8/2025:Please consult an endocrinologist to address the poor control of your diabetes, high LDL-cholesterol. 
Ensure that you update us on your Fasting Blood Sugar (FBS), Hemoglobin A1c (HbA1c), LDL-cholesterol within the next 3 months. 
Please receive dental treatment for tooth caries #14B,16B,46O and submit medical certificate before going offshore next 2 shifts.
------
ID#AAABww-7i4M
arm m    (2025-11-07 09:01:30)
22/8/2025
Please consult an endocrinologist for your poorly controlled diabetes. Please update your FBS and HbA1c levels within the next 3 months.
------
ID#AAAB1j7GW38
arm m    (2026-03-10 09:37:15)
7/11/2026
Please continue to follow up and consult an endocrinologist for your diabetes. Please update your FBS and HbA1c levels in the next 3 months.
------
ID#AAAB5BZ-XJM
arm m    (2026-04-28 02:50:50)
10/3/2026
Due to poor control managing blood sugar, please take medication for 1 week then recheck Fasting blood sugar and submit result for review again.
------
ID#AAAB5KvfwFc
Saisuda T    (2026-05-02 03:35:16)
29/4/26:Pending:Please receive dental treatment by filling tooth #35,46 then submit medical certificate before going offshore.
------
ID#AAAB-RyVkOc
arm m    (2026-06-25 02:27:40)
30/4/2026 High health risk
Please consult an endocrinologist to address the poor control of your diabetes, and high LDL-cholesterol. Ensure that you update us on your Fasting Blood Sugar (FBS), Hemoglobin A1c (HbA1c), and LDL-cholesterol within the next 3 months.</t>
        </r>
      </text>
    </comment>
    <comment ref="AH18" authorId="0" shapeId="0" xr:uid="{00000000-0006-0000-0100-00001F000000}">
      <text>
        <r>
          <rPr>
            <sz val="11"/>
            <color rgb="FF000000"/>
            <rFont val="Arial"/>
            <scheme val="minor"/>
          </rPr>
          <t>======
ID#AAAB2PSNYC8
arm m    (2026-03-21 04:04:37)
3/2/2026 LDL=128 TG=72 8/11/25 หมอประจำคลินิก ตรวจพบฟันผุที่ซี่45 ทำการอุดฟันแล้ว *คุณหมอแจ้งว่าซี่ที่44 ไม่ผุ เลยไม่ได้รักษาค่ะ / 28/10/2025 LDL=109 , TG=87 5/7/2025 ติดตามไขมันในเลือดสูง+ยา</t>
        </r>
      </text>
    </comment>
    <comment ref="AK18" authorId="0" shapeId="0" xr:uid="{00000000-0006-0000-0100-000022000000}">
      <text>
        <r>
          <rPr>
            <sz val="11"/>
            <color rgb="FF000000"/>
            <rFont val="Arial"/>
            <scheme val="minor"/>
          </rPr>
          <t>======
ID#AAABww-7iuA
arm m    (2025-10-29 06:43:48)
16/6/2025
Please provide a Coronary Artery Calcium (CAC) test or an exercise stress test (EST). Consult an internal medicine specialist for your very high LDL-cholesterol levels. Update your LDL-cholesterol and repeat urine analysis results within the next 3 months.
------
ID#AAABzWues8Y
arm m    (2026-02-04 04:50:49)
29/10/2025
Please continue treatment and follow up LDL Cholesterol in next 6 months.
------
ID#AAAB2PSNYDA
arm m    (2026-03-21 04:14:50)
4/2/2025
Please continue your treatment for hyperlipidemia.
------
ID#AAAB5phllGI
arm m    (2026-05-05 07:10:09)
24/3/2026
Please receive dental treatment then submit medical certificate before going offshore. 
Additionally, please recheck for your slightly high blood pressure. Please focus on weight reduction. Update your blood pressure within 3 months. Note: For offshore assignments at CTEP, eligibility is limited to individuals with a blood pressure below 140/90 mmHg.</t>
        </r>
      </text>
    </comment>
    <comment ref="AK19" authorId="0" shapeId="0" xr:uid="{00000000-0006-0000-0100-00000C000000}">
      <text>
        <r>
          <rPr>
            <sz val="11"/>
            <color rgb="FF000000"/>
            <rFont val="Arial"/>
            <scheme val="minor"/>
          </rPr>
          <t>======
ID#AAABww-7itQ
Saisuda T    (2025-04-19 12:59:39)
27/1/25:Please send the full annual physical examination, dental examination, and exercise stress test results by January 30, 2025.
------
ID#AAABww-7itU
arm m    (2025-04-23 03:48:38)
29/1/2025His physical examination is expired today. Please send the full annual physical examination, dental examination, and exercise stress test results.
------
ID#AAABww-7itY
arm m    (2025-06-09 06:06:36)
21/4/2025
Please send us the full reports of health check-up, EST, heart treatment history, all medications for review.
------
ID#AAABww-7itc
arm m    (2025-07-04 07:17:35)
9/6/2025
Please consult a cardiologist for further evaluation and provide a CT coronary angiogram within a month.
------
ID#AAABww-7itg
Saisuda T    (2025-08-24 05:00:33)
9/6/2025:Please continue treatment with your cardiologist and note that you are permitted to perform only light work at CTEP. Focus on weight reduction and make a concerted effort to lower your LDL-cholesterol. Please update your LDL-cholesterol and triglyceride levels within the next 3 months.
------
ID#AAABySN9fgQ
Saisuda T    (2026-01-06 02:44:29)
22/8/25:Significant health risk (Coronary Artery Disease):Please continue treatment with your cardiologist and note that you are permitted to perform only light work at CTEP. Focus on weight reduction and make a concerted effort to lower your LDL-cholesterol. Please update your LDL-cholesterol and triglyceride levels within October 2025.
------
ID#AAAB0bTVveI
arm m    (2026-02-16 06:26:10)
8/1/2026
Please consult a chest specialist regarding your abnormal chest X ray and a cardiologist due to underlying heart disease with a significant rise in LDL cholesterol; additionally, please address the abnormal dental findings related to caries in teeth 24, 25, 31, and 44 before going offshore, and provide updated LDL cholesterol results, the official chest X ray report, urinalysis results, details of dental treatment, and a list of current medications taken within the next one month.
------
ID#AAAB-wMl0y8
arm m    (2026-07-01 07:17:30)
16/2/2026 Significant health risk (Coronary Artery Disease) 
Due to your heart disease, you are permitted to work on light duty only. Please continue treatment for your heart disease and hyperlipidemia with your doctor, and focus on weight reduction. Please update your LDL cholesterol level and body weight within the next 6 months.</t>
        </r>
      </text>
    </comment>
    <comment ref="AK20" authorId="0" shapeId="0" xr:uid="{00000000-0006-0000-0100-000020000000}">
      <text>
        <r>
          <rPr>
            <sz val="11"/>
            <color rgb="FF000000"/>
            <rFont val="Arial"/>
            <scheme val="minor"/>
          </rPr>
          <t>======
ID#AAABww-7is4
arm m    (2025-06-04 09:46:20)
21/1/2025 In March 2025: Please consult with a gastrointestinal specialist regarding your high triglyceride, and high liver enzyme levels, and work towards reducing your weight. Make sure to track and update your triglyceride, liver enzyme in March 2025
------
ID#AAABww-7is8
arm m    (2025-07-04 06:14:28)
16/6/2025
Please address the abnormal findings from your dental examination before going to offshore work. Please consult an internal medicine specialist regarding your elevated triglyceride levels. It is also recommended that you undertake weight reduction and follow a controlled diet to manage your high uric acid levels. Ensure to monitor and report your triglyceride levels within the next 3 months.
------
ID#AAABw3Gie7M
arm m    (2025-11-29 07:40:51)
4/7/2025
Please consult an internal medicine specialist regarding your elevated triglyceride levels. It is also recommended that you undertake weight reduction and follow a controlled diet to manage your high uric acid levels. Ensure to monitor and report your triglyceride levels within the next 2 months.
------
ID#AAABuG6zrX4
Saisuda T    (2025-12-03 00:42:38)
28/11/25:Please address the abnormal findings from your dental examination (#37 dental caries) before going offshore. Please consult a gastrointestinal specialist regarding your very high liver enzyme and high triglyceride levels. We also recommend pursuing weight reduction and adopting dietary measures to manage high uric acid levels. Kindly update us on your liver enzyme, triglycerides and uric acid levels within the next 3 months.
------
ID#AAABxWzVCA8
arm m    (2026-01-07 02:56:16)
3/12/2025
Please consult a gastrointestinal specialist regarding your very high liver enzyme and high triglyceride levels. We also recommend pursuing weight reduction and adopting dietary measures to manage high uric acid levels. Kindly update us on your liver enzyme, triglycerides and uric acid levels within the next 2.5 months.
------
ID#AAAB5BZ-XJQ
arm m    (2026-04-28 03:00:01)
5/3/2026
Please continue treatment for your hyperlipidemia with your doctor, and focus on weight reduction.
------
ID#AAAB5EY_o8I
arm m    (2026-04-30 06:11:31)
29/4/2026
Please receive dental treatment then submit medical certificate before going offshore. Additionally, please consult an internal medicine specialist due to your elevated triglyceride, liver enzyme, and uric acid levels. Ensure to monitor and report your triglyceride, liver enzyme, and uric acid levels over the next 3 months. We also recommend making efforts to reduce your weight.
------
ID#AAAB9Awfz5A
arm m    (2026-06-09 03:12:59)
30/4/2026
Please see the dentist in next 6 months. Additionally, please consult an internal medicine specialist due to your elevated triglyceride, liver enzyme, and uric acid levels. Ensure to monitor and report your triglyceride, liver enzyme, and uric acid levels over the next 3 months. We also recommend making efforts to reduce your weight.
------
ID#AAAB9f8gbCY
arm m    (2026-06-13 10:02:48)
9/6/2026
Please address the abnormal findings from your dental examination (21, 22, 23, 14) prior to offshore deployment.
Please consult an internal medicine specialist (not a clinic laboratory alone) for further evaluation of your impaired fasting blood sugar, hypertriglyceridemia, and elevated liver enzyme levels. Focus on weight reduction and dietary control to manage your slightly elevated uric acid level.
Kindly provide updated results for FBS, HbA1c, triglycerides, and SGPT, along with a medical certificate confirming consultation with an internal medicine specialist (not a clinic laboratory), within the next 3 months.
Please also note that, at your next annual physical examination, you will be required to undergo a coronary artery calcium (CAC) test for cardiac screening.</t>
        </r>
      </text>
    </comment>
    <comment ref="AH21" authorId="0" shapeId="0" xr:uid="{00000000-0006-0000-0100-000008000000}">
      <text>
        <r>
          <rPr>
            <sz val="11"/>
            <color rgb="FF000000"/>
            <rFont val="Arial"/>
            <scheme val="minor"/>
          </rPr>
          <t>======
ID#AAAB7BoAR4I
arm m    (2026-05-22 07:01:00)
3/6/2025 ถอยฟัน#17</t>
        </r>
      </text>
    </comment>
    <comment ref="AK21" authorId="0" shapeId="0" xr:uid="{00000000-0006-0000-0100-00000A000000}">
      <text>
        <r>
          <rPr>
            <sz val="11"/>
            <color rgb="FF000000"/>
            <rFont val="Arial"/>
            <scheme val="minor"/>
          </rPr>
          <t>======
ID#AAAB7BoAR4M
arm m    (2026-05-22 07:01:25)
16/6/2025
Please reduce weight and control your diet to decrease high uric acid levels.</t>
        </r>
      </text>
    </comment>
    <comment ref="AH22" authorId="0" shapeId="0" xr:uid="{00000000-0006-0000-0100-00001C000000}">
      <text>
        <r>
          <rPr>
            <sz val="11"/>
            <color rgb="FF000000"/>
            <rFont val="Arial"/>
            <scheme val="minor"/>
          </rPr>
          <t>======
ID#AAAB91NfdR0
arm m    (2026-06-22 03:45:32)
3/4/2026 ติตตามค่าการทำงานของไต GFR=65.62 21/9/2025 #31,32 อุดฟัน , ขุดหินปูน</t>
        </r>
      </text>
    </comment>
    <comment ref="AK22" authorId="0" shapeId="0" xr:uid="{00000000-0006-0000-0100-00001E000000}">
      <text>
        <r>
          <rPr>
            <sz val="11"/>
            <color rgb="FF000000"/>
            <rFont val="Arial"/>
            <scheme val="minor"/>
          </rPr>
          <t>======
ID#AAABww-7izI
arm m    (2025-07-14 06:14:42)
11/3/2025 
Kindly provide the medical history and treatment records for chronic kidney disease, along with renal function test results, urine analysis reports, and any relevant treatment information. Additionally, please also submit the results of abnormal EKG for review.
------
ID#AAABww-7izM
arm m    (2025-08-26 04:27:54)
14/7/2025
Please continue to monitor and receive treatment for your kidney disease with your doctor.
------
ID#AAAB2saGMjE
arm m    (2026-04-07 01:40:11)
14/10/2025
Please continue to monitor and receive treatment for your kidney disease with your doctor.
------
ID#AAAB91NfdR4
arm m    (2026-06-22 03:46:23)
3/4/2026 Significant health risk (Chronic kidney disease stage 1)
Please continue to monitor and receive treatment for your kidney disease with your doctor.
------
ID#AAAB-0h4tcI
arm m    (2026-07-08 02:08:00)
24/6/2026 Significant health risk (chronic kidney disease stage 1)
Please continue to monitor and receive treatment for your chronic kidney disease with your doctor and update medical certificate to us.</t>
        </r>
      </text>
    </comment>
    <comment ref="AH23" authorId="0" shapeId="0" xr:uid="{00000000-0006-0000-0100-000006000000}">
      <text>
        <r>
          <rPr>
            <sz val="11"/>
            <color rgb="FF000000"/>
            <rFont val="Arial"/>
            <scheme val="minor"/>
          </rPr>
          <t>======
ID#AAABww-7i3c
arm m    (2025-11-19 06:41:39)
6/8/2025 FBS=142,HbA1C=7.8+มียา 14/5/2025 FBS=135 , TG=115 , LDL-C=97 12/02/2025 FBS=137mg/dl , TG=231mg/dl , LDL-C=100mg/dl , SGOT=17U/l , SGPT=4U/l</t>
        </r>
      </text>
    </comment>
    <comment ref="AK23" authorId="0" shapeId="0" xr:uid="{00000000-0006-0000-0100-000009000000}">
      <text>
        <r>
          <rPr>
            <sz val="11"/>
            <color rgb="FF000000"/>
            <rFont val="Arial"/>
            <scheme val="minor"/>
          </rPr>
          <t>======
ID#AAABww-7iwI
arm m    (2025-06-04 09:52:47)
15/2/2025 Please continue treatment and follow up of your diabetes and high triglyceride levels. Additionally, please work on reducing your weight. Ensure that you update us on your Fasting Blood Sugar (FBS), and triglyceride levels after next following up.
------
ID#AAABww-7iwM
arm m    (2025-11-19 06:42:15)
15/2/2025
Please continue your diabetes treatment with a specialist and prioritize weight reduction.
------
ID#AAAB29zn6ec
arm m    (2026-04-03 02:23:34)
20/11/2026
Please continue your diabetic treatment with your doctor and focus on weight reduction. 
Additionally, update your triglyceride level and receive dental scaling in the next 3 months.
------
ID#AAACACQfB5Q
arm m    (2026-07-15 01:16:01)
2/4/2026 Moderate health risk Please continue your diabetic treatment with your doctor and focus on weight reduction. Additionally, update your fasting blood sugar, SGPT after following up on 1 July 2026.</t>
        </r>
      </text>
    </comment>
    <comment ref="AH24" authorId="0" shapeId="0" xr:uid="{00000000-0006-0000-0100-00001B000000}">
      <text>
        <r>
          <rPr>
            <sz val="11"/>
            <color rgb="FF000000"/>
            <rFont val="Arial"/>
            <scheme val="minor"/>
          </rPr>
          <t>======
ID#AAAB91NfdQ8
arm m    (2026-06-22 03:17:34)
30/9/25 พนักงานตรวจติดตามค่าความดัน=136/91 , ตรวจค่าไขมันTri=163 LDL=112</t>
        </r>
      </text>
    </comment>
    <comment ref="AK24" authorId="0" shapeId="0" xr:uid="{00000000-0006-0000-0100-00001D000000}">
      <text>
        <r>
          <rPr>
            <sz val="11"/>
            <color rgb="FF000000"/>
            <rFont val="Arial"/>
            <scheme val="minor"/>
          </rPr>
          <t>======
ID#AAAB91NfdRk
arm m    (2026-06-22 03:36:17)
2/10/2025 Low health risk 
Please continue your treatment for hyperlipidemia and remain focused on weight reduction efforts. Ensure that your EST or CAC test is updated before you turn 55 years old on 27 April 2026.</t>
        </r>
      </text>
    </comment>
    <comment ref="AH25" authorId="0" shapeId="0" xr:uid="{00000000-0006-0000-0100-000003000000}">
      <text>
        <r>
          <rPr>
            <sz val="11"/>
            <color rgb="FF000000"/>
            <rFont val="Arial"/>
            <scheme val="minor"/>
          </rPr>
          <t>======
ID#AAAB5BZ-XJU
arm m    (2026-04-28 03:04:32)
6/8/2025 TG=93</t>
        </r>
      </text>
    </comment>
    <comment ref="AK25" authorId="0" shapeId="0" xr:uid="{00000000-0006-0000-0100-000007000000}">
      <text>
        <r>
          <rPr>
            <sz val="11"/>
            <color rgb="FF000000"/>
            <rFont val="Arial"/>
            <scheme val="minor"/>
          </rPr>
          <t>======
ID#AAAB5BZ-XJY
arm m    (2026-04-28 03:04:58)
15/10/2025
Please continue treatment for hypertriglyceridemia with your doctor while focusing on weight reduction.
------
ID#AAACDpUZ12A
arm m    (2026-07-22 02:43:32)
29/4/2026 Moderate health risk Please consult an internal medicine specialist regarding your high triglycerides. It would also be beneficial for you to work on reducing your weight. Kindly ensure that your triglycerides are checked again within the next 3 months.</t>
        </r>
      </text>
    </comment>
  </commentList>
  <extLst>
    <ext xmlns:r="http://schemas.openxmlformats.org/officeDocument/2006/relationships" uri="GoogleSheetsCustomDataVersion2">
      <go:sheetsCustomData xmlns:go="http://customooxmlschemas.google.com/" r:id="rId1" roundtripDataSignature="AMtx7miIjY085RnxmhEa+Hd8pbe2m900RA=="/>
    </ext>
  </extLst>
</comments>
</file>

<file path=xl/sharedStrings.xml><?xml version="1.0" encoding="utf-8"?>
<sst xmlns="http://schemas.openxmlformats.org/spreadsheetml/2006/main" count="3706" uniqueCount="1346">
  <si>
    <t>Chevron</t>
  </si>
  <si>
    <t>Bangkok</t>
  </si>
  <si>
    <t>ชื่อ</t>
  </si>
  <si>
    <t>ไม่มี (No)</t>
  </si>
  <si>
    <t>ปกติ (Normal)</t>
  </si>
  <si>
    <t>Adisorn SKL</t>
  </si>
  <si>
    <t>Nakon Si Thammarat</t>
  </si>
  <si>
    <t>ความดันโลหิตสูง (Hypertension)</t>
  </si>
  <si>
    <t>ผิดปกติ (Abnormal)</t>
  </si>
  <si>
    <t>AAL</t>
  </si>
  <si>
    <t>ชื่อ 
First Name and Middle Name
名字</t>
  </si>
  <si>
    <t>Sattahip</t>
  </si>
  <si>
    <t>โรคหลอดเลือดสมอง (Stroke)</t>
  </si>
  <si>
    <t>นามสกุลเต็ม 
Full Surname
全姓</t>
  </si>
  <si>
    <t>ไม่มีข้อมูล (No data)</t>
  </si>
  <si>
    <t>บริษัท 
Company
公司</t>
  </si>
  <si>
    <t>Amarit and Associates</t>
  </si>
  <si>
    <t>Songkhla</t>
  </si>
  <si>
    <t>สถานที่ทำงานในพื้นที่เชฟรอน 
Chevron Workplace
雪佛龙工作场所</t>
  </si>
  <si>
    <t>เบาหวาน (Diabetic Mellitus)</t>
  </si>
  <si>
    <t>ตำแหน่ง</t>
  </si>
  <si>
    <t>Baker Hughes</t>
  </si>
  <si>
    <t>แผนก</t>
  </si>
  <si>
    <t>Benchamas</t>
  </si>
  <si>
    <t>ไขมันในเลือดสูง (Dyslipidemia)</t>
  </si>
  <si>
    <t>วัน เดือน ปี เกิด
Date of Birth (MM/DD/YYYY)
出生日期</t>
  </si>
  <si>
    <t>Best Performance Engineering</t>
  </si>
  <si>
    <t>BFSO2</t>
  </si>
  <si>
    <t>อายุ (ปี)
Age (year)
年龄 (年)</t>
  </si>
  <si>
    <t>โรคหัวใจ (Heart disease)</t>
  </si>
  <si>
    <t>Bourbon offshore asia</t>
  </si>
  <si>
    <t>โรคประจำตัว 
Underlying disease
基础疾病</t>
  </si>
  <si>
    <t>North Pailin</t>
  </si>
  <si>
    <t>ไขมันพอกตับ (Fatty liver)</t>
  </si>
  <si>
    <t>วันที่ตรวจร่างกาย
Date of physical examination (MM/DD/YYYY)
体检日期</t>
  </si>
  <si>
    <t>CBRES</t>
  </si>
  <si>
    <t>ส่วนสูง (เซนติเมตร)
Height (cm)
身高 (厘米)</t>
  </si>
  <si>
    <t>น้ำหนัก (กิโลกรัม)
Weight (kg)
体重 (公斤)</t>
  </si>
  <si>
    <t>ดัชนีมวลกาย
Body mass index (BMI)
身体质量指数</t>
  </si>
  <si>
    <t>Pailin</t>
  </si>
  <si>
    <t>ความดันตัวบน
Systolic blood pressure (SBP)
收缩压</t>
  </si>
  <si>
    <t>ไวรัสตับอักเสบ (Hepatitis)</t>
  </si>
  <si>
    <t>ความดันตัวล่าง
Diastolic blood pressure (DBP)
舒张压</t>
  </si>
  <si>
    <t>Claxton</t>
  </si>
  <si>
    <t>PLFSO</t>
  </si>
  <si>
    <t>ความเข้มข้นของเลือด (%)
Hematocrit (Hct) (%)
红细胞比容</t>
  </si>
  <si>
    <t>ภาวะโลหิตจาง (Anemia)</t>
  </si>
  <si>
    <t>ผลการตรวจปัสสาวะ
Urine analysis (UA)
尿检</t>
  </si>
  <si>
    <t>Conntrak cataring thailand</t>
  </si>
  <si>
    <t>รายละเอียดความผิดปกติของผลปัสสาวะ</t>
  </si>
  <si>
    <t>SDC-Chaophraya</t>
  </si>
  <si>
    <t>น้ำตาลในเลือด
Fasting blood sugar (FBS)
空腹血糖</t>
  </si>
  <si>
    <t>โรคไต (Kidney disease)</t>
  </si>
  <si>
    <t>ไขมันไม่ดี
LDL-Cholesterol
低密度脂蛋白胆固醇</t>
  </si>
  <si>
    <t>EEST Energy Services (Thailand) Limited</t>
  </si>
  <si>
    <t>SDE-Enterprise</t>
  </si>
  <si>
    <t>ไขมันไตรกลีเซอไรด์
Triglyceride
甘油三酸酯</t>
  </si>
  <si>
    <t>โรคนิ่ว (Kidney stone)</t>
  </si>
  <si>
    <t>เอ็นไซม์ตับ SGOT (AST)
血清天门冬氨酸氨基转移酶</t>
  </si>
  <si>
    <t>EMAS</t>
  </si>
  <si>
    <t>เอ็นไซม์ตับ 
SGPT (ALT)
血清丙氨酸氨基转移酶</t>
  </si>
  <si>
    <t>SDK-Krathong</t>
  </si>
  <si>
    <t>โรคเก๊าท์ (Gout)</t>
  </si>
  <si>
    <t>กรดยูริค
Uric acid
血清尿酸</t>
  </si>
  <si>
    <t>Experteam Co.Ltd.</t>
  </si>
  <si>
    <t>SDS-Scepter</t>
  </si>
  <si>
    <t>คลื่นไฟฟ้าหัวใจ
Electrocardiogram (EKG, ECG)
心电图</t>
  </si>
  <si>
    <t>วัณโรคปอด (Pulmonary Tuberculosis )</t>
  </si>
  <si>
    <t>รายละเอียดความผิดปกติของคลื่นไฟฟ้าหัวใจ</t>
  </si>
  <si>
    <t>Expro Oversea Inc.</t>
  </si>
  <si>
    <t>เอ็กซ์เรย์ปอด
Chest x-ray
胸部X光片</t>
  </si>
  <si>
    <t>RLU - Rigless Units</t>
  </si>
  <si>
    <t>โรคหอบหืด (Asthma)</t>
  </si>
  <si>
    <t>รายละเอียดความผิดปกติของเอ็กซเรย์ปอด</t>
  </si>
  <si>
    <t>EXPRO PTI</t>
  </si>
  <si>
    <t>Marine Support Vessel</t>
  </si>
  <si>
    <t>ผลตรวจฟัน
Dental examination result
ผลตรวจฟัน
牙科检查结果</t>
  </si>
  <si>
    <t>มะเร็ง (Cancer)</t>
  </si>
  <si>
    <t>Exterran (Thailand) Ltd.</t>
  </si>
  <si>
    <t>รายละเอียดความผิดปกติของผลตรวจฟัน</t>
  </si>
  <si>
    <t>Other</t>
  </si>
  <si>
    <t>ภาวะป่วยทางจิตใจ (Mental illness)</t>
  </si>
  <si>
    <t>EST (อายุ55ปี)</t>
  </si>
  <si>
    <t>FIRCROFT</t>
  </si>
  <si>
    <t>รายละเอียดความผิดปกติของ EST</t>
  </si>
  <si>
    <t>หมายเหตุ
Note
注释</t>
  </si>
  <si>
    <t>อื่นๆ (Other)</t>
  </si>
  <si>
    <t>Health Risk</t>
  </si>
  <si>
    <t>G4S</t>
  </si>
  <si>
    <t>Recommendation</t>
  </si>
  <si>
    <t>Guardforce Security (Thailand) Co., Ltd.</t>
  </si>
  <si>
    <t xml:space="preserve">วันที่ลง Comment </t>
  </si>
  <si>
    <t>Halliburton</t>
  </si>
  <si>
    <t>วันที่ต้องติดตาม</t>
  </si>
  <si>
    <t>Helix Robotic</t>
  </si>
  <si>
    <t>IFS FACILITY SERVICES CO.,LTD.</t>
  </si>
  <si>
    <t>ระยะเวลาที่ต้องอัพเดท (วัน)</t>
  </si>
  <si>
    <t>INTERTEK</t>
  </si>
  <si>
    <t>สถานะวันหมดอายุ</t>
  </si>
  <si>
    <t>K Black Ocean Service</t>
  </si>
  <si>
    <t>MISC (BFSO2)</t>
  </si>
  <si>
    <t>ระยะเวลาที่จะหมดอายุ (วัน)</t>
  </si>
  <si>
    <t>Mod Engineering</t>
  </si>
  <si>
    <t>MOGIT</t>
  </si>
  <si>
    <t>NES</t>
  </si>
  <si>
    <t>NTT SOLUTION THAILAND</t>
  </si>
  <si>
    <t>Offshore Weather Services</t>
  </si>
  <si>
    <t>Oil - Tex</t>
  </si>
  <si>
    <t>Owen Oil Tool</t>
  </si>
  <si>
    <t>Pacific radiannce</t>
  </si>
  <si>
    <t>PAE</t>
  </si>
  <si>
    <t>นิกร มั่นเกตุ</t>
  </si>
  <si>
    <t>Production​ Solutions​</t>
  </si>
  <si>
    <t>Qualitech​</t>
  </si>
  <si>
    <t>R&amp;V (driver)</t>
  </si>
  <si>
    <t>SC management</t>
  </si>
  <si>
    <t>Schlumberger</t>
  </si>
  <si>
    <t>Scientific Drilling International</t>
  </si>
  <si>
    <t>Shelf Drillng</t>
  </si>
  <si>
    <t>Sodexo Amarit Thailand</t>
  </si>
  <si>
    <t>Thai Aviation Services</t>
  </si>
  <si>
    <t>Nikorn</t>
  </si>
  <si>
    <t>THAI NDT PCL</t>
  </si>
  <si>
    <t>Manket</t>
  </si>
  <si>
    <t>THUNDER CRANES (THAILAND)​CO., LTD.</t>
  </si>
  <si>
    <t>Tidewater Marine International</t>
  </si>
  <si>
    <t>TOMS</t>
  </si>
  <si>
    <t>Uniwise Offshore</t>
  </si>
  <si>
    <t>Vroon Offshore Service</t>
  </si>
  <si>
    <t>Supervisor</t>
  </si>
  <si>
    <t>Weatherford</t>
  </si>
  <si>
    <t>WEIR/SPM oil&amp;gas</t>
  </si>
  <si>
    <t>WOOD PLC (Fosterwheeler)</t>
  </si>
  <si>
    <t>Worley Thailand</t>
  </si>
  <si>
    <t>Operation</t>
  </si>
  <si>
    <t>ผิดปกติเล็กน้อย</t>
  </si>
  <si>
    <t>16/12/2025 วัดความดัน=137/82</t>
  </si>
  <si>
    <t>Low health risk</t>
  </si>
  <si>
    <t>นิยม จูมคอม</t>
  </si>
  <si>
    <t>Please focus on reducing your weight.</t>
  </si>
  <si>
    <t>Niyom</t>
  </si>
  <si>
    <t>Joomkom</t>
  </si>
  <si>
    <t>วัชรินทร์ ขวัญดี</t>
  </si>
  <si>
    <t>Watcharin</t>
  </si>
  <si>
    <t>Khwandi</t>
  </si>
  <si>
    <t>Exam</t>
  </si>
  <si>
    <t>Blood= 3+ , Protein = 1+</t>
  </si>
  <si>
    <t>Green</t>
  </si>
  <si>
    <t>Yellow</t>
  </si>
  <si>
    <t>Red</t>
  </si>
  <si>
    <t>BMI</t>
  </si>
  <si>
    <t>#24 ฟันสึกคอฟันลึก , #26 ฟันสีกตอฟัน</t>
  </si>
  <si>
    <t>&lt;30</t>
  </si>
  <si>
    <t>4/6/2026.ได้ทำการติดตามตรวจติดตามปัสสาวะ UA ซ้ำ ผลปกติครับ 29/5/2026 ทางเดินปัสสาวะอักเสบได้รับยาฆ่าเชื้อ , 28/5/2026 #24,26 อุดฟัน</t>
  </si>
  <si>
    <t>Moderate health risk</t>
  </si>
  <si>
    <t>Please follow up Blood Pressure in next 3 months.</t>
  </si>
  <si>
    <t>30-35</t>
  </si>
  <si>
    <t>&gt;35</t>
  </si>
  <si>
    <t>SBP</t>
  </si>
  <si>
    <t>&lt;140</t>
  </si>
  <si>
    <t>140-160</t>
  </si>
  <si>
    <t>&gt;160</t>
  </si>
  <si>
    <t>UA (rbc)</t>
  </si>
  <si>
    <t>No</t>
  </si>
  <si>
    <t>&lt;10</t>
  </si>
  <si>
    <t>&gt;10</t>
  </si>
  <si>
    <t>FBS</t>
  </si>
  <si>
    <t>&lt;126</t>
  </si>
  <si>
    <t>127-180</t>
  </si>
  <si>
    <t>&gt;180</t>
  </si>
  <si>
    <t>โรคเหงือก #16,17,26,27 ฟันผุ #36,37,48,47 ฟันคุด#18,28</t>
  </si>
  <si>
    <t>LDL</t>
  </si>
  <si>
    <t>30/6/2026 อุดฟัน #46,47  24/6/2026 อุดฟัน#34 ขูดหินปูนขัดฟัน</t>
  </si>
  <si>
    <t>&lt;160</t>
  </si>
  <si>
    <t>160-190</t>
  </si>
  <si>
    <t>Please continue treatment for the remaining abnormal dental findings (16, 17, 26, 27, 36, and 37). In addition, please consult an internal medicine specialist due to your significantly elevated LDL cholesterol and liver enzyme levels. Kindly provide an update on your LDL cholesterol, liver enzyme levels, and progress of dental treatment for the remaining abnormalities within the next 3 months.</t>
  </si>
  <si>
    <t>&gt;190</t>
  </si>
  <si>
    <t>Triplyceride</t>
  </si>
  <si>
    <t>&lt;200</t>
  </si>
  <si>
    <t>200-400</t>
  </si>
  <si>
    <t>&gt;400</t>
  </si>
  <si>
    <t>SGOT</t>
  </si>
  <si>
    <t>&lt;40</t>
  </si>
  <si>
    <t>40-60</t>
  </si>
  <si>
    <t xml:space="preserve">&gt;80 </t>
  </si>
  <si>
    <t>สมบัติ พวงทอง</t>
  </si>
  <si>
    <t>SGPT</t>
  </si>
  <si>
    <t>Sombut</t>
  </si>
  <si>
    <t>Puangthong</t>
  </si>
  <si>
    <t>40-80</t>
  </si>
  <si>
    <t>&gt;80</t>
  </si>
  <si>
    <t>uric acid</t>
  </si>
  <si>
    <t>สวัสดี มุตรผา</t>
  </si>
  <si>
    <t>&lt;7</t>
  </si>
  <si>
    <t>Sawasdee</t>
  </si>
  <si>
    <t>Mutpha</t>
  </si>
  <si>
    <t>&gt;11</t>
  </si>
  <si>
    <t>Foreman</t>
  </si>
  <si>
    <t>EKG</t>
  </si>
  <si>
    <t>stable</t>
  </si>
  <si>
    <t>unstable</t>
  </si>
  <si>
    <t>Blood=Trace , Protein = 1+</t>
  </si>
  <si>
    <t>Dental result</t>
  </si>
  <si>
    <t>Dental exam date</t>
  </si>
  <si>
    <t>&lt;1</t>
  </si>
  <si>
    <t>&gt;1</t>
  </si>
  <si>
    <t>age</t>
  </si>
  <si>
    <t>#46 ฟันสึก</t>
  </si>
  <si>
    <t>&lt;55</t>
  </si>
  <si>
    <t>55-65</t>
  </si>
  <si>
    <t xml:space="preserve">21/7/2026 ยูริค=4.8 ปัสสาวะ=ปกติ   27/4/2026 ผลตรวจ FBS=100 Uric acid=7.4 และติดตามตรวจปัสสาวะ 18/3/2026 อุดฟัน #46 </t>
  </si>
  <si>
    <t>&gt;65</t>
  </si>
  <si>
    <t>Please adhere to a low-sugar and low-carbohydrate diet to address your elevated fasting blood sugar levels.</t>
  </si>
  <si>
    <t>Chest</t>
  </si>
  <si>
    <t>normal</t>
  </si>
  <si>
    <t>abnormal but stable</t>
  </si>
  <si>
    <t>ธเนศ ไวทา</t>
  </si>
  <si>
    <t>6/8/2026 ติดตาม BW=80 BP=139/87</t>
  </si>
  <si>
    <t>High health risk</t>
  </si>
  <si>
    <t>Thanes</t>
  </si>
  <si>
    <t>Please monitor your blood pressure and update your blood pressure in the next 3 months. Additionally, please focus on weight reduction. Note: For offshore assignments at CTEP, eligibility is limited to individuals with a blood pressure below 140/90 mmHg.</t>
  </si>
  <si>
    <t>Waita</t>
  </si>
  <si>
    <t>ชาตรี ธนะจักร</t>
  </si>
  <si>
    <t>Chatree</t>
  </si>
  <si>
    <t>Tanachak</t>
  </si>
  <si>
    <t>Fitter</t>
  </si>
  <si>
    <t>รอยหักเก่าที่กระดูกซี่โครงลำดับที่5-7ขวา</t>
  </si>
  <si>
    <t>ฟันโยก #44,48 , คอฟันสึกลึก #13,25</t>
  </si>
  <si>
    <t>9/8/2026 ถอนฟัน #44,48 8/6/2026 อุดคอฟัน#13,25</t>
  </si>
  <si>
    <t>Your dental extraction must be completely healed, and all stitches removed before going offshore. Please consult an internal medicine specialist for very high LDL-cholesterol, and make efforts to reduce your weight. Update your LDL-cholesterol in the next 3 months.Please also consult an internal medicine specialist for your markedly elevated LDL cholesterol and make efforts to reduce your weight. Kindly provide an update on your LDL cholesterol level within the next 3 months.</t>
  </si>
  <si>
    <t>หินปูน</t>
  </si>
  <si>
    <t>No additional recommendation.</t>
  </si>
  <si>
    <t>มานิตย์ คำมีภา</t>
  </si>
  <si>
    <t>Manit</t>
  </si>
  <si>
    <t>Khammeepha</t>
  </si>
  <si>
    <t>ถวิล ดอนณรงค์</t>
  </si>
  <si>
    <t>Thawin</t>
  </si>
  <si>
    <t>Donnarong</t>
  </si>
  <si>
    <t>Welder</t>
  </si>
  <si>
    <t>Hyperuricemia</t>
  </si>
  <si>
    <t xml:space="preserve">Blood-Trace </t>
  </si>
  <si>
    <t>Please control your diet to decrease high uric acid levels.</t>
  </si>
  <si>
    <t>Pending</t>
  </si>
  <si>
    <t>Please address the abnormal findings from your dental examination (tooth 36) before going offshore. Please consult a Gastroenterology specialist regarding your elevated liver enzymes, and make an effort to reduce your weight. Kindly ensure your liver enzyme (SGPT) level is updated within the next 3 months.</t>
  </si>
  <si>
    <t>อำพล บุญคำมูล</t>
  </si>
  <si>
    <t>Amphol</t>
  </si>
  <si>
    <t>Boonkhammoon</t>
  </si>
  <si>
    <t>ยาสิทธ์ ดาสันทัด</t>
  </si>
  <si>
    <t>Yasit</t>
  </si>
  <si>
    <t>Dasantad</t>
  </si>
  <si>
    <t>ซี่34 ฟันลึกคอฟัน</t>
  </si>
  <si>
    <t>24/2/26 Trig.=117 LDL=132 / 10/11/2025 FBS=115 , TG=220 LDL-c=138 , AST=25 , ALP=21  6/11/2025 TG=349 , LDL-C=131  4/11/2025 ทำฟัน #34</t>
  </si>
  <si>
    <t>Please focus on weight reduction.</t>
  </si>
  <si>
    <t>สุรพงษ์ ทองบาง</t>
  </si>
  <si>
    <t>Please focus on reducing your weight</t>
  </si>
  <si>
    <t>Surapong</t>
  </si>
  <si>
    <t>Thongbang</t>
  </si>
  <si>
    <t>ชัยวัฒน์ คงวิจิตร</t>
  </si>
  <si>
    <t>Chaiwat</t>
  </si>
  <si>
    <t>Kongwijit</t>
  </si>
  <si>
    <t>Crane Operator</t>
  </si>
  <si>
    <t>Please control your diet to decrease your slightly elevated uric acid levels.</t>
  </si>
  <si>
    <t>Blood=1+</t>
  </si>
  <si>
    <t>พบความผิดปกติคือ ภาวะกล้ามเนื้อหัวใจตายเก่าบริเวณส่วนล่าง (Old inferior myocardial infarction) และ หัวใจเต้นผิดจังหวะ (PVC) แบบ Bigeminy</t>
  </si>
  <si>
    <t>สุรัตน์ บัญดิษเสน</t>
  </si>
  <si>
    <t>Surat</t>
  </si>
  <si>
    <t>Banditsen</t>
  </si>
  <si>
    <t>พบ จุดทึบแสงขนาด 0.5 เซนติเมตร ที่ปอดส่วนล่างซ้าย ซึ่งอาจเป็นเงาของเส้นเลือดหรือก้อนเนื้อในปอด (Lung nodule)</t>
  </si>
  <si>
    <r>
      <rPr>
        <sz val="11"/>
        <color theme="1"/>
        <rFont val="Calibri"/>
        <family val="2"/>
      </rPr>
      <t xml:space="preserve">พบปัญหา หินปูน และ ฟันผุ ที่ต้องรับการอุดฟันจำนวน 4 ซี่ (ซี่ที่ </t>
    </r>
    <r>
      <rPr>
        <sz val="11"/>
        <color rgb="FF0000FF"/>
        <rFont val="Calibri"/>
        <family val="2"/>
      </rPr>
      <t>41</t>
    </r>
    <r>
      <rPr>
        <sz val="11"/>
        <color theme="1"/>
        <rFont val="Calibri"/>
        <family val="2"/>
      </rPr>
      <t xml:space="preserve">, 14, 15 และ </t>
    </r>
    <r>
      <rPr>
        <sz val="11"/>
        <color rgb="FF0000FF"/>
        <rFont val="Calibri"/>
        <family val="2"/>
      </rPr>
      <t>17</t>
    </r>
    <r>
      <rPr>
        <sz val="11"/>
        <color theme="1"/>
        <rFont val="Calibri"/>
        <family val="2"/>
      </rPr>
      <t xml:space="preserve">) </t>
    </r>
  </si>
  <si>
    <t>16/6/2026 LDL=106 , ความดันโลหิต 124/86  26/3/26ผลตรวจ EGK24 hour =ผลปกติ,ได้รับการอุดฟันซี่17,41 ,12/2/26 ได้รับการถอนฟันซี่35</t>
  </si>
  <si>
    <t>Special health list</t>
  </si>
  <si>
    <t>You are approved for offshore work under light duty. Continue treatment with your doctor. Maintain LDL cholesterol below 70 mg/dL. Submit 24-hour Holter monitoring and exercise stress test (EST) results as part of your annual physical examination.</t>
  </si>
  <si>
    <t>ฟันคุด#38, ฟันผุลึก#47</t>
  </si>
  <si>
    <t>28/1/2026 Cholesterol=164 , LDL=93.5 23/12/25 ได้ผ่าฟันคุด#38แล้ว, 22/12/25 ได้อุดฟัน#47 แล้ว</t>
  </si>
  <si>
    <t>Please continue your treatment for hyperlipidemia.</t>
  </si>
  <si>
    <t>สุริยะ หมุดหลีหา</t>
  </si>
  <si>
    <t>Suriya</t>
  </si>
  <si>
    <t>นรินทร์ หวังฟังกลาง</t>
  </si>
  <si>
    <t>Hmudleeha</t>
  </si>
  <si>
    <t>Narin</t>
  </si>
  <si>
    <t>Hwangfangklang</t>
  </si>
  <si>
    <t>Overweight, Abnormal liver function test, Hyperlipidemia</t>
  </si>
  <si>
    <t xml:space="preserve">ฺBlood = Trace , Protein= Trace </t>
  </si>
  <si>
    <t>A 0.6 cm opacity at left lower lung, DDx are enfaced vessel or lung nodule.</t>
  </si>
  <si>
    <r>
      <rPr>
        <sz val="11"/>
        <color theme="1"/>
        <rFont val="Calibri"/>
        <family val="2"/>
      </rPr>
      <t>ขูดหินปูน , อุดฟันซี่</t>
    </r>
    <r>
      <rPr>
        <sz val="11"/>
        <color rgb="FF0000FF"/>
        <rFont val="Calibri"/>
        <family val="2"/>
      </rPr>
      <t>15,32,35,41</t>
    </r>
  </si>
  <si>
    <t>Please consult an internal medicine specialist due to your elevated triglyceride levels and significantly increased liver enzyme levels. Dietary control is recommended for your mildly elevated uric acid level, and you are advised to focus on weight reduction.Kindly provide follow-up results for triglycerides, liver enzymes, and uric acid within the next 3 months.</t>
  </si>
  <si>
    <t>4/5/2026 FBS=104 , HbA1c=5.8 , LDL=129 , BP=134/64  6/11/2025 ความดันโลหิต 139/67 4/11/2025 อุดฟัน#15,32,35,41 , ขุดหินปูน</t>
  </si>
  <si>
    <t>Please continue treatment for your hypertension and hyperlipidemia. Monitor your rising blood sugar closely and focus on weight reduction. Kindly provide updates on your blood pressure, fasting blood sugar, HbA1C , and lipid profile within the next 6 months.</t>
  </si>
  <si>
    <t>นครินทร์ ศิริวิทยารักษ์</t>
  </si>
  <si>
    <t>Nakharin</t>
  </si>
  <si>
    <t>Siriwitthayarak</t>
  </si>
  <si>
    <t>ประทุม เกตุหอม</t>
  </si>
  <si>
    <t>Prathum</t>
  </si>
  <si>
    <t>Kethom</t>
  </si>
  <si>
    <t xml:space="preserve">Protein-Trace </t>
  </si>
  <si>
    <t>#37 ฟันโยก</t>
  </si>
  <si>
    <t>8/7/2026 เอ็นไซม์ตับ SGPT(ALT)=50  10/4/2026 เอ็นไซม์ตับ SGPT(ALT)=58   9/1/2025 ถอนฟัน #37</t>
  </si>
  <si>
    <t>#47 ฟันผุ</t>
  </si>
  <si>
    <t>1/8/2026 FBS=90 TG=178 LDL=153 BP=126/86</t>
  </si>
  <si>
    <t>Please continue treatment for your hyperlipidemia and impaired fasting glucose with your doctor. Kindly update your LDL cholesterol, and triglyceride levels within the next 3 months.</t>
  </si>
  <si>
    <t>อภิวัฒน์ ยอดทอง</t>
  </si>
  <si>
    <t>Apiwat</t>
  </si>
  <si>
    <t>Yodthong</t>
  </si>
  <si>
    <t>เฉลา หาญรบ</t>
  </si>
  <si>
    <t>Chalao</t>
  </si>
  <si>
    <t>Harnrob</t>
  </si>
  <si>
    <t>25/7/26ติดตามค่าไขมัน LDL=168,Trig.=252,Chol.=241 ,FBS=102 ,HbA1C=6.9</t>
  </si>
  <si>
    <t>Please continue treatment for your hyperlipidemia with your doctor, with particular focus on the rising triglyceride level noted in your previous result, along with weight reduction. Please also control your diet to help address your slightly increased uric acid level. Kindly update your LDL-cholesterol, triglyceride, and SGPT levels within the next 3 months.</t>
  </si>
  <si>
    <t>ณรงศักดิ์ ขันทวิชัย</t>
  </si>
  <si>
    <t>Narongsak</t>
  </si>
  <si>
    <t>Kantavichai</t>
  </si>
  <si>
    <t>นพรุจ กอนแก้ว</t>
  </si>
  <si>
    <t>Noppharut</t>
  </si>
  <si>
    <t>Konkaew</t>
  </si>
  <si>
    <t>ฟันผุ#16</t>
  </si>
  <si>
    <t>25/7/2026 อุดฟัน</t>
  </si>
  <si>
    <t>สาย บุญกลาง</t>
  </si>
  <si>
    <t>Sai</t>
  </si>
  <si>
    <t>Boonklang</t>
  </si>
  <si>
    <t>ฟันผุ #12,22 , ฟันผุลึก#23 , ฟันสึก#32 , รากฟันค้างในเหงือ#35</t>
  </si>
  <si>
    <t xml:space="preserve"> </t>
  </si>
  <si>
    <t>11/9/2025 อุดฟัน#12,22,32 , ถอนฟัน#35</t>
  </si>
  <si>
    <t>สุวรรณสาม โจทย์พิมาย</t>
  </si>
  <si>
    <t>Suwannasarm</t>
  </si>
  <si>
    <t>Jotphimai</t>
  </si>
  <si>
    <t>Rigger</t>
  </si>
  <si>
    <t>ทรงธรรม สารีคำ</t>
  </si>
  <si>
    <t>Songtham</t>
  </si>
  <si>
    <t>Scaffold &amp; Paint</t>
  </si>
  <si>
    <t>Sareekham</t>
  </si>
  <si>
    <t>ketone3+, Protein1+</t>
  </si>
  <si>
    <t>8-8-2026 ความดัน BP 129/89  LDL=150</t>
  </si>
  <si>
    <t>ปริทันถ์อักเสบ , ฟันโยก 11,21,31,41,42</t>
  </si>
  <si>
    <t>Please continue your treatment with your doctor.</t>
  </si>
  <si>
    <t>24/3/2026 ถอนฟัน11,21</t>
  </si>
  <si>
    <t>Please continue treatment for your hypertension with your treating physician. Kindly note that all offshore personnel are required to have blood pressure below 140/90 mmHg.</t>
  </si>
  <si>
    <t>อานนท์ ภวภูตานนท์</t>
  </si>
  <si>
    <t>Anon</t>
  </si>
  <si>
    <t>Phawaphootanon</t>
  </si>
  <si>
    <t>สมศักดิ์ จันทร์เอียด</t>
  </si>
  <si>
    <t>Somsak</t>
  </si>
  <si>
    <t>Janaiad</t>
  </si>
  <si>
    <t>พบความทึบแสงเล็กน้อยขนาด 0.7 ซม. บริเวณปอดส่วนบนด้านซ้าย การวินิจฉัยแยกโรค ได้แก่ การเกาะกลุ่มกันของหลอดเลือดเฉพาะจุด หรือก้อนเนื้อในปอด</t>
  </si>
  <si>
    <t>23/7/2026 BP128/85 LDL=148 ได้รับยาและมีนัดตรวจ29/10/2026 3/6/2026 LDL=136 TG=58 ได้กินยาลดความดัน และนัดตรวจ5-8-2026  11/5/2026 BP=139/90 ,BW=97 ,x-ray=ปกติ  30/3/2026 ความดันโลหิต = 139/89</t>
  </si>
  <si>
    <t>Please continue treatment for your hyperlipidemia and hypertension with your doctor, along with weight reduction. Please note that all offshore personnel working for CTEP are required to maintain a blood pressure below 140/90 mmHg and a BMI below 35.</t>
  </si>
  <si>
    <t>อนุสรณ์ ทองบุตร</t>
  </si>
  <si>
    <t>Anusorn</t>
  </si>
  <si>
    <t>Thongbut</t>
  </si>
  <si>
    <t>สมศัก พันเต๊ะ</t>
  </si>
  <si>
    <t>Phanteh</t>
  </si>
  <si>
    <t>มีหินปูน</t>
  </si>
  <si>
    <r>
      <rPr>
        <sz val="11"/>
        <color rgb="FF0000FF"/>
        <rFont val="Calibri"/>
        <family val="2"/>
      </rPr>
      <t>18/11/2025 TG=79 , LDL-C=118 , SGOT=23 , SGPT=39</t>
    </r>
    <r>
      <rPr>
        <sz val="11"/>
        <color rgb="FF000000"/>
        <rFont val="Calibri"/>
        <family val="2"/>
      </rPr>
      <t xml:space="preserve"> 18/9/2025 ขุดหินปูน</t>
    </r>
  </si>
  <si>
    <t>คลื่น Q กลับหัว1-2</t>
  </si>
  <si>
    <t>รักษารากฟัน#11 , หินปูน , อุดฟัน #11,25,26,35</t>
  </si>
  <si>
    <t xml:space="preserve">29/7/2026 อุดฟัน
</t>
  </si>
  <si>
    <t>วิชัย ไผ่ป้อง</t>
  </si>
  <si>
    <t>Wichai</t>
  </si>
  <si>
    <t>Paipong</t>
  </si>
  <si>
    <t>บุญสวย แสงจันทร์</t>
  </si>
  <si>
    <t>Bunsuai</t>
  </si>
  <si>
    <t>Saengchan</t>
  </si>
  <si>
    <t>ฟันผุลึก #43 ,รากฟันค้างในเหงือ #24 , ฟันโยก #16,25,36,48,42 , คอฟันสึก#14,15,21,34</t>
  </si>
  <si>
    <t>20/4/2026 อุดฟัน#43,14,15,16,21 , ถอนฟัน #24,42</t>
  </si>
  <si>
    <t>สมศักดิ์ บุตรพุฒ</t>
  </si>
  <si>
    <t>Butphut</t>
  </si>
  <si>
    <t>มีหินปูนเหงือกอักเสบ</t>
  </si>
  <si>
    <t>IE Tech.</t>
  </si>
  <si>
    <t>Instrument &amp; Electrical</t>
  </si>
  <si>
    <t>Please consult an internal medicine specialist regarding your high triglycerides and liver enzymes and uric acid levels. Kindly ensure that your triglycerides and liver enzymes and uric acid are retested within the next 3 months.</t>
  </si>
  <si>
    <r>
      <rPr>
        <sz val="11"/>
        <color theme="1"/>
        <rFont val="Calibri"/>
        <family val="2"/>
      </rPr>
      <t>คอฟันสึกซี่#16 ,</t>
    </r>
    <r>
      <rPr>
        <sz val="11"/>
        <color rgb="FF0000FF"/>
        <rFont val="Calibri"/>
        <family val="2"/>
      </rPr>
      <t>ฟันผุซี่#35,46</t>
    </r>
  </si>
  <si>
    <t>18/6/2026 FBS=147 HbA1c=8.6 LDL=78 ได้รับยามากินและนัดตรวจ10/9/2026  29/4/2026 อุดฟัน #35,46</t>
  </si>
  <si>
    <t>Please continue to follow up and take medication for your diabetes, and high LDL-cholesterol. Ensure that you update us on your Fasting Blood Sugar (FBS), Hemoglobin A1c (HbA1c) after following up at hospital on 10 September 2026.</t>
  </si>
  <si>
    <t>นัดตรวจ10/9/2026</t>
  </si>
  <si>
    <t>นภา ผาบสิมมา</t>
  </si>
  <si>
    <t>Napha</t>
  </si>
  <si>
    <t>Phabsimma</t>
  </si>
  <si>
    <t>พิน คำทอง</t>
  </si>
  <si>
    <t>Pin</t>
  </si>
  <si>
    <t>Kamthong</t>
  </si>
  <si>
    <t>9/5/2026 น้ำหนัก=84.6 , ALT=30 , AST=38  5/2/2026 น้ำหนัก=87.8 31/1/2026 AST=52 ALT=54 LDL-C=145 GLU=114 UA=7.64</t>
  </si>
  <si>
    <t>Please prioritize weight reduction and update your BMI within the next 6 months, as all offshore workforces working for CTEP are required to maintain a Body Mass Index (BMI) below 35.</t>
  </si>
  <si>
    <t>เหงือกอักเสบ , 34 ฟันผุ</t>
  </si>
  <si>
    <t>1/5/26 ขูดหินปูนน้ำลายและอุดฟัน#34</t>
  </si>
  <si>
    <t>Please continue your treatment for hyperlipidemia and focus on weight reduction.</t>
  </si>
  <si>
    <t>ไพรวัลย์ สุวรรณไตร</t>
  </si>
  <si>
    <t>Praiwan</t>
  </si>
  <si>
    <t>Suwantrai</t>
  </si>
  <si>
    <t>ประดิษฐ์ ทึกแปลง</t>
  </si>
  <si>
    <t>Pradit</t>
  </si>
  <si>
    <t>Tukpang</t>
  </si>
  <si>
    <t>Significant health risk (Coronary Artery Disease)</t>
  </si>
  <si>
    <t>เหงือกอักเสบ,45ฟันสึกคอฟีน</t>
  </si>
  <si>
    <t>9/12/2025 อุดฟัน#45</t>
  </si>
  <si>
    <t>Blunted right costophrenic angle, DDx are pleural effusion or pleural thickening.*วันที่ตรวจฟันเป็นหวัดเล็กน้อย (รพ.โทรมาแจ้ง)</t>
  </si>
  <si>
    <t>ฟันผุ #24,25,31,44</t>
  </si>
  <si>
    <r>
      <rPr>
        <sz val="11"/>
        <color theme="1"/>
        <rFont val="Calibri"/>
        <family val="2"/>
      </rPr>
      <t>1/7/2026 LDL=106 BW=63 10/5/2026 ขูดหินปูน</t>
    </r>
    <r>
      <rPr>
        <sz val="11"/>
        <color theme="1"/>
        <rFont val="Calibri"/>
        <family val="2"/>
      </rPr>
      <t xml:space="preserve"> 10/2/2026 เอ็กซเรย์ , 8/2/2026 คอเลสเตอรอล = 136 , LDL = 67 , 7/2/2026 อุดฟัน#24,25,31,44  </t>
    </r>
  </si>
  <si>
    <t>ณัฐวุฒิ อุปละ</t>
  </si>
  <si>
    <t>Due to your heart disease, you are permitted to work on light duty only. Please continue treatment for your heart disease and hyperlipidemia with your doctor. Please update your LDL cholesterol level within the next 6 months. (เฝ้าระวังเรื่องไขมัน, annual check up ครั้งถัดไปให้ตรวจเป็น CAC แทน EST ครับ)</t>
  </si>
  <si>
    <t>Nuttawut</t>
  </si>
  <si>
    <t>Oupala</t>
  </si>
  <si>
    <t>บรรเลง แก่นทองแดง</t>
  </si>
  <si>
    <t>Banleng</t>
  </si>
  <si>
    <t>Kaenthongdeng</t>
  </si>
  <si>
    <t>ขุดหินปูน</t>
  </si>
  <si>
    <t>10/6/2026 ขูดหินปูน</t>
  </si>
  <si>
    <t>Please address the abnormal findings from your dental examination. Please reduce weight and control your diet to decrease your slightly elevated uric acid levels.</t>
  </si>
  <si>
    <t>ศิริชัย จินะตา</t>
  </si>
  <si>
    <t xml:space="preserve">Sirichai  </t>
  </si>
  <si>
    <t>Chinata</t>
  </si>
  <si>
    <t>พบรอยโรคที่มีแคลเซียมเกาะหลายจุดบริเวณข้างหลอดลม</t>
  </si>
  <si>
    <t>ฟันโยก #21,22,23,14 ,โยกมากที่#26 แนะนำถอนฟัน</t>
  </si>
  <si>
    <t>3/8/2026 ฟันซี่#22,23,14 แนะนำสามารถเก็บฟันไว้ได้ 13/6/2026 ถอนฟัน#21 3/6/2026 TG=210 , กรดยูริด=7.7 , SGOT=30 , SGPT=63  26/4/2026 ถอนฟัน#26</t>
  </si>
  <si>
    <t xml:space="preserve">Please consult an internal medicine specialist (not a clinic laboratory alone) for further evaluation of your impaired fasting blood sugar, hypertriglyceridemia, and elevated liver enzyme levels. Focus on weight reduction and dietary control to manage your slightly elevated uric acid level. 
Kindly provide updated results for FBS, HbA1c, triglycerides, and SGPT, along with a medical certificate confirming consultation with an internal medicine specialist (not a clinic laboratory), within the next 3 months. 
Please also note that, at your next annual physical examination, you will be required to undergo a coronary artery calcium (CAC) test for cardiac screening.
</t>
  </si>
  <si>
    <t>ทองแดง นาสินสร้อย</t>
  </si>
  <si>
    <t>Thongdang</t>
  </si>
  <si>
    <t>Nasinsoi</t>
  </si>
  <si>
    <t>หินปูน, ถอน#48 , อุด#47</t>
  </si>
  <si>
    <t>4/8/2026 เหงือกอักเสบ</t>
  </si>
  <si>
    <t>Please complete the necessary dental treatment for teeth #47 and #48. Additionally, please continue your efforts to reduce your weight and maintain a healthy lifestyle. Kindly provide an update on your dental treatment within the next 3 months.</t>
  </si>
  <si>
    <t>ฟันโยก #42,43 , ฟันปลอม , หินปูน</t>
  </si>
  <si>
    <t>18/5/2026 ติดตามความดัน=139/87 ติดตามเอกเรย์และอัลตราซาวน์ปกติ 19/5/2026 ถอนฟัน #42,43</t>
  </si>
  <si>
    <t xml:space="preserve">Please follow a controlled, low-sugar, low-carbohydrate diet and aim for weight reduction to help manage high uric acid and elevated fasting blood sugar levels. </t>
  </si>
  <si>
    <t>เจริญทอง ทะรุณรัมย์</t>
  </si>
  <si>
    <t xml:space="preserve">Charoenthong  </t>
  </si>
  <si>
    <t xml:space="preserve">Tharunram </t>
  </si>
  <si>
    <t>อนุพงษ์ แตงอยู่</t>
  </si>
  <si>
    <t>Anuphong</t>
  </si>
  <si>
    <t>Taengyu</t>
  </si>
  <si>
    <t>ทนงศักดิ์ บุญบรรลุ</t>
  </si>
  <si>
    <t xml:space="preserve">Tanongsak </t>
  </si>
  <si>
    <t>Bunbanlu</t>
  </si>
  <si>
    <t>Overweight, Hypertriglyceridemia</t>
  </si>
  <si>
    <t>7/7/2026 อัพเดทตรวจค่าไต = 78</t>
  </si>
  <si>
    <t>Significant health risk (chronic kidney disease stage 1)</t>
  </si>
  <si>
    <t>Please continue to monitor and receive treatment for your chronic kidney disease with your doctor.</t>
  </si>
  <si>
    <t>ติดตามไตระยะ1 ทุก 3เดือน</t>
  </si>
  <si>
    <t>บุญเยี่ยม บัวพุฒ</t>
  </si>
  <si>
    <t>Boonyiam</t>
  </si>
  <si>
    <t>Buaphut</t>
  </si>
  <si>
    <t>10/6/2026 TG = 119  5/1/2025 TG=222 LDL=98.6</t>
  </si>
  <si>
    <t>Significant health risk (Paroxysmal Atrial Fibrillation)</t>
  </si>
  <si>
    <t xml:space="preserve">You are approved only for light duty offshore work. An annual EKG is required annually, and regular follow-up with your physician is recommended. It would also be beneficial for you to work on reducing your weight. </t>
  </si>
  <si>
    <t>วรจักษ์ กุณารักษ์</t>
  </si>
  <si>
    <t xml:space="preserve">Worajak </t>
  </si>
  <si>
    <t xml:space="preserve">Kunarak   </t>
  </si>
  <si>
    <t>10/7/2026 FBS=140 , ALT=3 1/4/2026 TG=110 , LDL=92  25/12/2025 ขูดหินปูน</t>
  </si>
  <si>
    <t>Please continue your diabetic treatment with your doctor and focus on weight reduction.</t>
  </si>
  <si>
    <t>วิทวัส วิทเวช</t>
  </si>
  <si>
    <t>Wittawat</t>
  </si>
  <si>
    <t>Wittawet</t>
  </si>
  <si>
    <t>เหงือกอักเสบ</t>
  </si>
  <si>
    <t>19-7-2026 ขูดหินปูน</t>
  </si>
  <si>
    <t>Please consult an internal medicine specialist for management of your high triglyceride levels. Focus on weight reduction. Kindly provide an updated triglyceride result within 6 months.</t>
  </si>
  <si>
    <t>22/7/2026 ติดตามความดันและไขมัน</t>
  </si>
  <si>
    <t>ไชยวัฒน์ อำภา</t>
  </si>
  <si>
    <t xml:space="preserve">Chaiwat    </t>
  </si>
  <si>
    <t>Please see an internal medicine specialist regarding your elevated LDL-cholesterol. Ensure you provide an update on your LDL-cholesterol levels in the next 3 months. Also, monitor your blood pressure consistently and share the results with us within the upcoming 3 months. Note that for offshore assignments at CTEP, maintaining a blood pressure below 140/90 mmHg is a prerequisite.</t>
  </si>
  <si>
    <t xml:space="preserve">Ampha </t>
  </si>
  <si>
    <t>ธีระพล คำภูแสน</t>
  </si>
  <si>
    <t>Teerapol</t>
  </si>
  <si>
    <t>Kampoosaen</t>
  </si>
  <si>
    <t>Please focus on reducing your weight and adhering to a low sugar and carbohydrate diet due to your elevated fasting blood sugar levels.</t>
  </si>
  <si>
    <t>คมสัน ทวีทรัพย์</t>
  </si>
  <si>
    <t xml:space="preserve">Komsan </t>
  </si>
  <si>
    <t>Taweesap</t>
  </si>
  <si>
    <t>17/7/2026 TG=244</t>
  </si>
  <si>
    <t>Please consult an internal medicine specialist regarding your high triglycerides (not just lab clinic). It would also be beneficial for you to work on reducing your weight. Kindly ensure that your triglycerides are checked again within the next 3 months.</t>
  </si>
  <si>
    <t>ฟันสึกคอฟัน #34,35</t>
  </si>
  <si>
    <t>25/6/2026 อุดฟัน #34,35</t>
  </si>
  <si>
    <t>สมพงษ์ ไพฑูรย์</t>
  </si>
  <si>
    <t>Sompong</t>
  </si>
  <si>
    <t>Paitoon</t>
  </si>
  <si>
    <t>3/8/2026 BP 119/75</t>
  </si>
  <si>
    <t>Please continue treatment for high triglycerides with your doctor. Additionally, weight reduction would be beneficial.</t>
  </si>
  <si>
    <t>สรศักดิ์ ภาระกุล</t>
  </si>
  <si>
    <t>Sorasak</t>
  </si>
  <si>
    <t>Pharakul</t>
  </si>
  <si>
    <t>24/7/2026 TG=355 และมีนัดรับยาและนัดติดตาม 13/11/2026</t>
  </si>
  <si>
    <t>Please continue your diabetic treatment with your doctor, with particular attention to the significant rise in your triglyceride level, and focus on weight reduction. Additionally, please update your FBS, HbA1c, and triglyceride levels within the next 3 months.</t>
  </si>
  <si>
    <t>สุขพน นพพิบูลย์</t>
  </si>
  <si>
    <t>Sukpon</t>
  </si>
  <si>
    <t>Noppiboon</t>
  </si>
  <si>
    <t>#36 ฟันสึก</t>
  </si>
  <si>
    <t xml:space="preserve">31/10/25 อุดฟัน#36 รับการรักษา วัดความดันและไขมัน+มียาลดไขมัน 134/89 ,30/10/25 พนักงานวัดความดันที่บ้านต่อเนื่องวันนี้ วัดความดันได้ 129/88 </t>
  </si>
  <si>
    <t>Please continue your treatment for hyperlipidemia with your doctor, monitor your blood pressure regularly and focus on reducing your weight.</t>
  </si>
  <si>
    <t>สนั่น แทนแดง</t>
  </si>
  <si>
    <t>Sanan</t>
  </si>
  <si>
    <t>Thaendaeng</t>
  </si>
  <si>
    <t>มีเลือดในปัสสาวะ2+</t>
  </si>
  <si>
    <t>#26 ฟันแตก ,เหงืออักเสบ</t>
  </si>
  <si>
    <t>11/6/26 อุดฟันซี่26</t>
  </si>
  <si>
    <t>Please focus on reducing your weight and continue to take medication for gout treatment.</t>
  </si>
  <si>
    <t>นรินทร์  ทองสาร</t>
  </si>
  <si>
    <t xml:space="preserve">Narin </t>
  </si>
  <si>
    <t>Thongsan</t>
  </si>
  <si>
    <t>ฟันผุลึึก #18,37,47</t>
  </si>
  <si>
    <t>18/3/2026 อุดฟัน #37 17/3/2026 อุดฟัน #47</t>
  </si>
  <si>
    <t>พัลลภ ขวัญใจ</t>
  </si>
  <si>
    <t xml:space="preserve">Punlop  </t>
  </si>
  <si>
    <t>Khuanjai</t>
  </si>
  <si>
    <r>
      <rPr>
        <sz val="11"/>
        <color theme="1"/>
        <rFont val="Calibri"/>
        <family val="2"/>
      </rPr>
      <t>ฟันผุลึก 15,</t>
    </r>
    <r>
      <rPr>
        <sz val="11"/>
        <color theme="1"/>
        <rFont val="Calibri"/>
        <family val="2"/>
      </rPr>
      <t>17,</t>
    </r>
    <r>
      <rPr>
        <sz val="11"/>
        <color theme="1"/>
        <rFont val="Calibri"/>
        <family val="2"/>
      </rPr>
      <t>18,26 รากฟันค้างในเหงือก 37,38</t>
    </r>
  </si>
  <si>
    <t>23/3/2026ภอนฟันซี่17, 20/3/26 ความดัน134/78 ค่าUricAcid=7.8(ไม่มียา) ,25/11/2025 ถอนฟัน#38 ความดันโลหิต=136/87 7/10/2025 ถอนฟัน#26</t>
  </si>
  <si>
    <t>Please continue control your diet to decrease your slightly elevated uric acid levels.</t>
  </si>
  <si>
    <t xml:space="preserve">บัลลังก์ ปี่ฆ้อง </t>
  </si>
  <si>
    <t xml:space="preserve">Banlang </t>
  </si>
  <si>
    <t>Pikhong</t>
  </si>
  <si>
    <t>7/7/2026 TG=241 , Uric acid=6.8 , SGOT=39.8 , SGPT=82.0  9/4/2026 TG=287 , LDL=138 , Uric acid= 8.1 , SGOT=48 , SGPT=127.8 แพทย์แนะนำเรื่องควบคุมอาหารการกิน</t>
  </si>
  <si>
    <t>Please continue treatment for your hyperlipidemia and elevated liver enzymes with your doctor, with particular attention to your rising triglyceride level. Please also focus on weight reduction and dietary control for your slightly elevated uric acid level. If you consume alcohol, please stop drinking. Kindly provide updated LDL-cholesterol, triglyceride, and liver enzyme (SGPT) results within the next 3 months.</t>
  </si>
  <si>
    <t xml:space="preserve">ดวง  วงษ์อ่อง </t>
  </si>
  <si>
    <t xml:space="preserve">Dong </t>
  </si>
  <si>
    <t>Wongong</t>
  </si>
  <si>
    <r>
      <rPr>
        <sz val="11"/>
        <color theme="1"/>
        <rFont val="Calibri"/>
        <family val="2"/>
      </rPr>
      <t xml:space="preserve"> ไม่เร่งด่วน </t>
    </r>
    <r>
      <rPr>
        <sz val="11"/>
        <color rgb="FF0000FF"/>
        <rFont val="Calibri"/>
        <family val="2"/>
      </rPr>
      <t>#11,17</t>
    </r>
    <r>
      <rPr>
        <sz val="11"/>
        <color theme="1"/>
        <rFont val="Calibri"/>
        <family val="2"/>
      </rPr>
      <t>,27,28,37,38,47</t>
    </r>
  </si>
  <si>
    <t>13/5/2026ความดัน 138/89 5/5/2026 ทำฟันอุดฟันซี่ที่#37 กรดยูริด=8.5 , TG=225 , SGPT=21 10/3/2026 ความดันโลหิต=140/90 6/3/2026 อุดฟัน#11 +ขัดฟัน , Uric Acid=8.2 TG=193 SGOT=28 SGPT=54  9/1/2026 อุดฟัน #17</t>
  </si>
  <si>
    <t xml:space="preserve">Please consult an internal medicine specialist regarding elevated triglyceride levels. Continue weight reduction, with stricter dietary control to manage rising uric acid levels.
Please continue treatment for outstanding dental conditions (teeth 27, 28, 38, and 47).
Kindly provide updated triglyceride and uric acid levels, as well as dental treatment status, within the next 6 months.
</t>
  </si>
  <si>
    <t>ทศพร​ เ​พี​ยะ​วงศ์​</t>
  </si>
  <si>
    <t xml:space="preserve">Thontsaporn  </t>
  </si>
  <si>
    <t>Phiawong</t>
  </si>
  <si>
    <t>ศรันยู  บุญแสน</t>
  </si>
  <si>
    <t xml:space="preserve">Saranyu </t>
  </si>
  <si>
    <t>Bunsaen</t>
  </si>
  <si>
    <t>ฟันผุลึก #11,21  ,  ฟันค้างในเหงือ#22 , ฟันคุด #38,48 , ฟันผุ #36,47 , ฟันไม่มีคู่สบ#18,28 , วัสดุอุดฟันเสื่อมสภาพ #12</t>
  </si>
  <si>
    <t>14/5/2026 อุดฟัน #17,21,36</t>
  </si>
  <si>
    <t xml:space="preserve">No additional recommendation. </t>
  </si>
  <si>
    <t>อรุณ ณ สงขลา</t>
  </si>
  <si>
    <t>Aroon</t>
  </si>
  <si>
    <t>Na Songkhla</t>
  </si>
  <si>
    <t>Crane Team Lead</t>
  </si>
  <si>
    <t>ketone+1</t>
  </si>
  <si>
    <t>18/6/2026 BMI=34 24/3/26 ติดตามค่าUricAid=7.7 นัด16/6/26 ,น้ำหนักตัว90Kg.</t>
  </si>
  <si>
    <t>Please continue to focus on weight reduction and dietary control to manage your mildly elevated uric acid level. Kindly provide an update on your body weight or BMI within the next 3 months. Please note that all offshore workforce personnel working for CTEP are required to maintain a BMI of less than 35.</t>
  </si>
  <si>
    <t>มานิตย์ แจ่มสว่าง</t>
  </si>
  <si>
    <t>Jaemsawang</t>
  </si>
  <si>
    <t>10/7/2026 ความดันโลหิต=134/84 , LDL=106 , TG=282 นัดตรวจ 25/12/2026  9/4/2026 TG=281 , Uric acid=4.4 , น้ำหนัก=86.6 ,มีกินยา[160 mg] FeNoFibrate capsuleและ[20 mg] Simvastatin tablet และนัดตรวจเลือดในวันที่30/7/2026  9/1/2026 TG=477 FTS=110 LDL=79 AST=21 ALT=24 20/10/2025 ขุดหินปูน</t>
  </si>
  <si>
    <t>Please continue treatment for your hyperlipidemia with your treating physician, with increased focus on weight reduction. Kindly provide an updated triglyceride level within the next three (6) months.</t>
  </si>
  <si>
    <t>ชาญวุฒิ นวลทอง</t>
  </si>
  <si>
    <t>Chanwut</t>
  </si>
  <si>
    <t>Nualtong</t>
  </si>
  <si>
    <t>ผิดปกติ: พังผืดบางหรือภาวะปอดแฟบ</t>
  </si>
  <si>
    <t>#18 ควรได้รับการถอน</t>
  </si>
  <si>
    <t>6/6/2026 ถอนฟัน#18</t>
  </si>
  <si>
    <t>Your dental extraction must be completely healed, and all stitches removed before going offshore. Please consult an internal medicine specialist regarding your high blood sugar result. If you already have diabetes, provide us with a history of your treatment. Kindly update us on your fasting blood sugar and HbA1c levels in 3 months.</t>
  </si>
  <si>
    <t>ธนวัฒน์ บุญทรัพย์</t>
  </si>
  <si>
    <t>Thanawat</t>
  </si>
  <si>
    <t>Boonsap</t>
  </si>
  <si>
    <t>CPP Crane Operator</t>
  </si>
  <si>
    <r>
      <rPr>
        <sz val="11"/>
        <color theme="1"/>
        <rFont val="Calibri"/>
        <family val="2"/>
      </rPr>
      <t>ฟันแตก</t>
    </r>
    <r>
      <rPr>
        <sz val="11"/>
        <color rgb="FF0000FF"/>
        <rFont val="Calibri"/>
        <family val="2"/>
      </rPr>
      <t xml:space="preserve"> #16 </t>
    </r>
    <r>
      <rPr>
        <sz val="11"/>
        <color theme="1"/>
        <rFont val="Calibri"/>
        <family val="2"/>
      </rPr>
      <t>, ฟันสึก #14,15,24</t>
    </r>
  </si>
  <si>
    <r>
      <rPr>
        <sz val="11"/>
        <color theme="1"/>
        <rFont val="Calibri"/>
        <family val="2"/>
      </rPr>
      <t xml:space="preserve">16/6/2026 อุดฟัน#14 12/6/2026 LDL=188 , Uric acid=8.8 , ความดันโลหิต=135/92 </t>
    </r>
    <r>
      <rPr>
        <sz val="11"/>
        <color rgb="FFFF0000"/>
        <rFont val="Calibri"/>
        <family val="2"/>
      </rPr>
      <t xml:space="preserve"> </t>
    </r>
    <r>
      <rPr>
        <sz val="11"/>
        <color theme="1"/>
        <rFont val="Calibri"/>
        <family val="2"/>
      </rPr>
      <t>15/2/2026 อุดฟัน 16</t>
    </r>
  </si>
  <si>
    <t>Please continue appropriate dental treatment for the remaining abnormal findings identified (#15, #24) during the dental examination. Please consult with an internal medicine specialist at the hospital regarding your high blood pressure, high LDL-cholesterol, and high uric acid results. Weight reduction is strongly recommended as part of your management plan. Ensure to follow up on your blood pressure and provide updates on your LDL-cholesterol, and uric acid levels within the next 3 months. Note that for offshore positions at CTEP, eligibility requires a blood pressure below 140/90 mmHg.</t>
  </si>
  <si>
    <t>ณรงฤทธิ์ มุนเนียม</t>
  </si>
  <si>
    <t>Narongrit</t>
  </si>
  <si>
    <t>Munnium</t>
  </si>
  <si>
    <t>ศุภกร ขุนจันทร์ดี</t>
  </si>
  <si>
    <t>Supakorn</t>
  </si>
  <si>
    <t>Khunjandee</t>
  </si>
  <si>
    <t>6/8/2026 ขุดหินปูน มียาติดตามเบาหวานและนัดติดตาม 18-9-2026</t>
  </si>
  <si>
    <t>Please continue treatment for your diabetes with your doctor, and follow your specialist's treatment plan. Kindly update us on your fasting blood sugar (FBS), HbA1c, and medication within 3 months.</t>
  </si>
  <si>
    <t>อานนท์ คลังเอี่ยม</t>
  </si>
  <si>
    <t>Klungiam</t>
  </si>
  <si>
    <t>พงศกร เอี่ยมทอง</t>
  </si>
  <si>
    <t>Pongsakorn</t>
  </si>
  <si>
    <t>Eiamthong</t>
  </si>
  <si>
    <t>ม</t>
  </si>
  <si>
    <t>Please consult an Endocrinologist for your poorly controlled diabetes and hyperlipidemia. Kindly provide updates on your FBS, HbA1c, and LDL-cholesterol levels within the next 3 months.</t>
  </si>
  <si>
    <t>ภควัฒน์ แปะทอง</t>
  </si>
  <si>
    <t>Phakhawat</t>
  </si>
  <si>
    <t>Paethong</t>
  </si>
  <si>
    <t>เหงือกอักเสบ #26ฟันแตก</t>
  </si>
  <si>
    <t>30/7/2026 อุดฟัน#26</t>
  </si>
  <si>
    <t>Significant health risk (Coronary Artery Disease s/p PCI)</t>
  </si>
  <si>
    <t>Due to your heart disease, you can perform light work only, and please continue treatment with your cardiologist. You are required to provide an EST (Exercise Stress Test) annually.</t>
  </si>
  <si>
    <t>ชัยพร เจริญท้าว</t>
  </si>
  <si>
    <t>Chaiyaporn</t>
  </si>
  <si>
    <t>Charoentao</t>
  </si>
  <si>
    <t xml:space="preserve">ฺBlood = Trace , Protein=1+ </t>
  </si>
  <si>
    <t>5/8/2026 HbA1c=5.1  4/8/2026 DTX=149</t>
  </si>
  <si>
    <t>Please continue your diabetes and hypertension treatment under the guidance of a specialist, and make weight reduction a priority. Kindly ensure that you update your FBS (Fasting Blood Sugar) and blood pressure results from your follow-up appointment on 2 September 2026.</t>
  </si>
  <si>
    <t>สุขเกษม วงษา</t>
  </si>
  <si>
    <t>Sukkasem</t>
  </si>
  <si>
    <t>Wongsa</t>
  </si>
  <si>
    <t>ฺBlood 1+</t>
  </si>
  <si>
    <t>ขุดหินปูน, อุดคอฟันซี่ 34,35,36</t>
  </si>
  <si>
    <t>1/5/26 อุดฟันซี่ 34,25,36</t>
  </si>
  <si>
    <t>เพทาย อินทองปาน</t>
  </si>
  <si>
    <t>Phethai</t>
  </si>
  <si>
    <t>Inthongpan</t>
  </si>
  <si>
    <t>CPP Crane Assistant</t>
  </si>
  <si>
    <t>ั</t>
  </si>
  <si>
    <t>ประเสริฐ ทองจินดา</t>
  </si>
  <si>
    <t>Prasert</t>
  </si>
  <si>
    <t>Thongjinda</t>
  </si>
  <si>
    <t>โอเค เดสันเทียะ</t>
  </si>
  <si>
    <t>Aokhe</t>
  </si>
  <si>
    <t>Desanthia</t>
  </si>
  <si>
    <t>ฟันผุลึก#47 , มีหินปูน , #48ฟันผุ</t>
  </si>
  <si>
    <t>5/1/2026 LDL=91 7/10/2025 #46,47 อุดฟัน</t>
  </si>
  <si>
    <t>Please focus on reduce body weight.</t>
  </si>
  <si>
    <t>กิตติ สิทธิวงศ์</t>
  </si>
  <si>
    <t>Kitti</t>
  </si>
  <si>
    <t>Sitthiwong</t>
  </si>
  <si>
    <t>8/6/2026 ขุดหินปูน</t>
  </si>
  <si>
    <t>Please consult an internal medicine specialist for high LDL-cholesterol. Update your LDL-cholesterol in the next 3 months.</t>
  </si>
  <si>
    <t>ณรงค์ฤทธิ์ สะการมาต</t>
  </si>
  <si>
    <t>Sakanmart</t>
  </si>
  <si>
    <t>.</t>
  </si>
  <si>
    <t>รออัพเดทผลใหม่หลังขึ้น ประมาณ 18/8/2026</t>
  </si>
  <si>
    <t>สมคิด นิลโอภา</t>
  </si>
  <si>
    <t>Somkid</t>
  </si>
  <si>
    <t>Nil-O-Pa</t>
  </si>
  <si>
    <t>Please continue to focus on reducing your weight.</t>
  </si>
  <si>
    <t>สีหนาท สิงห์พันธ์</t>
  </si>
  <si>
    <t>Seehanart</t>
  </si>
  <si>
    <t>Singpun</t>
  </si>
  <si>
    <t>บัญญัติ เลิศตระกูล</t>
  </si>
  <si>
    <t>Banyat</t>
  </si>
  <si>
    <t>Lerttrakul</t>
  </si>
  <si>
    <t>เหงือกอักเสบ , ฟันสึกคอฟัน #35,45,14,15</t>
  </si>
  <si>
    <t>7/8/2026 EST-ปกติ  5/8/2026 ติดตามทำฟันขูดหินปูน</t>
  </si>
  <si>
    <t>Please provide the full report of your EST result and echocardiogram from Bangkok Phitsanulok Hospital, along with the cardiologist consultation details. Please also address the abnormal dental findings on teeth 14 and 15 before going offshore.</t>
  </si>
  <si>
    <t>มานิต จันทร์จินดา</t>
  </si>
  <si>
    <t>Junjinda</t>
  </si>
  <si>
    <t>Mucous=Trace</t>
  </si>
  <si>
    <t>Please reduce weight and control your diet to decrease high uric acid levels.</t>
  </si>
  <si>
    <t>จักรกฤษ จันทรโคตร</t>
  </si>
  <si>
    <t>Chakkrit</t>
  </si>
  <si>
    <t>Chantakote</t>
  </si>
  <si>
    <t>Please continue treatment for your hyperlipidemia and maintain efforts to reduce your weight.</t>
  </si>
  <si>
    <t>คุณากร ใจเย็น</t>
  </si>
  <si>
    <t xml:space="preserve">Kunakorn  </t>
  </si>
  <si>
    <t>Jaiyen</t>
  </si>
  <si>
    <t>Assistant Floor Operator</t>
  </si>
  <si>
    <t>พิศลย์ เกษนาค</t>
  </si>
  <si>
    <t xml:space="preserve">Pison </t>
  </si>
  <si>
    <t>Katnak</t>
  </si>
  <si>
    <t>Please consult an endocrinologist for assistance with weight reduction. Kindly provide updates on your body weight in 3 months. (For offshore work at CTEP, only individuals with a BMI less than 35 are accepted.)</t>
  </si>
  <si>
    <t>ยุทธนา ดุกล่อง</t>
  </si>
  <si>
    <t xml:space="preserve">Yuttana </t>
  </si>
  <si>
    <t>Duklong</t>
  </si>
  <si>
    <t>การขูดหินปูน</t>
  </si>
  <si>
    <t>Please address the abnormal findings identified in your dental examination. In addition, continued focus on weight reduction and adherence to a controlled diet are strongly recommended to help manage your elevated uric acid levels.</t>
  </si>
  <si>
    <t>วรพงศ์ ศรีธง</t>
  </si>
  <si>
    <t xml:space="preserve">Woraphong  </t>
  </si>
  <si>
    <t>Srithong</t>
  </si>
  <si>
    <t>สรรพร สันหนู</t>
  </si>
  <si>
    <t xml:space="preserve">Sanporn </t>
  </si>
  <si>
    <t>Sannu</t>
  </si>
  <si>
    <t>อายุไม่ถึง 35ปี</t>
  </si>
  <si>
    <t>หินปูน , อุดฟัน#46</t>
  </si>
  <si>
    <t>23/7/2026 LDL=206 ,FBS=99 13/6/2026 อุดฟัน#46</t>
  </si>
  <si>
    <t>Please continue your treatment for hyperlipidemia with your doctor, and make efforts to reduce your weight. Kindly provide an updated LDL-cholesterol result within the next 3 months.</t>
  </si>
  <si>
    <t>อิศม์กร อยู่หนู</t>
  </si>
  <si>
    <t xml:space="preserve">Itskorn </t>
  </si>
  <si>
    <t>Yoonu</t>
  </si>
  <si>
    <t>มีหินปูน  , อุดคอฟัน #45</t>
  </si>
  <si>
    <t>3/7/2026 FBS=139,LDL=68,TG=70,AST=27,ALT=47 ได้รับยาและนัดอีกที 18/8/2026 / 18/6/2026 ตรวจติดตาม (4 โรค): ไขมันในเลือดสูง  ไขมันพอกตับ เบาหวานชนิดที่ 2 (DM type 2) ความดันโลหิตสูง (Hypertension) การรักษา: ปรับยา Metformin 500 mg 2 เม็ด วันละ 2 ครั้ง นัดครั้งถัดไป: 13/08/2026  15/5/2026เข้ารับการติดตามโรคเบาหวาน ไขมันในเลือดสูง และไขมันพอกตับความดันโลหิตสูง และได้รับยาลดไขมันความดันและน้ำตาลมากินและได้นัดตรวจ19/6/2026 , 27/3/2026 FBS = 145 , HbA1C = 8.0 , LDL = 77 , ALT = 53   4/1/26 รักษาฟัน ขูดหินปูน อุดคอฟัน#45 แล้ว</t>
  </si>
  <si>
    <t>Please continue treatment and regular follow-up with your treating physician for diabetes mellitus, hyperlipidemia, and hypertension. Kindly provide an update on your BMI within the next 6 months for further review.</t>
  </si>
  <si>
    <t>นัฐพนธ์  พึ่งวาส</t>
  </si>
  <si>
    <t xml:space="preserve">Nutthaphon  </t>
  </si>
  <si>
    <t>Phuengwas</t>
  </si>
  <si>
    <t>Sugar 4+</t>
  </si>
  <si>
    <t>Please consult an endocrinologist for assistance with weight reduction and continue your diabetes and dyslipidemia treatment with your doctor. Kindly provide updates on your body weight, fasting blood sugar (FBS), HbA1C and urine test results in 3 months. (Please note that for offshore work at CTEP, only individuals with a BMI less than 35 are accepted.)</t>
  </si>
  <si>
    <t>สหภพ สำเภาทอง</t>
  </si>
  <si>
    <t xml:space="preserve">Sahaphop  </t>
  </si>
  <si>
    <t>Sampaothong</t>
  </si>
  <si>
    <t>วัชรี ทองตราชู</t>
  </si>
  <si>
    <t>Watcharee</t>
  </si>
  <si>
    <t>Thongtrachu</t>
  </si>
  <si>
    <t>QA/QC</t>
  </si>
  <si>
    <t>ฺBlood = Trace</t>
  </si>
  <si>
    <t>26/6/2026 เอนไซม์ตับ AST=34 , ATL=45 , Uric acid=7.4   24/6/2026 อุดฟัน #47</t>
  </si>
  <si>
    <t>ไกรสร ศรีพัฒน์อินทร์</t>
  </si>
  <si>
    <t>Kraisorn</t>
  </si>
  <si>
    <t>Sripatin</t>
  </si>
  <si>
    <t>7/7/2026 ติดตามค่า ยูริก=6.4 , เอนไซม์ตับSGPT=72</t>
  </si>
  <si>
    <t>Please consult gastroenterologist at hospital regarding your progressively elevated liver enzyme levels. If you consume alcohol, please stop drinking. Kindly ensure that your liver enzyme (SGPT/ALT) level is re-evaluated and updated within the next 3 months.</t>
  </si>
  <si>
    <t>วทัญญู ปรุงเรณู</t>
  </si>
  <si>
    <t>Wathanyu</t>
  </si>
  <si>
    <t>Prungranu</t>
  </si>
  <si>
    <t>Safety Office</t>
  </si>
  <si>
    <t>SSHE</t>
  </si>
  <si>
    <t>11/6/2026 LDL=87 , ALT=11 7/5/2026 ได้รับยาตวบตุมไขมันมากิน</t>
  </si>
  <si>
    <t>Please continue treatment for your hyperlipidemia with your treating physician and make efforts to reduce your weight</t>
  </si>
  <si>
    <t>ธีรนาถ ธงชัยตะนานนท์</t>
  </si>
  <si>
    <t>Teeranat</t>
  </si>
  <si>
    <t>Thongchaitananon</t>
  </si>
  <si>
    <t>วุฒิศักดิ์ จันทร์เทพ</t>
  </si>
  <si>
    <t>Wuttisak</t>
  </si>
  <si>
    <t>Chantap</t>
  </si>
  <si>
    <t>Fire Watcher</t>
  </si>
  <si>
    <t>อนันต์ นิลวดี</t>
  </si>
  <si>
    <t>Anan</t>
  </si>
  <si>
    <t>Ninwadee</t>
  </si>
  <si>
    <t>ใส่่ฟันทดแทนฟันที่หายไป</t>
  </si>
  <si>
    <t>Please address the abnormal findings from your dental examination. Continue focusing on weight reduction, and ensure regular monitoring and treatment for your hyperlipidemia and fatty liver in consultation with your primary care physician.</t>
  </si>
  <si>
    <t>นุกูล จันทร์ท้วม</t>
  </si>
  <si>
    <t>Nukul</t>
  </si>
  <si>
    <t>Juntuam</t>
  </si>
  <si>
    <t>โรคปริทันต์</t>
  </si>
  <si>
    <t xml:space="preserve">30/6/2026 FBS=95 , HbA1C=5.4 , BW=89.9  8/4/2026 น้ำหนัก90.0 , BMI = 32.6  28/1/2026 ความดันโลหิต = 132/71 , FBS=89 , HbAIC=5.1  9/9/25 พนักงานเข้าตรวจความดัน=140/90, น้ำหนักตัว 90 Kg./ 8/9/25 FBS=90,HbA1C=5.2,Trig=67,LDL=91  / 19/8/25 ติดตามความดันสูง+ได้รับยา / 12/8/25 ขูดหินปูนและอุดฟัน4ซี่ </t>
  </si>
  <si>
    <t>Please continue treatment with your doctor and continue working on weight reduction and Diabetes.</t>
  </si>
  <si>
    <t>เอกชัย ไชยจิตต์</t>
  </si>
  <si>
    <t>Aekkachai</t>
  </si>
  <si>
    <t>Chaijit</t>
  </si>
  <si>
    <t>ยุรนันท์ นาคใจเสือ</t>
  </si>
  <si>
    <t>Yuranan</t>
  </si>
  <si>
    <t>Narkjaisue</t>
  </si>
  <si>
    <t xml:space="preserve">Safety Office </t>
  </si>
  <si>
    <t>ฟันคุด#48 , ฟันไม่มีคู่สบ #28</t>
  </si>
  <si>
    <t>6/3/2026 ขูดหินปูน</t>
  </si>
  <si>
    <t>Please address the abnormal findings from your dental examination and focus on reducing your weight.</t>
  </si>
  <si>
    <t>ฐปนรรฆ์ คงเจาะ</t>
  </si>
  <si>
    <t>Thapanun</t>
  </si>
  <si>
    <t>Kongjor</t>
  </si>
  <si>
    <t>20/4/2026 LDL=110</t>
  </si>
  <si>
    <t>Please adhere to a low sugar and carbohydrate diet due to your elevated fasting blood sugar levels.</t>
  </si>
  <si>
    <t>ชัยรัตน์ หุมนา</t>
  </si>
  <si>
    <t>Chairat</t>
  </si>
  <si>
    <t>Homna</t>
  </si>
  <si>
    <r>
      <rPr>
        <sz val="11"/>
        <color theme="1"/>
        <rFont val="Calibri"/>
        <family val="2"/>
      </rPr>
      <t>ฟันผุเร่งด่วน#</t>
    </r>
    <r>
      <rPr>
        <sz val="11"/>
        <color theme="1"/>
        <rFont val="Calibri"/>
        <family val="2"/>
      </rPr>
      <t xml:space="preserve">25 </t>
    </r>
    <r>
      <rPr>
        <sz val="11"/>
        <color theme="1"/>
        <rFont val="Calibri"/>
        <family val="2"/>
      </rPr>
      <t>,ฟันที่ผุ #17,18,11,26,27,28,</t>
    </r>
    <r>
      <rPr>
        <sz val="11"/>
        <color theme="1"/>
        <rFont val="Calibri"/>
        <family val="2"/>
      </rPr>
      <t>37,38</t>
    </r>
    <r>
      <rPr>
        <sz val="11"/>
        <color theme="1"/>
        <rFont val="Calibri"/>
        <family val="2"/>
      </rPr>
      <t>,47,48</t>
    </r>
  </si>
  <si>
    <t>25/7/26 ติดตามค่าไขมัน LDL=127,Trig.=94,SGOT=48,SGPT110  /18-7-2026 อุดฟัน#12,26,27,36,28,17 16/5/26 อัดฟันซี่37,28  1/5/2026 ติดตามไขมัน หมอให้ยาลดไขมันนัดตรวจติดตาม24/7/26 ,4/3/26ได้อุดฟันซี่25 1/3/2026 อุดคอฟัน#34</t>
  </si>
  <si>
    <t>Significant health risk (Psoriasis), High health risk</t>
  </si>
  <si>
    <t xml:space="preserve">Please continue treatment for your hyperlipidemia, elevated liver enzymes, and psoriasis with your doctor, and complete the dental treatment for teeth 18, 47, and 48 as previously recommended. Please also focus on weight reduction. Kindly provide updates on your liver enzymes, dental treatment, and psoriasis treatment within the next three months.
Note: When you have a skin lesion, please avoid sweating and sun exposure.
</t>
  </si>
  <si>
    <t>วัฒนันท์ วิบูลกิจ</t>
  </si>
  <si>
    <t>Wattanan</t>
  </si>
  <si>
    <t>Wiboolkij</t>
  </si>
  <si>
    <t>Please follow a controlled, low-sugar, low-carbohydrate diet and aim for weight reduction to help manage high uric acid and elevated fasting blood sugar levels.</t>
  </si>
  <si>
    <t>นพรัตน์ สุภผา</t>
  </si>
  <si>
    <t>Nopparat</t>
  </si>
  <si>
    <t>Supapha</t>
  </si>
  <si>
    <t>หัสนัย วรศาสตร์</t>
  </si>
  <si>
    <t xml:space="preserve">Husanai </t>
  </si>
  <si>
    <t>Worasart</t>
  </si>
  <si>
    <t>Please continue ongoing treatment for hyperlipidemia under the care of your physician. In addition, dietary control is advised to address the mildly elevated uric acid level.</t>
  </si>
  <si>
    <t xml:space="preserve">สุรชัย  ไชยหงษา </t>
  </si>
  <si>
    <t xml:space="preserve">Surachai </t>
  </si>
  <si>
    <t>Chaihongsa</t>
  </si>
  <si>
    <t>21/4/2026 LDL=114 , SGPT=29</t>
  </si>
  <si>
    <t>Temporarily unfit</t>
  </si>
  <si>
    <t>Please consult a Cardiologist to evaluate your abnormal EKG finding (frequent PVCs). Kindly provide an update on the 24-hour Holter monitor result, consultation details, and your 2025 annual physical examination report for review within one month. In the meantime, he is fit for onshore light duty.</t>
  </si>
  <si>
    <t>สุขชาติ พริกเบ็ญจะ</t>
  </si>
  <si>
    <t>Sukachart</t>
  </si>
  <si>
    <t>Prikbenja</t>
  </si>
  <si>
    <t>Scaffolding &amp; Paint Foreman</t>
  </si>
  <si>
    <t>มีหินปูน, อุดฟันซี่ที่#34,35,37</t>
  </si>
  <si>
    <t xml:space="preserve">26/6/2026 FBS=97 , Uric acid=7.5 , TG=102 , LDL=73 3/4/2026 น้ำหนัก=76.3 , Uric acid=8.1 , TG=87  </t>
  </si>
  <si>
    <t xml:space="preserve">Please continue your treatment for hyperlipidemia.
Additionally, please continue to focus on weight reduction and maintain a controlled diet to help manage your slightly elevated uric acid levels.
</t>
  </si>
  <si>
    <t>อุดมศักดิ์ อาภรณ์ศรี</t>
  </si>
  <si>
    <t>Udomsak</t>
  </si>
  <si>
    <t>Arpornsri</t>
  </si>
  <si>
    <t>โรคอ้วนระดับที่ 1 (Obesity class 1)</t>
  </si>
  <si>
    <t>Blood 1+</t>
  </si>
  <si>
    <t>อุดฟัน #16,26,37,44,45,48 ผ่าฟันคุด #38</t>
  </si>
  <si>
    <t>16/3/2026 อุดฟัน #16,26,37,44,45,48</t>
  </si>
  <si>
    <t>ณเรศ ภูบุญคง</t>
  </si>
  <si>
    <t>Naret</t>
  </si>
  <si>
    <t>Phoobunkong</t>
  </si>
  <si>
    <t>อุุดฟัน #35,36,37</t>
  </si>
  <si>
    <t>26/5/2026 อุดฟัน#34,35,36</t>
  </si>
  <si>
    <t>Please consult an internal medicine specialist regarding your elevated LDL cholesterol and triglyceride levels. It is also recommended that you work on weight reduction and follow a controlled diet to help lower your uric acid levels. Kindly provide an update on your LDL cholesterol and triglyceride levels within the next 3 months.</t>
  </si>
  <si>
    <t>อุทัย ชินพลชาย</t>
  </si>
  <si>
    <t>Uthai</t>
  </si>
  <si>
    <t>Chinphonchai</t>
  </si>
  <si>
    <t>ขูดหินปูน</t>
  </si>
  <si>
    <t>17/7/2026 ขูดหินปูน</t>
  </si>
  <si>
    <t>อัครัฐ แย้มสง่า</t>
  </si>
  <si>
    <t>Auxkarat</t>
  </si>
  <si>
    <t>Yamsa-nga</t>
  </si>
  <si>
    <t>Please consult a gastrointestinal specialist due to your high liver enzymes. Ensure to update your liver enzyme levels in the next 3 months.</t>
  </si>
  <si>
    <t>ธเนศ ชุ่มหอมจิตร</t>
  </si>
  <si>
    <t>Thanet</t>
  </si>
  <si>
    <t>Chumhomjit</t>
  </si>
  <si>
    <t>Sinus bradycardia (HR = 55 bpm.)</t>
  </si>
  <si>
    <t>สมหมาย สุขกิ้ม</t>
  </si>
  <si>
    <t>Sommai</t>
  </si>
  <si>
    <t>Sookkim</t>
  </si>
  <si>
    <t>อุดฟันซี่ #31,32,33,41,47</t>
  </si>
  <si>
    <t>5/8/2026 อุดคอฟัน#32,33</t>
  </si>
  <si>
    <t>Please address the abnormal findings from your dental examination (cervical abrasion #31, 41, 47) within 3 months.</t>
  </si>
  <si>
    <t>ประมวลรัตน์ แสงมณี</t>
  </si>
  <si>
    <t>Pramuanrat</t>
  </si>
  <si>
    <t>Saengmanee</t>
  </si>
  <si>
    <t>Left Ventricular Hypertrophy (LVH).</t>
  </si>
  <si>
    <r>
      <rPr>
        <sz val="11"/>
        <color theme="1"/>
        <rFont val="Calibri"/>
        <family val="2"/>
      </rPr>
      <t>ขูดหินปูน,</t>
    </r>
    <r>
      <rPr>
        <sz val="11"/>
        <color rgb="FF0000FF"/>
        <rFont val="Calibri"/>
        <family val="2"/>
      </rPr>
      <t>อุดคอฟันซี่ #26</t>
    </r>
  </si>
  <si>
    <t>17/7/2026 กรดยูริค 7.8 , น้ำหนัก74.6 1/5/26ได้อุด#26</t>
  </si>
  <si>
    <t>สราวุธ บุตรวงค์</t>
  </si>
  <si>
    <t>Sarawut</t>
  </si>
  <si>
    <t>Butwong</t>
  </si>
  <si>
    <t>#38 ฟันโยก , เหงือกอักเสบ</t>
  </si>
  <si>
    <t>18/6/2026  HbA1C=7.1 , FBS=118 , TG=72 , LDL=55.4  13/5/2026 ถอนฟัน #38 วัดความดัน 138/84</t>
  </si>
  <si>
    <t>วรันธร มณีพิลึก</t>
  </si>
  <si>
    <t>Waranthon</t>
  </si>
  <si>
    <t>Maneepiluek</t>
  </si>
  <si>
    <t>ถอนตอฟัน #25 , ฟันโยก #11,21,26 , โรคปริทันต์อักเสบ</t>
  </si>
  <si>
    <t>13/6/2026 ได้ติดตามขูดหินปูน</t>
  </si>
  <si>
    <t>ปัญญา แฝงเมืองคุก</t>
  </si>
  <si>
    <t>Panya</t>
  </si>
  <si>
    <t>Faengmuangkhuk</t>
  </si>
  <si>
    <t>#37 ฟันผุลึกถึงโพรงประสาทฟัน, เหงือกอักเสบ , #36ฟัยผุ</t>
  </si>
  <si>
    <t>30/10/2025 ไขมันLDL=120 17/9/2025 ถอนฟัน#37</t>
  </si>
  <si>
    <t>Please continue your hyperlipidemia treatment with your specialist.</t>
  </si>
  <si>
    <t>จะมีลงงาน 15-7-2026 ขึ้นอีกที 12/8/2026</t>
  </si>
  <si>
    <t>สุรัตน์ ถาวรสวัสดิ์</t>
  </si>
  <si>
    <t>Tawonsawat</t>
  </si>
  <si>
    <t>จาตุรนต์ นรสิงห์</t>
  </si>
  <si>
    <t>Jaturon</t>
  </si>
  <si>
    <t>Norasing</t>
  </si>
  <si>
    <t>Please consult an internist specialist regarding abnormal renal function test. Kindly provide an update on your BUN and creatinine (Cr) within 3 months.</t>
  </si>
  <si>
    <t>เคลื่อน คำเมือง</t>
  </si>
  <si>
    <t>Kluan</t>
  </si>
  <si>
    <t>Khammuang</t>
  </si>
  <si>
    <r>
      <rPr>
        <sz val="11"/>
        <color theme="1"/>
        <rFont val="Calibri"/>
        <family val="2"/>
      </rPr>
      <t>#37 ฟันโยก+ฝีปริทันต #</t>
    </r>
    <r>
      <rPr>
        <sz val="11"/>
        <color rgb="FF0000FF"/>
        <rFont val="Calibri"/>
        <family val="2"/>
      </rPr>
      <t>33</t>
    </r>
    <r>
      <rPr>
        <sz val="11"/>
        <color theme="1"/>
        <rFont val="Calibri"/>
        <family val="2"/>
      </rPr>
      <t xml:space="preserve"> ฟันสึกตอฟัน</t>
    </r>
  </si>
  <si>
    <t>9/6/26 อุดคอฟันซี่33</t>
  </si>
  <si>
    <t>Please consult with an internal medicine specialist due to your high levels of LDL-cholesterol and uric acid. Additionally, weight reduction is highly recommended. For the next 3 months, kindly provide updates on your LDL-cholesterol, and uric acid levels.</t>
  </si>
  <si>
    <t>ดนเล๊าะ เอกพิทักษ์</t>
  </si>
  <si>
    <t>Donlao</t>
  </si>
  <si>
    <t>Aekphithak</t>
  </si>
  <si>
    <t>หินปูน , อุดฟัน#32,41,45</t>
  </si>
  <si>
    <t>Please address the abnormal findings from your dental examination (teeth 32, 41, and 45) before going offshore. Please also focus on weight reduction and dietary control to help reduce your slightly elevated uric acid level.</t>
  </si>
  <si>
    <t>ณัฐวุฒิ ดโนทัย</t>
  </si>
  <si>
    <t>Natthawut</t>
  </si>
  <si>
    <t>Danothai</t>
  </si>
  <si>
    <t>ฟันผุ#27,34,44  ,ฟันคุด #28,38,48</t>
  </si>
  <si>
    <t>8/6/2026 อุดฟัน#27,34,44 ,ขุดหินปูน</t>
  </si>
  <si>
    <t>สมควร บุญญุภู</t>
  </si>
  <si>
    <t>Somkuan</t>
  </si>
  <si>
    <t>Boonyupoo</t>
  </si>
  <si>
    <t>อุดคอฟัน#46  ขูดหินปูน</t>
  </si>
  <si>
    <t>21-7-2026 ถอนฟัน#46</t>
  </si>
  <si>
    <t xml:space="preserve">Please focus on a low sugar diet due to your rising fasting blood sugar. </t>
  </si>
  <si>
    <t>ชูศักดิ์ ศิริสมบัติ</t>
  </si>
  <si>
    <t>Choosak</t>
  </si>
  <si>
    <t>Sirisombut</t>
  </si>
  <si>
    <t>แสดงให้เห็นภาวะปอดแฟบหรือพังผืดในปอดส่วนล่างด้านซ้าย โดยไม่มีการเจริญเติบโตของเนื้อเยื่อปอดใหม่</t>
  </si>
  <si>
    <t xml:space="preserve"> 30/6/2026 ขุดหินปูน</t>
  </si>
  <si>
    <t>Please seek advice from a gastroenterologist due to your significantly elevated liver enzymes, and consider working towards weight reduction for your health. Please ensure to follow up on your liver enzyme levels in 3 months.</t>
  </si>
  <si>
    <t>สมพาน พัฒนสาร</t>
  </si>
  <si>
    <t>Somphan</t>
  </si>
  <si>
    <t>Phatthanasan</t>
  </si>
  <si>
    <t>Urobillinogen = 1+</t>
  </si>
  <si>
    <t>คอฟัันสึก</t>
  </si>
  <si>
    <t>14/7/2026 SGOT=61 , SGPT=30 , BW=65 12/5/2026 ได้อุดฟัน#31,32,33,34,35,36 11/5/2026 LDL=93 , SGOT=147 , SGPT=59</t>
  </si>
  <si>
    <t>Please focus on weight reduction and update your liver enzyme (SGOT) level within the next 6 months.</t>
  </si>
  <si>
    <t>เพ็ชร มีนาม</t>
  </si>
  <si>
    <t>Phet</t>
  </si>
  <si>
    <t>Meenam</t>
  </si>
  <si>
    <t>Please continue treatment for your hyperlipidemia with your specialist, and address the abnormal findings from your dental examination with your dentist. Update on your LDL cholesterol in the next 3 months.</t>
  </si>
  <si>
    <t>ปิยะนัฐ เชื้อพราหมณ์</t>
  </si>
  <si>
    <t>Piyanat</t>
  </si>
  <si>
    <t>Chaupram</t>
  </si>
  <si>
    <t>ขุุดหินปูน, อุดฟันซี่ #37,45,18,48</t>
  </si>
  <si>
    <t>31/7/2026 อุดฟัน#37/45</t>
  </si>
  <si>
    <t>Please continue to address the abnormal findings related to dental caries (18,48) before the next shift. Please reduce weight and control your diet to decrease your slightly elevated uric acid levels.</t>
  </si>
  <si>
    <t>อนุรักษ์ สารีพรม</t>
  </si>
  <si>
    <t>Anurak</t>
  </si>
  <si>
    <t>Sariprom</t>
  </si>
  <si>
    <r>
      <rPr>
        <sz val="11"/>
        <color theme="1"/>
        <rFont val="Calibri"/>
        <family val="2"/>
      </rPr>
      <t>ฟันผุลึก+วัสดุอุดฟันแตก</t>
    </r>
    <r>
      <rPr>
        <sz val="11"/>
        <color rgb="FF0000FF"/>
        <rFont val="Calibri"/>
        <family val="2"/>
      </rPr>
      <t xml:space="preserve"> #46</t>
    </r>
  </si>
  <si>
    <t>22-5-2026 TG=87 ALT=30 Uric Acid=8.0  10/4/2026 ผลปัสสาวะปกติ 7/4/2026 ขูดหินปูนและอุดฟัน #46</t>
  </si>
  <si>
    <t>อุดมศักดิ์ เกษสุริยงค์</t>
  </si>
  <si>
    <t>Ketsuriyong</t>
  </si>
  <si>
    <t>Hypertriglyceridemia</t>
  </si>
  <si>
    <t>อุด#24,45  อุดคอฟัน #15,14,24,34 ขุดหินปูน</t>
  </si>
  <si>
    <t>4/8/2026 LDL=130 TG=211 29/5/26 ติดตามChol.=171,Trig.=234.LDL=104  / 11/3/2026 ติดตามไตรกลีเซอไรด์=640 +ยาลดไขมัน Fenofibrate160mg , อุดฟัน#14,15 ,  3/12/2025 อุดฟัน#45</t>
  </si>
  <si>
    <t>Please continue treatment regarding your elevated triglyceride levels. Please update your triglyceride results in the next 3 months.</t>
  </si>
  <si>
    <t>วสันต์ จิตโสภา</t>
  </si>
  <si>
    <t>Wasan</t>
  </si>
  <si>
    <t>Chitsopha</t>
  </si>
  <si>
    <t>Mucous=1+ ketone=Trace</t>
  </si>
  <si>
    <t>HR 54 bpm</t>
  </si>
  <si>
    <t>Please focus on weight reduction, and control your diet to help decrease your slightly elevated uric acid level. Kindly provide an updated body weight or BMI within the next 6 months.</t>
  </si>
  <si>
    <t>จิรยุทธ เกตุแก้ว</t>
  </si>
  <si>
    <t>Jirayuth</t>
  </si>
  <si>
    <t>Katkaew</t>
  </si>
  <si>
    <t>เยื่อหุ้มปอดหนาตัวขึ้นเล็กน้อย</t>
  </si>
  <si>
    <t>ควรอุดฟัน#17 , ขุดหินปูน</t>
  </si>
  <si>
    <t>28/4/2026 ติดตามทำฟัน อุดฟัน  17</t>
  </si>
  <si>
    <t>กฤษทอง ไชยคำนวน</t>
  </si>
  <si>
    <t>Krittong</t>
  </si>
  <si>
    <t>Chaikamnuan</t>
  </si>
  <si>
    <t>should consult cardiologist.</t>
  </si>
  <si>
    <t>เหงือกอักเสบ , #16 ฟันสึกคอฟัน</t>
  </si>
  <si>
    <t>14/3/2026 LDL-C = 102 , 12/3/2026 ถอนฟัน#17</t>
  </si>
  <si>
    <t>มานพ จริตวัจระ</t>
  </si>
  <si>
    <t>Manop</t>
  </si>
  <si>
    <t>Jaritwatjara</t>
  </si>
  <si>
    <t>1. พบฝ้าที่ปอดขวากลีบล่าง (ใหม่) 2, พบเหล็กตามกระดูกไหลปลาร้าซ้าย</t>
  </si>
  <si>
    <t xml:space="preserve">ติดตามไขมัน 18/6/2026 มีค่าเท่าเดิมจึงนัดตรวจติดตามอีกทีในวันที่ 14 สิงหาคม </t>
  </si>
  <si>
    <t xml:space="preserve">Please continue follow up with an internal medicine specialist regarding your high blood pressure, high triglyceride, and high uric acid levels. Weight reduction is strongly recommended as part of your management plan. Ensure to follow up on your blood pressure and provide updates on your triglyceride and uric acid levels after following up on 14 August 2026. Note that for offshore positions at CTEP, eligibility requires a blood pressure below 140/90 mmHg. </t>
  </si>
  <si>
    <t xml:space="preserve">ตามนัด 14/8/2026 </t>
  </si>
  <si>
    <t>ปรีชา ยีอีด</t>
  </si>
  <si>
    <t>Precha</t>
  </si>
  <si>
    <t>Yeait</t>
  </si>
  <si>
    <t>Please consult with an internal medicine specialist due to very high levels of LDL-cholesterol. Please control your diet to address the slightly increased uric acid level. Additionally, weight reduction is highly recommended. Over the next 3 months, kindly provide updates on your LDL-cholesterol.</t>
  </si>
  <si>
    <t>สุรศักดิ์ ทิพย์จ้อย</t>
  </si>
  <si>
    <t>Surasak</t>
  </si>
  <si>
    <t>Tipjoy</t>
  </si>
  <si>
    <t>พบเศษโลหะที่กระดูกซี่โครงซ้ายลำดับที่ 1 ไม่เปลี่ยนแปลง</t>
  </si>
  <si>
    <t>มีหินปูน,ฟันผุ #18</t>
  </si>
  <si>
    <t xml:space="preserve">14/5/2026 ขูดหินปูน </t>
  </si>
  <si>
    <t>Please consult an internal medicine specialist for high triglyceride levels. Update your triglyceride levels in the next 3 months.</t>
  </si>
  <si>
    <t>สุวิทย์ เดชมา</t>
  </si>
  <si>
    <t>Suwit</t>
  </si>
  <si>
    <t>Dejma</t>
  </si>
  <si>
    <t xml:space="preserve">วันที่ 11/7/69 ได้ทำการติดตามฟันและมีลงความเห็นว่านัดขุดหินปูนปลายเดือน8 และ มีรับยาลดไขมัน  และมีนัดเจาะเลือดวันที่ 5/9/69  </t>
  </si>
  <si>
    <t>Please continue treatment for your hyperlipidemia and work on weight reduction with your doctor, and continue dental treatment as planned. Kindly update us on your body weight, triglyceride level, liver enzyme level, and uric acid level within the next 2 months.</t>
  </si>
  <si>
    <t>ทองคำ มีนาม</t>
  </si>
  <si>
    <t>Thongkam</t>
  </si>
  <si>
    <t>ฟันโยกฟันตายฟันเปลี่ยนสี #12</t>
  </si>
  <si>
    <t>22/3/2026 ติดตามถอนฟัน #12</t>
  </si>
  <si>
    <t>ศักดา สุพิน</t>
  </si>
  <si>
    <t>Sakda</t>
  </si>
  <si>
    <t>Suphin</t>
  </si>
  <si>
    <t>ขูุดหินปูน</t>
  </si>
  <si>
    <t>14/7/2026 ได้มาติดตามกรดยูริกหมอไม่ได้ตรวจให้เพราะมาก่อนนัดติดตามแนะนำควบคุมอาหารและออกกำลังกายและนัดติดตามวันที่ 29/12/2026 20/5/2026 ขูดหินปูน 19/5/2026 ติดตาม Uric Acid=10.0 TG=114 LDL=145 และมีนัดตรวจ 3/11/2026</t>
  </si>
  <si>
    <t>Kindly provide an updated result for your uric acid level in accordance with your scheduled plan 29/12/2026</t>
  </si>
  <si>
    <t>รัชพัฒน์ บรรยง</t>
  </si>
  <si>
    <t>Ratchaphat</t>
  </si>
  <si>
    <t>Banyong</t>
  </si>
  <si>
    <t>สุวาอาทิตย์ บัวละคร</t>
  </si>
  <si>
    <t>Suwaarthit</t>
  </si>
  <si>
    <t>Bualakhon</t>
  </si>
  <si>
    <t>23/7/2026 BW=97.55</t>
  </si>
  <si>
    <t>ลัน จันทะดวง</t>
  </si>
  <si>
    <t xml:space="preserve">Lan </t>
  </si>
  <si>
    <t>Jantaduang</t>
  </si>
  <si>
    <t>สุธิชาติ พลอินสา</t>
  </si>
  <si>
    <t xml:space="preserve">Suthichart  </t>
  </si>
  <si>
    <t>Polinsa</t>
  </si>
  <si>
    <r>
      <rPr>
        <sz val="11"/>
        <color theme="1"/>
        <rFont val="Calibri"/>
        <family val="2"/>
      </rPr>
      <t>ฟันผุุ #</t>
    </r>
    <r>
      <rPr>
        <sz val="11"/>
        <color theme="1"/>
        <rFont val="Calibri"/>
        <family val="2"/>
      </rPr>
      <t>3</t>
    </r>
    <r>
      <rPr>
        <sz val="11"/>
        <color theme="1"/>
        <rFont val="Calibri"/>
        <family val="2"/>
      </rPr>
      <t>7,ฟันคุด#18,38,48</t>
    </r>
  </si>
  <si>
    <t>4/7/2026 อุดฟัน #37</t>
  </si>
  <si>
    <t>Please continue treatment for your remaining abnormal dental examination findings. In addition, please focus on weight reduction.</t>
  </si>
  <si>
    <t>อับบัส ภักดีเจริญ</t>
  </si>
  <si>
    <t xml:space="preserve">Abbas </t>
  </si>
  <si>
    <t>Pakdeechareon</t>
  </si>
  <si>
    <t>อุดคอฟัน #44</t>
  </si>
  <si>
    <t>27/4/2026 อุดคอฟัน #44</t>
  </si>
  <si>
    <t>Please address the abnormal findings identified in your dental examination (teeth #44 อุดคอฟัน) before the next shift. Please adhere to a low-sugar and low-carbohydrate diet to address your elevated fasting blood sugar levels.</t>
  </si>
  <si>
    <t>ศตวรรษ ปองดี</t>
  </si>
  <si>
    <t>Sattawat</t>
  </si>
  <si>
    <t>Pongdee</t>
  </si>
  <si>
    <t>#48 รากฟันค้างในเหงือก , #38 ฟันผุ</t>
  </si>
  <si>
    <t>3/6/2026 ถอนฟัน#48</t>
  </si>
  <si>
    <t>You are also advised to closely monitor your rising blood pressure.</t>
  </si>
  <si>
    <t>พิบูลย์ ลีลา</t>
  </si>
  <si>
    <t>Piboon</t>
  </si>
  <si>
    <t>Leela</t>
  </si>
  <si>
    <t>เหงืือกอักเสบ , #18ฟันไม่ใช้งาน</t>
  </si>
  <si>
    <t>7/4/2026 LDL=123 , BP=118/65 ติดตามนัดตรวจไขมัน 11-5-2026</t>
  </si>
  <si>
    <t>Due to your rising LDL-cholesterol compared with the previous result, please follow your doctor's treatment plan more closely. Please also follow a low-sugar diet for your rising fasting blood sugar level, and control your diet to reduce your slightly elevated uric acid level. Please address the abnormal findings from your dental examination. Kindly provide an update on your LDL-cholesterol within the next 3 months.</t>
  </si>
  <si>
    <t>นันทวุธ โพธิราช</t>
  </si>
  <si>
    <t>Nanthawat</t>
  </si>
  <si>
    <t>Paotirach</t>
  </si>
  <si>
    <r>
      <rPr>
        <sz val="12"/>
        <color theme="1"/>
        <rFont val="Calibri"/>
        <family val="2"/>
      </rPr>
      <t xml:space="preserve">ถอนฟันคุด </t>
    </r>
    <r>
      <rPr>
        <sz val="12"/>
        <color theme="1"/>
        <rFont val="Calibri"/>
        <family val="2"/>
      </rPr>
      <t>#</t>
    </r>
    <r>
      <rPr>
        <sz val="12"/>
        <color theme="1"/>
        <rFont val="Calibri"/>
        <family val="2"/>
      </rPr>
      <t>38,48, ขูดหินปูน</t>
    </r>
  </si>
  <si>
    <t>5/3/26 ขูดหินปูน,2/3/26 ความดัน134/81</t>
  </si>
  <si>
    <t>Please address the abnormal findings from your dental examination as plan.</t>
  </si>
  <si>
    <t>ชูชัย ชูช่วย</t>
  </si>
  <si>
    <t>Choochai</t>
  </si>
  <si>
    <t>Choochouy</t>
  </si>
  <si>
    <r>
      <rPr>
        <sz val="11"/>
        <color theme="1"/>
        <rFont val="Calibri"/>
        <family val="2"/>
      </rPr>
      <t>อุดฟันสึก #28,</t>
    </r>
    <r>
      <rPr>
        <sz val="11"/>
        <color theme="1"/>
        <rFont val="Calibri"/>
        <family val="2"/>
      </rPr>
      <t>16,26</t>
    </r>
    <r>
      <rPr>
        <sz val="11"/>
        <color theme="1"/>
        <rFont val="Calibri"/>
        <family val="2"/>
      </rPr>
      <t>,45,46 , ขูดหินปูน</t>
    </r>
  </si>
  <si>
    <t xml:space="preserve">3/6/2026 LDL=144 11/4/26 อุดฟัน#26 , 12/3/2026 อุดฟัน#16 </t>
  </si>
  <si>
    <t>Please continue treatment for your hyperlipidemia with your doctor and address the abnormal findings from your dental examination (dental abrasion at teeth 28, 45, and 46).</t>
  </si>
  <si>
    <t>สมหมาย สมฤทธิ์</t>
  </si>
  <si>
    <t xml:space="preserve">Sommay </t>
  </si>
  <si>
    <t>Somrit</t>
  </si>
  <si>
    <t>ฟันผุลึึก #14,15,16,24,26 , เหงือกอักเสบ , รากฟันค้างในเหงือก #17</t>
  </si>
  <si>
    <t>23/5/2026 ขูดหินปูน 31/3/2026 ถอนฟัน#17</t>
  </si>
  <si>
    <t>เอกสิทธิ  ทิมรัตน์</t>
  </si>
  <si>
    <t xml:space="preserve">Aekasit  </t>
  </si>
  <si>
    <t xml:space="preserve">Thimrat  </t>
  </si>
  <si>
    <t>เหงือกอักเสบ , #18 ฟันไม่มีคู่สบ</t>
  </si>
  <si>
    <t>พลากร  จันทรังษี</t>
  </si>
  <si>
    <t>Phalakorn</t>
  </si>
  <si>
    <t xml:space="preserve">Jantarangsri </t>
  </si>
  <si>
    <t>Please adhere to a low-sugar and low-carbohydrate diet to address your elevated fasting blood sugar levels. Additionally, address the abnormal findings from your dental examination (gingivitis).</t>
  </si>
  <si>
    <t>อดิศักดิ์  มุตรผา</t>
  </si>
  <si>
    <t xml:space="preserve">Adisak </t>
  </si>
  <si>
    <t>พบเงาปอดขวากลีบล่าง</t>
  </si>
  <si>
    <t xml:space="preserve">13/5/2026 ความดันโลหิต=131/88 9/5/2026ขูดหินปูน </t>
  </si>
  <si>
    <t>พงศ์ศิริ สมัครพงศ์</t>
  </si>
  <si>
    <t xml:space="preserve">Pongsiri </t>
  </si>
  <si>
    <t xml:space="preserve">Samakpong </t>
  </si>
  <si>
    <t xml:space="preserve">ฟันผุลึก#48,  หินปูน, ถอนฟันคุด #18, ผ่าฟันคุด#38 </t>
  </si>
  <si>
    <t>7/8/2026 TG=285 LDL=137 BP=137/89 BW=91 28/5/2026 ผ่าฟันคุด#38 น้ำหนักตัว=93 26/5/2026 TG=313 LDL=150</t>
  </si>
  <si>
    <t>Please continue to reduce your weight, and consult an Internal Medicine specialist regarding your rising triglyceride result. Kindly provide an update on your triglyceride level within the next 3 months.</t>
  </si>
  <si>
    <t>อิสสะ ใหญ่ลา</t>
  </si>
  <si>
    <t xml:space="preserve">Issa     </t>
  </si>
  <si>
    <t xml:space="preserve">Yaila </t>
  </si>
  <si>
    <t>พังผืดที่ปอดขวากลีบล่าง</t>
  </si>
  <si>
    <r>
      <rPr>
        <sz val="11"/>
        <color theme="1"/>
        <rFont val="Calibri"/>
        <family val="2"/>
      </rPr>
      <t>#11, 17, 12, 25, 28 ฟันผุไม่เร่งด่วน , #36,46,</t>
    </r>
    <r>
      <rPr>
        <sz val="11"/>
        <color theme="1"/>
        <rFont val="Calibri"/>
        <family val="2"/>
      </rPr>
      <t>47</t>
    </r>
    <r>
      <rPr>
        <sz val="11"/>
        <color theme="1"/>
        <rFont val="Calibri"/>
        <family val="2"/>
      </rPr>
      <t xml:space="preserve"> ฟันผุลึก</t>
    </r>
  </si>
  <si>
    <t>10/3/2026 ถอนฟัน#36 14/1/2026 ถอนฟัน #46</t>
  </si>
  <si>
    <t>Please continue receiving dental treatment by filling for the remaining abnormal teeth ( #17, #25, #28, #11, #12)</t>
  </si>
  <si>
    <t>เอนก ตาทิพย์</t>
  </si>
  <si>
    <t xml:space="preserve">Anek </t>
  </si>
  <si>
    <t>Tathip</t>
  </si>
  <si>
    <t>ฟันสึก #14,46,47</t>
  </si>
  <si>
    <t>25/4/2026 อุดฟัน #46,47</t>
  </si>
  <si>
    <t>Please consult an endocrinologist for assistance with weight reduction. Kindly provide updates on your body weight in 6 months. (Please note that for offshore work at CTEP, only individuals with a BMI less than 35 are accepted.)</t>
  </si>
  <si>
    <t>อภิลักษณ์ คล้อยเอี่ยม</t>
  </si>
  <si>
    <t>Apiluk</t>
  </si>
  <si>
    <t>Kloyiam</t>
  </si>
  <si>
    <t>Mechanical</t>
  </si>
  <si>
    <t>Maintenance &amp; Equipment</t>
  </si>
  <si>
    <t>มีโปรตีนในปัสสาวะ</t>
  </si>
  <si>
    <t>ฟันผุ#28</t>
  </si>
  <si>
    <t>18/7/2026 BMI=32.9 5/2/2026 ถอนฟัน#27 ,BP=126/88 ,TG=178 ,Weight=93.5  27/11/2025 #28 ถอนฟัน</t>
  </si>
  <si>
    <t>Please consult an endocrinologist for assistance with weight reduction levels. Kindly provide updates on your body weight in 3 months. (For offshore work at CTEP, only individuals with a BMI less than 35 are accepted.)</t>
  </si>
  <si>
    <t>สุวัฒน์ชัย งูเขียว</t>
  </si>
  <si>
    <t xml:space="preserve">Suwatchai </t>
  </si>
  <si>
    <t>Ngukhiew</t>
  </si>
  <si>
    <t>Maintenance&amp;EQ</t>
  </si>
  <si>
    <t>Blood=Trace</t>
  </si>
  <si>
    <t>สุริยา เกลี้ยงคำหมอ</t>
  </si>
  <si>
    <t>Kleangkummor</t>
  </si>
  <si>
    <t>พบจุดผิดปกติปอดซ้านล่าง</t>
  </si>
  <si>
    <t>20-7-2026 ได้ติดตามไขมัน Cholesterol=209 , LDL=151  ,uoyf 12/10/2026</t>
  </si>
  <si>
    <t>Please continue treatment for your hyperlipidemia with your specialist.</t>
  </si>
  <si>
    <t>บุญทัน อุดทา</t>
  </si>
  <si>
    <t>Boonthan</t>
  </si>
  <si>
    <t>Udtha</t>
  </si>
  <si>
    <t>IE Foreman</t>
  </si>
  <si>
    <t>7/7/2026 ขูดหินปูน</t>
  </si>
  <si>
    <t>Please consult an internal medicine specialist regarding your elevated LDL cholesterol level and take appropriate measures to reduce your body weight. Please continue treatment and regular follow-up for your hypertension with your treating physician. Kindly provide an update on your LDL cholesterol level within the next 3 months for further review.</t>
  </si>
  <si>
    <t>นิพนธ์  ดิเรกศรี</t>
  </si>
  <si>
    <t xml:space="preserve">Niphon </t>
  </si>
  <si>
    <t>Direksri</t>
  </si>
  <si>
    <t>Blood=2+</t>
  </si>
  <si>
    <t>เหงือกอักเสบ , #34,46 ฟันโยก</t>
  </si>
  <si>
    <t>22/7/2026 ทำฟัน #34,46 20/6/2026 ติดตามค่าปัสสาวะและมียาลดไขมัน นัดตรวจไขมัน 27-10-2026</t>
  </si>
  <si>
    <t xml:space="preserve">Please consult an internal medicine specialist regarding your elevated LDL cholesterol level. Weight reduction and dietary modifications are also strongly recommended to help manage your high uric acid level.
Please provide an update on your LDL cholesterol level within the next 3 months.
</t>
  </si>
  <si>
    <t>ชิดชัย เทพศิลา</t>
  </si>
  <si>
    <t>Chitchai</t>
  </si>
  <si>
    <t>Thepsila</t>
  </si>
  <si>
    <t>มีหินปูน , #26คอฟันสึก</t>
  </si>
  <si>
    <t>5/7/2026 ขุดหินปูนและขัดฟัน , อุดฟัน#26</t>
  </si>
  <si>
    <t>กฤษดา นามพล</t>
  </si>
  <si>
    <t>Krissada</t>
  </si>
  <si>
    <t>Nampol</t>
  </si>
  <si>
    <t>เหงือกอักเสบ , #18,28 ฟันไม่มีคู่สบ</t>
  </si>
  <si>
    <t xml:space="preserve">
</t>
  </si>
  <si>
    <t>22/6/2026 ความดันโลหิต 125/89 LDL=132 SGOT=36 SGPT=120 19/6/2026 ถอนฟันคุด#18  12/5/2026 ขุดหินปูน</t>
  </si>
  <si>
    <t>วรรชัย บุญวาล</t>
  </si>
  <si>
    <t>Wanchai</t>
  </si>
  <si>
    <t>Boonval</t>
  </si>
  <si>
    <t>ลายปอดหนาตัวที่ปอดขวากลีบบน</t>
  </si>
  <si>
    <t>22/3/2026 เอกซเรย์ปอด=ปกติ 18/3/2026 ขูดหินน้ำลายและขัดฟัน</t>
  </si>
  <si>
    <t>นิระพงษ์ ไชยสุระ</t>
  </si>
  <si>
    <t>Nirapong</t>
  </si>
  <si>
    <t>Chaisura</t>
  </si>
  <si>
    <r>
      <rPr>
        <sz val="11"/>
        <color theme="1"/>
        <rFont val="Calibri"/>
        <family val="2"/>
      </rPr>
      <t>#25,</t>
    </r>
    <r>
      <rPr>
        <sz val="11"/>
        <color rgb="FF0000FF"/>
        <rFont val="Calibri"/>
        <family val="2"/>
      </rPr>
      <t>26</t>
    </r>
    <r>
      <rPr>
        <sz val="11"/>
        <color theme="1"/>
        <rFont val="Calibri"/>
        <family val="2"/>
      </rPr>
      <t xml:space="preserve">เหงือกอักเสบรุนแรง , </t>
    </r>
    <r>
      <rPr>
        <sz val="11"/>
        <color rgb="FF0000FF"/>
        <rFont val="Calibri"/>
        <family val="2"/>
      </rPr>
      <t>#37</t>
    </r>
    <r>
      <rPr>
        <sz val="11"/>
        <color theme="1"/>
        <rFont val="Calibri"/>
        <family val="2"/>
      </rPr>
      <t>,47 ผุ</t>
    </r>
  </si>
  <si>
    <t>23/10/2025 อุดฟัน#37 13/9/2025 ทำฟัน#26</t>
  </si>
  <si>
    <t>ผล Unfit อยู่ แก้ฟันก่อน แผลนลงงาน 13/7 ขึ้น 11/8</t>
  </si>
  <si>
    <t>ชาญรงค์ วันดีวงศ์</t>
  </si>
  <si>
    <t>Chanrong</t>
  </si>
  <si>
    <t>Wandeewong</t>
  </si>
  <si>
    <t>ฟันสึก #36,35,23,26 และเหงือกอักเสบ</t>
  </si>
  <si>
    <t>21-7-2026 อุดฟัน #25,32,33,35</t>
  </si>
  <si>
    <t>Please address the abnormal findings from your dental examination (#36,26) before the next shift. Please control your diet to decrease your slightly elevated uric acid levels.</t>
  </si>
  <si>
    <t>กฤษณะ เขียวสด</t>
  </si>
  <si>
    <t>Kitsana</t>
  </si>
  <si>
    <t>Kiewsod</t>
  </si>
  <si>
    <t>6/2/2025 กรดยูริก=7.7 , TG=119 , LDL=150</t>
  </si>
  <si>
    <t>Hyperlipidemia, Hyperuricemia, Epididymoorchitis (Rt.)</t>
  </si>
  <si>
    <t>มานิตย์ สังกลมเกลี้ยง</t>
  </si>
  <si>
    <t>Sangklomkliang</t>
  </si>
  <si>
    <t>Overweight, Hyperuricemia</t>
  </si>
  <si>
    <t>มีสารคีโตน 3+</t>
  </si>
  <si>
    <t>19/11/2025 Uric acid = 5.7 LDL-c=146</t>
  </si>
  <si>
    <t xml:space="preserve">Please consider reducing your weight. </t>
  </si>
  <si>
    <t>ลง10/8 ขึ้น 6/9</t>
  </si>
  <si>
    <t>สำลี ดีโท</t>
  </si>
  <si>
    <t>Samli</t>
  </si>
  <si>
    <t>Ditho</t>
  </si>
  <si>
    <t>#26ฟันผุ</t>
  </si>
  <si>
    <t>19/11/2025 TG=127 17/10/25 อุดฟัน#26แล้ว</t>
  </si>
  <si>
    <t>ประพันธ์ กาญจนะกันโห</t>
  </si>
  <si>
    <t>Prapun</t>
  </si>
  <si>
    <t>Kanchanakanho</t>
  </si>
  <si>
    <t>เหงืออักเสบ</t>
  </si>
  <si>
    <t xml:space="preserve">31/7/2026 TG=78 ,SGOT=49 , SGPT=37  8/7/2026 ติดตาม TG=213 ,SGOT=60 , SGPT=36  5/7/2026 ขูดหินปูน </t>
  </si>
  <si>
    <t>Please continue treatment with your doctor.</t>
  </si>
  <si>
    <t>อัมพุ นิจฉัย</t>
  </si>
  <si>
    <t>Ampu</t>
  </si>
  <si>
    <t>Nitchai</t>
  </si>
  <si>
    <t xml:space="preserve">ขุดหินปูน </t>
  </si>
  <si>
    <t>6/6/2026 TG=107 LDL=142</t>
  </si>
  <si>
    <t>Please continue your treatment for dyslipidemia with your doctor.</t>
  </si>
  <si>
    <t>ธรรมรัตน์ บัวคลี่</t>
  </si>
  <si>
    <t>Tammarat</t>
  </si>
  <si>
    <t>Bourklee</t>
  </si>
  <si>
    <t>มีหินปูน  ฟันผุซี่24</t>
  </si>
  <si>
    <t>ปกติ</t>
  </si>
  <si>
    <t>1/7/2026ิ LDL=136 FBS=93   28/3 /26 ได้รับการขูดหินปูนและอุดฟันซี่24 แล้ว</t>
  </si>
  <si>
    <t xml:space="preserve"> No additional recommendation. </t>
  </si>
  <si>
    <t>สมศักดิ์ สูบเต็ง</t>
  </si>
  <si>
    <t>Soobteng</t>
  </si>
  <si>
    <t>ฟันแตก#17 , อุดฟัน#14,16,26</t>
  </si>
  <si>
    <t xml:space="preserve">31/7/2026 อุดฟันซี่#14  22/7/2026 อุดฟัน1ซี่#17 </t>
  </si>
  <si>
    <t>Please continue to address the abnormal findings from your dental examination (teeth  16, 26) before the next shift. Please continue treatment for your hypertension and hyperlipidemia with your doctor. Please focus on weight reduction and kindly provide an updated body weight or BMI within the next six months. Note: All offshore personnel working for CTEP are required to maintain a BMI below 35.</t>
  </si>
  <si>
    <t>เฉลิมชัย เพ็ญเกตุการ</t>
  </si>
  <si>
    <t xml:space="preserve">Chalermchai </t>
  </si>
  <si>
    <t xml:space="preserve">Penketkan </t>
  </si>
  <si>
    <t>เหงือกอักเสบ , #34 ฟันสึกคอฟัน</t>
  </si>
  <si>
    <t>30/3/2026 ขูดหินปูน</t>
  </si>
  <si>
    <t xml:space="preserve">For poorly controlled triglyceride levels that have not improved with lifestyle modification alone, pharmacological treatment under the care of a specialist is recommended.
Dietary modification is also advised for elevated uric acid levels.
An update on triglyceride and uric acid levels, together with a medical certificate confirming specialist consultation, shall be provided within the next two (2) months.
Continued focus on weight reduction is required. An update on body weight or Body Mass Index (BMI) shall be provided within the next five (5) months.
Please note that all offshore workforce personnel working for CTEP are required to maintain a BMI of less than 35.
</t>
  </si>
  <si>
    <t>คณาธิป คุณารักษ์</t>
  </si>
  <si>
    <t>Khanathip</t>
  </si>
  <si>
    <t xml:space="preserve">Khunarak </t>
  </si>
  <si>
    <t>ควรพบแพทย์</t>
  </si>
  <si>
    <t>ภาณุ ทำมาคำ</t>
  </si>
  <si>
    <t>Phanu</t>
  </si>
  <si>
    <t>Thammakam</t>
  </si>
  <si>
    <t>#38 ฟันผุ , #44 คอฟันสึก #36,37,46,47 ฟันสึก</t>
  </si>
  <si>
    <t>13/6/2026 อุดฟัน#44 ถอนฟัน#38</t>
  </si>
  <si>
    <t xml:space="preserve">Please consult with an internal medicine specialist regarding your high triglycerides and uric acid levels. Additionally, it would be beneficial to reduce your weight. 
Kindly ensure that your triglyceride and uric acid levels are rechecked within the next 6 months.
</t>
  </si>
  <si>
    <t>วันทา หมิ่งหา</t>
  </si>
  <si>
    <t>Wanta</t>
  </si>
  <si>
    <t>Mingha</t>
  </si>
  <si>
    <t>#34,35,45 ฟันสึก</t>
  </si>
  <si>
    <t xml:space="preserve">Please address the abnormal findings from your dental examination (teeth 34, 35, and 45) before going offshore. Please consult an Internal Medicine specialist regarding your elevated LDL-cholesterol, triglyceride, and uric acid levels. Kindly follow the specialist's recommendations and maintain appropriate dietary and lifestyle modifications.
Please provide updated LDL-cholesterol, triglyceride, and uric acid results within the next three months for follow-up.
</t>
  </si>
  <si>
    <t>ศุภสวัสดิ์ มีสุโข</t>
  </si>
  <si>
    <t xml:space="preserve">Supasawat  </t>
  </si>
  <si>
    <t>Meesukho</t>
  </si>
  <si>
    <t>เหงือกอักเสบ , 37,47 ฟันผุ</t>
  </si>
  <si>
    <t>18/7/2026 ติดตามตรวจปัสสาวะ 14/7/2026 อุดฟัน #47 13/7/2026 อุดฟัน#37</t>
  </si>
  <si>
    <t>นิรุตติ์ โคตรปัญญา</t>
  </si>
  <si>
    <t>Nirut</t>
  </si>
  <si>
    <t>Khotpanya</t>
  </si>
  <si>
    <t>ฟัน#25 สึกคอฟัน , เหงือกอักเสบ</t>
  </si>
  <si>
    <t>2/6/2026 ขูดหินปูน และ อุดฟัน#25</t>
  </si>
  <si>
    <t>จาตุรนต์  แก้วแรมเรือน</t>
  </si>
  <si>
    <t xml:space="preserve">Jaturon  </t>
  </si>
  <si>
    <t>Kaeoraemruean</t>
  </si>
  <si>
    <t>อุดฟันซี่37</t>
  </si>
  <si>
    <t>25/5/26 น้ำหนัก 84.96 , 1/5/26 ติดตามค่าTrig=128 ,30/4/26 อุดฟัน#37</t>
  </si>
  <si>
    <t>Please continue to focus on weight reduction and kindly provide an update on your body weight or BMI within the next 6 months; please note that all offshore workforce personnel working for CTEP are required to maintain a BMI of less than 35.</t>
  </si>
  <si>
    <t>สุรเดช แสนอุบล</t>
  </si>
  <si>
    <t>Suadech</t>
  </si>
  <si>
    <t>Saenubol</t>
  </si>
  <si>
    <t>ทรงชัย มีเพียร</t>
  </si>
  <si>
    <t xml:space="preserve">Songchai </t>
  </si>
  <si>
    <t>Meepian</t>
  </si>
  <si>
    <t>ฟันผุ#28 , #48 ฟันผุไม่มีคู่สบ</t>
  </si>
  <si>
    <t>Please address the abnormal findings from your dental examination before going to offshore work. Please focus on reducing your weight</t>
  </si>
  <si>
    <t>นพดล บำรุงตา</t>
  </si>
  <si>
    <t xml:space="preserve">Noppadol </t>
  </si>
  <si>
    <t>Bumrungta</t>
  </si>
  <si>
    <t xml:space="preserve">วัสดุอุดฟีนแตก#26, ฟันโยน#25, ฟันผุ#47,46 , ฟันคุด#38,48 </t>
  </si>
  <si>
    <t>12/6/2026 กรดยูริก=7.2 LDL=164  16/3/2026อุดฟัน#46 , 14/3/2026 Uric acid =8.5 , TG=99 , LDL-C=186 , AST=32 , ALT=27  7/11/2025 ถอนฟัน#25</t>
  </si>
  <si>
    <t xml:space="preserve">Please consult with a specialist in internal medicine due to your high LDL-cholesterol levels. Implement a controlled diet to manage your high uric acid levels. 
Within the next 3 months, ensure you track and update your LDL-cholesterol level.
</t>
  </si>
  <si>
    <t xml:space="preserve">มานิตย์   กําเนิด​ศรี​ </t>
  </si>
  <si>
    <t xml:space="preserve">Manit </t>
  </si>
  <si>
    <t>Kamnerdsri</t>
  </si>
  <si>
    <t>Left renal cyst</t>
  </si>
  <si>
    <t>ทักษิณ สุวรรณเวียง</t>
  </si>
  <si>
    <t xml:space="preserve">Thaksin </t>
  </si>
  <si>
    <t>Suwanwiang</t>
  </si>
  <si>
    <t>3/6/2026 LDL=185</t>
  </si>
  <si>
    <t>For LDL-cholesterol that remains poorly controlled despite lifestyle modifications, treatment with medication under the supervision of a specialist is recommended. Please prioritize weight reduction as part of your management plan. Kindly provide an update on your LDL-cholesterol levels and submit a medical certificate confirming specialist consultation within the next 3 months.</t>
  </si>
  <si>
    <t>สว่าง บัวเนี่ยว</t>
  </si>
  <si>
    <t xml:space="preserve">Sawang </t>
  </si>
  <si>
    <t>Baoniew</t>
  </si>
  <si>
    <t>อุดคอฟันซี่45,34</t>
  </si>
  <si>
    <t>12/1/26 อุดคอฟัน#45,34 แล้ว</t>
  </si>
  <si>
    <t>ประเสริฐ แก้วมณี</t>
  </si>
  <si>
    <t xml:space="preserve">Prasert </t>
  </si>
  <si>
    <t>Kaewmanee</t>
  </si>
  <si>
    <t xml:space="preserve">CPP Crane Assistant </t>
  </si>
  <si>
    <t>ขูดหินปูน , ฟันผุ #15,16</t>
  </si>
  <si>
    <t>24/6/2026 อุดฟัน #15,16</t>
  </si>
  <si>
    <t>ศรันย์พร บุญแสน</t>
  </si>
  <si>
    <t xml:space="preserve">Saranphon  </t>
  </si>
  <si>
    <t>#48 ฟันคุด , #12,34,35 ฟันผุ , มีหินปูน , คอบฟัน#28</t>
  </si>
  <si>
    <t>22/5/2026 อุดฟัน#34,35 15/5/2026 อุดฟัน#12,45 , ขูดหินปูน   8/5/2026 ผ่าฟันคุด #48</t>
  </si>
  <si>
    <t>Please continue appropriate dental treatment for the remaining abnormal findings identified during the dental examination.</t>
  </si>
  <si>
    <t>อดิศร  บัวทอง</t>
  </si>
  <si>
    <t xml:space="preserve">Adison </t>
  </si>
  <si>
    <t>Buathong</t>
  </si>
  <si>
    <t>CISS</t>
  </si>
  <si>
    <t>Blood=Trace , Mucous=Trace</t>
  </si>
  <si>
    <t>24/7/2026 Uric Acid=7.59 , LDL=166.6 1/5/2026 LDL=162.0</t>
  </si>
  <si>
    <t>As your LDL-cholesterol remains poorly controlled despite lifestyle modifications, treatment with medication under the supervision of a specialist is recommended. Please also control your diet to help reduce your elevated uric acid level noted in the previous result. Kindly update your LDL-cholesterol within the next 3 months.</t>
  </si>
  <si>
    <t>สหรัฐ เกตุแก้ว</t>
  </si>
  <si>
    <t xml:space="preserve">Saharat  </t>
  </si>
  <si>
    <t>Kedkeaw</t>
  </si>
  <si>
    <t>พบฟันผุลึก#23 , พบรากฟันค้างในเหงือก #18,28 , ควรอุด #13,11,21</t>
  </si>
  <si>
    <t>28/4/2026 รักษารากฟัน#23  24/3/2026 อุดฟัน #13 , 11</t>
  </si>
  <si>
    <t>Please continue appropriate dental treatment for the remaining abnormal findings identified during the dental examination. Additionally, please consult an internal medicine specialist regarding elevated LDL cholesterol and provide an updated LDL cholesterol result within the next 3 months.</t>
  </si>
  <si>
    <t>ธนวัฒน์ อินวงศ์</t>
  </si>
  <si>
    <t>Tanawat</t>
  </si>
  <si>
    <t>Ainwong</t>
  </si>
  <si>
    <t>ซี่36, 46 คอฟันสึก</t>
  </si>
  <si>
    <r>
      <rPr>
        <sz val="11"/>
        <color theme="1"/>
        <rFont val="Arial"/>
        <family val="2"/>
      </rPr>
      <t>18/5/2026 TG=72 , LDL=105</t>
    </r>
    <r>
      <rPr>
        <sz val="11"/>
        <color rgb="FFFF0000"/>
        <rFont val="Arial"/>
        <family val="2"/>
      </rPr>
      <t xml:space="preserve"> </t>
    </r>
    <r>
      <rPr>
        <sz val="11"/>
        <color theme="1"/>
        <rFont val="Arial"/>
        <family val="2"/>
      </rPr>
      <t xml:space="preserve"> 17/3/2026 BP=122/79 , อุดฟัน #36,46 , FBS=98 , เอ็กซเรย์=ปกติ</t>
    </r>
  </si>
  <si>
    <t>New SSE</t>
  </si>
  <si>
    <t>กฤษฎา แก้วก่า</t>
  </si>
  <si>
    <t xml:space="preserve">Kritsada    </t>
  </si>
  <si>
    <t>Kaewka</t>
  </si>
  <si>
    <t>Please address the abnormal findings from your dental examination.</t>
  </si>
  <si>
    <t>อานัส บินดุเหล็ม</t>
  </si>
  <si>
    <t xml:space="preserve">Anas </t>
  </si>
  <si>
    <t>Bindulem</t>
  </si>
  <si>
    <t>Please follow up chest x-ray by yearly.</t>
  </si>
  <si>
    <t>ธีรวุฒิ ก่งเซ่ง</t>
  </si>
  <si>
    <t xml:space="preserve">Terawut </t>
  </si>
  <si>
    <t>kongseng</t>
  </si>
  <si>
    <t>Blood2+</t>
  </si>
  <si>
    <r>
      <rPr>
        <sz val="11"/>
        <color theme="1"/>
        <rFont val="Calibri"/>
        <family val="2"/>
      </rPr>
      <t>ฟันผุลึก #17</t>
    </r>
    <r>
      <rPr>
        <sz val="11"/>
        <color theme="1"/>
        <rFont val="Calibri"/>
        <family val="2"/>
      </rPr>
      <t>,26 , มีหินปูน</t>
    </r>
    <r>
      <rPr>
        <sz val="11"/>
        <color theme="1"/>
        <rFont val="Calibri"/>
        <family val="2"/>
      </rPr>
      <t xml:space="preserve"> ,  อุดฟัน # 12,28,33,34,35,43,44,46,47</t>
    </r>
  </si>
  <si>
    <t>20/4/2026 ได้รับการอุดฟันซี่ที่#12, 16/4/2026ปัสสาวะUAปกติ 8/4/2026 ขูดหินปูน , #26 ถอนฟัน</t>
  </si>
  <si>
    <t>ชัยนิวัฒน์  ปรีชา</t>
  </si>
  <si>
    <t xml:space="preserve">Chainiwat </t>
  </si>
  <si>
    <t>Pricha</t>
  </si>
  <si>
    <t>ฟันคุด#48  , หินปูน</t>
  </si>
  <si>
    <t>วันชัย สุพิน</t>
  </si>
  <si>
    <t>Supin</t>
  </si>
  <si>
    <t xml:space="preserve">SRWA Vessel </t>
  </si>
  <si>
    <t>ศิริชัย  โพธิ์ศรี</t>
  </si>
  <si>
    <t>Phosri</t>
  </si>
  <si>
    <t>#28 ฟันผุทะลุโพรงประสาทฟัน, 37 ฟันผุ , เหงือกอักเสบ</t>
  </si>
  <si>
    <t>15/7/2026 ติดตามความดันโลหิต 128/83 18/5/2026 ติดตามรักษษาความดันและนัดตรวจ16/6/2026 , 9/5/2026 ถอนฟัร#28</t>
  </si>
  <si>
    <t>Please continue treatment for your hypertension with your treating physician, and consult an Internal Medicine specialist for your hyperuricemia. Please also focus on weight reduction. Kindly provide updates on your uric acid level and blood pressure within the next 3 months.</t>
  </si>
  <si>
    <t>ทักษิณา  จิตกำเนิด</t>
  </si>
  <si>
    <t xml:space="preserve">Taksina  </t>
  </si>
  <si>
    <t>Chitkamnoet</t>
  </si>
  <si>
    <t xml:space="preserve"> #15ผุ , มีหินปูน</t>
  </si>
  <si>
    <t>31/7/2026 LDL=175.2 , TG=179 , SGOT=24 , SGPT=49 10/6/2026 อุดฟัน #15</t>
  </si>
  <si>
    <t>Please continue treatment for your hyperlipidemia with your doctor. Kindly provide an update on your LDL-cholesterol within the next 3 months.</t>
  </si>
  <si>
    <t>สมศักดิ์ พลประเสริฐ</t>
  </si>
  <si>
    <t xml:space="preserve">Somsak </t>
  </si>
  <si>
    <t>Polprasert</t>
  </si>
  <si>
    <t>พบ กระดูกสันหลังระดับอกคตไปทางขวาเล็กน้อย</t>
  </si>
  <si>
    <r>
      <rPr>
        <sz val="11"/>
        <color rgb="FFFF0000"/>
        <rFont val="Calibri"/>
        <family val="2"/>
      </rPr>
      <t xml:space="preserve">30-7-2026  Uric acid = 6.8 BP=129/84 มีนัดติดตาม 19/11/2026   </t>
    </r>
    <r>
      <rPr>
        <sz val="11"/>
        <color theme="1"/>
        <rFont val="Calibri"/>
        <family val="2"/>
      </rPr>
      <t>5/5/2026 กรดยูริค=8.2 , ความดันโลหิต=120/84  16/3/26 ติดตามค่าความดัน=126/89 ค่าไตรกรี126 ค่าUricAcid=7.8 ได้รับยาลดยูริก และมีนัดติดตามอีกครั้ง11/05/69</t>
    </r>
  </si>
  <si>
    <t>Please continue your treatment for hyperlipidemia, hyperuricemia, and abnormal liver function test with your doctor, with greater focus on your significantly rising triglyceride level.</t>
  </si>
  <si>
    <t>นิพิฐพนธ์ เขื่อนใจ</t>
  </si>
  <si>
    <t>Nipitpon</t>
  </si>
  <si>
    <t>บัญชา วันเพ็ง</t>
  </si>
  <si>
    <t xml:space="preserve">Bancha  </t>
  </si>
  <si>
    <t>Wanpeng</t>
  </si>
  <si>
    <t>ฉัตรวัชระวิทย์ ไชยกัน</t>
  </si>
  <si>
    <t xml:space="preserve">Chatwatcharawit </t>
  </si>
  <si>
    <t>Chaiyakun</t>
  </si>
  <si>
    <r>
      <rPr>
        <sz val="11"/>
        <color theme="1"/>
        <rFont val="Arial"/>
        <family val="2"/>
      </rPr>
      <t xml:space="preserve">ฟันผุลึก#26,36,46, อุดฟัน#21,22, ผ่าฟันคุด #38,48, </t>
    </r>
    <r>
      <rPr>
        <sz val="11"/>
        <color rgb="FF0000FF"/>
        <rFont val="Arial"/>
        <family val="2"/>
      </rPr>
      <t>ขุดหินปูน</t>
    </r>
  </si>
  <si>
    <t>16/6/2026 ถอนฟัน#46 12/4/2026 ถอนฟัน#36 5/2/2026 ขูดหินปูน</t>
  </si>
  <si>
    <t>Please focus on weight reduction and continue treatment for your remaining abnormal dental findings.</t>
  </si>
  <si>
    <t>ธนภาค อันตรเสน</t>
  </si>
  <si>
    <t xml:space="preserve">Thanaphak </t>
  </si>
  <si>
    <t>Antarasena</t>
  </si>
  <si>
    <t>ฟันคุด #38,48</t>
  </si>
  <si>
    <t>กันตยศ เย็นรักษา</t>
  </si>
  <si>
    <t xml:space="preserve">Kantayot  </t>
  </si>
  <si>
    <t>Yanraksa</t>
  </si>
  <si>
    <t>ฟันปลอม (1L)</t>
  </si>
  <si>
    <t>13/5/2026 TG = 111 , Uric acid=8.1 , Body weight=91</t>
  </si>
  <si>
    <t>อิทธิพัทธ์ มุ่งโนนบ่อ</t>
  </si>
  <si>
    <t xml:space="preserve">Aitthiphat </t>
  </si>
  <si>
    <t>Mungnonbor</t>
  </si>
  <si>
    <t>10/5/26 LDL=101.3 ,UricAcid=6.79</t>
  </si>
  <si>
    <t>Please continue treatment for hyperlipidemia with your doctor and continue efforts toward weight reduction.</t>
  </si>
  <si>
    <t>ต่วนโซ๊ะ โตะรายอ</t>
  </si>
  <si>
    <t xml:space="preserve">Tuansoh  </t>
  </si>
  <si>
    <t>Tohrayo</t>
  </si>
  <si>
    <t>ควรอุดฟัน #37 , 46</t>
  </si>
  <si>
    <t>3/8/2026 LDL=109 4/6/2026 LDL=180 1/4/2026 PB=126/71 9/2/2026 อุดฟัน#37 LDL=190</t>
  </si>
  <si>
    <t>Please continue your treatment for hyperlipidemia in line with your specialist's recommendations and maintain your follow-up care for the best results.</t>
  </si>
  <si>
    <t>ปฎิพัทธ์  ทองเรือง</t>
  </si>
  <si>
    <t xml:space="preserve">Patipat  </t>
  </si>
  <si>
    <t>Thongruang</t>
  </si>
  <si>
    <t>18/6/2026 ทำฟันเหงือกอักเสบ</t>
  </si>
  <si>
    <t>ธีรภัทร์ ตาเมือง</t>
  </si>
  <si>
    <t>Teerapat</t>
  </si>
  <si>
    <t>Tamuang</t>
  </si>
  <si>
    <r>
      <rPr>
        <sz val="11"/>
        <color theme="1"/>
        <rFont val="Arial"/>
        <family val="2"/>
      </rPr>
      <t>เหงือกอักเสบ , #</t>
    </r>
    <r>
      <rPr>
        <sz val="11"/>
        <color rgb="FF0000FF"/>
        <rFont val="Arial"/>
        <family val="2"/>
      </rPr>
      <t>38</t>
    </r>
    <r>
      <rPr>
        <sz val="11"/>
        <color theme="1"/>
        <rFont val="Arial"/>
        <family val="2"/>
      </rPr>
      <t>,48ฟันคุด</t>
    </r>
  </si>
  <si>
    <t>4/8/2026 LDL=170 , Uric Acid=8.3  4/6/26 ทำฟัน ซี่38</t>
  </si>
  <si>
    <t>Please follow your specialist's recommendations regarding your elevated LDL-cholesterol and uric acid levels. If lifestyle changes do not bring your levels under control, medication may be recommended. Make sure to track and update your LDL-cholesterol, and uric acid levels within the next 3 months. Additionally, please address the abnormal findings from your dental examination (48 impacted tooth and gingivitis).</t>
  </si>
  <si>
    <t>อภิวัฒน์ จันทะคัต</t>
  </si>
  <si>
    <t>Aphiwat</t>
  </si>
  <si>
    <t>Chantacad</t>
  </si>
  <si>
    <t>ฟันผุลึก#14 และฟันผุ#17,27,37,47 , ฟันคุด#38 , ฟันไม่มีคู่สบ #18 , เหงือกอักเสบ</t>
  </si>
  <si>
    <t>5/8/2026 อุดฟัน #14</t>
  </si>
  <si>
    <t>Please address the abnormal findings related to dental caries (ฟันผุ#17,27,37,47, ฟันผุและฟันไม่มีคู่สบ #18) before the next shift. Ensure that you have no toothache or any dental symptoms before going offshore.</t>
  </si>
  <si>
    <t>สถาพร ทองอุ่น</t>
  </si>
  <si>
    <t>Sathaporn</t>
  </si>
  <si>
    <t>Thongaun</t>
  </si>
  <si>
    <t>Mucous = Trace</t>
  </si>
  <si>
    <t>Please consult an internal medicine specialist due to your high creatinine (Cr), high triglyceride, high uric acid and abnormal urine test . Ensure to update your creatinine, triglyceride, uric and urine results in the next 3 months.</t>
  </si>
  <si>
    <t>อัมพร มะลิสาร</t>
  </si>
  <si>
    <t>Amphon</t>
  </si>
  <si>
    <t>Malisan</t>
  </si>
  <si>
    <t>5/6/2026 อุดฟัน#47</t>
  </si>
  <si>
    <t>ปัน วงษา</t>
  </si>
  <si>
    <t>Pan</t>
  </si>
  <si>
    <t>Blood3+</t>
  </si>
  <si>
    <t>Please continue treatment for your diabetes, hyperlipidemia, and hypertension with your doctor, with greater focus on your very high LDL-cholesterol, and follow your specialist's treatment plan. Please also focus on weight reduction. Kindly provide an update on your LDL-cholesterol and BMI within the next 3 months.</t>
  </si>
  <si>
    <t>สำรวย ปู่โว</t>
  </si>
  <si>
    <t>Samruai</t>
  </si>
  <si>
    <t>Puvo</t>
  </si>
  <si>
    <t>#16 ฟันแตก</t>
  </si>
  <si>
    <t>22/6/2026 LDL=151 TG=142 น้ำหนัก=73.5 4/5/2026 อุดฟัน#16</t>
  </si>
  <si>
    <t>จีรวัฒน์ เสือสว่าง</t>
  </si>
  <si>
    <t xml:space="preserve">Jerawat </t>
  </si>
  <si>
    <t>Suasavang</t>
  </si>
  <si>
    <t>พชรพล สุวรรณะ</t>
  </si>
  <si>
    <t xml:space="preserve">Pacharapon </t>
  </si>
  <si>
    <t>Suwanna</t>
  </si>
  <si>
    <t>25/7/2026 ขุดหินปูน</t>
  </si>
  <si>
    <t>Significant health risk (Color blindness)</t>
  </si>
  <si>
    <t>Due to color blindness (Red-Green color blindness), you should refrain from tasks that require accurate color differentiation.</t>
  </si>
  <si>
    <t>ศิวกร  โสมโสดา</t>
  </si>
  <si>
    <t xml:space="preserve">Siwakorn </t>
  </si>
  <si>
    <t>Somsoda</t>
  </si>
  <si>
    <t>อุดฟัน # 22</t>
  </si>
  <si>
    <t>25/7/2026 อุดฟัน #22</t>
  </si>
  <si>
    <t>Please also focus on reducing your weight.</t>
  </si>
  <si>
    <t>โชคชัย รัตนะคำ</t>
  </si>
  <si>
    <t xml:space="preserve">Chokchai </t>
  </si>
  <si>
    <t>Rattanakham</t>
  </si>
  <si>
    <t>Crane Operator Class A</t>
  </si>
  <si>
    <t>หินปูน , ถอนฟัน#28 , ฟันคุด#48</t>
  </si>
  <si>
    <t>1/8/20026 ขุดหินปูน</t>
  </si>
  <si>
    <t xml:space="preserve">Please address the remaining abnormal findings from your dental examination before going offshore. Please also consult an Endocrinologist for assistance with weight reduction, high triglyceride, and high uric acid levels. Kindly provide updates on your body weight, triglyceride level, uric acid level, and dental treatment within the next three months.
Note: For offshore work at CTEP, only individuals with a BMI of less than 35 are accepted.
</t>
  </si>
  <si>
    <t>ณัฐวัตร ลาภอร่าม</t>
  </si>
  <si>
    <t xml:space="preserve">Nathawat </t>
  </si>
  <si>
    <t>Larbaram</t>
  </si>
  <si>
    <t>Junior Technologist</t>
  </si>
  <si>
    <t>ชื่อและนามสกุลภาษาไทย</t>
  </si>
  <si>
    <t>ชื่อภาษาอังกฤษ</t>
  </si>
  <si>
    <t>นามสกุลภาษาอังกฤษ</t>
  </si>
  <si>
    <t xml:space="preserve">บริษัท 
</t>
  </si>
  <si>
    <t xml:space="preserve">สถานที่ทำงานในพื้นที่เชฟรอน 
</t>
  </si>
  <si>
    <t>วัน เดือน ปี เกิด</t>
  </si>
  <si>
    <t>อายุ (ปี)</t>
  </si>
  <si>
    <t xml:space="preserve">โรคประจำตัว </t>
  </si>
  <si>
    <t>วันที่ตรวจร่างกาย</t>
  </si>
  <si>
    <t>น้ำหนัก</t>
  </si>
  <si>
    <t>ดัชนีมวลกาย</t>
  </si>
  <si>
    <t>ความดันตัวบน</t>
  </si>
  <si>
    <t>ความดันตัวล่าง</t>
  </si>
  <si>
    <t>ความเข้มข้นของเลือด (%)</t>
  </si>
  <si>
    <t>ผลการตรวจปัสสาวะ</t>
  </si>
  <si>
    <t>น้ำตาลในเลือด</t>
  </si>
  <si>
    <t>ไขมันไม่ดี</t>
  </si>
  <si>
    <t>ไขมันไตรกลีเซอไรด์</t>
  </si>
  <si>
    <t>เอ็นไซม์ตับ SGOT (AST)</t>
  </si>
  <si>
    <t>เอ็นไซม์ตับ 
SGPT (ALT)</t>
  </si>
  <si>
    <t>กรดยูริค
Uric acid</t>
  </si>
  <si>
    <t>คลื่นไฟฟ้าหัวใจ
Electrocardiogram (EKG, ECG)</t>
  </si>
  <si>
    <t>เอ็กซ์เรย์ปอด
Chest x-ray</t>
  </si>
  <si>
    <t>ผลตรวจฟัน
Dental examination result</t>
  </si>
  <si>
    <t xml:space="preserve">
หมายเหตุ
Note</t>
  </si>
  <si>
    <t>ส่วนสูง (เซนติเมตร)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</si>
</sst>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dd&quot;-&quot;mmm&quot;-&quot;yyyy"/>
    <numFmt numFmtId="165" formatCode="[$-409]dd\-mmm\-yy"/>
    <numFmt numFmtId="166" formatCode="[$-409]dd\-mmm\-yyyy"/>
    <numFmt numFmtId="167" formatCode="0.0"/>
    <numFmt numFmtId="168" formatCode="dd/mm/yyyy"/>
    <numFmt numFmtId="169" formatCode="d\-mmm\-yyyy"/>
    <numFmt numFmtId="170" formatCode="m/d/yyyy"/>
    <numFmt numFmtId="171" formatCode="d/m/yy"/>
    <numFmt numFmtId="172" formatCode="dd\-mmm\-yyyy"/>
  </numFmts>
  <fonts count="32">
    <font>
      <sz val="11"/>
      <color rgb="FF000000"/>
      <name val="Arial"/>
      <scheme val="minor"/>
    </font>
    <font>
      <sz val="11"/>
      <color theme="1"/>
      <name val="Calibri"/>
      <family val="2"/>
    </font>
    <font>
      <sz val="10"/>
      <color theme="1"/>
      <name val="Calibri"/>
      <family val="2"/>
    </font>
    <font>
      <b/>
      <sz val="10"/>
      <color theme="1"/>
      <name val="Calibri"/>
      <family val="2"/>
    </font>
    <font>
      <sz val="11"/>
      <color rgb="FF0000FF"/>
      <name val="Calibri"/>
      <family val="2"/>
    </font>
    <font>
      <sz val="10"/>
      <color rgb="FF000000"/>
      <name val="Calibri"/>
      <family val="2"/>
    </font>
    <font>
      <sz val="12"/>
      <color theme="1"/>
      <name val="Calibri"/>
      <family val="2"/>
    </font>
    <font>
      <sz val="12"/>
      <color rgb="FF000000"/>
      <name val="Monospace"/>
    </font>
    <font>
      <sz val="11"/>
      <color theme="1"/>
      <name val="Arial"/>
      <family val="2"/>
      <scheme val="minor"/>
    </font>
    <font>
      <sz val="11"/>
      <color theme="1"/>
      <name val="Calibri"/>
      <family val="2"/>
    </font>
    <font>
      <sz val="12"/>
      <color rgb="FF000000"/>
      <name val="Arial"/>
      <family val="2"/>
    </font>
    <font>
      <sz val="11"/>
      <color rgb="FF000000"/>
      <name val="Calibri"/>
      <family val="2"/>
    </font>
    <font>
      <sz val="11"/>
      <color rgb="FFFF0000"/>
      <name val="Calibri"/>
      <family val="2"/>
    </font>
    <font>
      <sz val="11"/>
      <color rgb="FF242424"/>
      <name val="&quot;Aptos Narrow&quot;"/>
    </font>
    <font>
      <sz val="11"/>
      <color theme="1"/>
      <name val="&quot;Calibri&quot;"/>
    </font>
    <font>
      <sz val="11"/>
      <color rgb="FF000000"/>
      <name val="Calibri"/>
      <family val="2"/>
    </font>
    <font>
      <sz val="11"/>
      <color rgb="FF00FF00"/>
      <name val="Calibri"/>
      <family val="2"/>
    </font>
    <font>
      <b/>
      <sz val="11"/>
      <color theme="1"/>
      <name val="Calibri"/>
      <family val="2"/>
    </font>
    <font>
      <sz val="11"/>
      <color rgb="FF9900FF"/>
      <name val="Calibri"/>
      <family val="2"/>
    </font>
    <font>
      <sz val="12"/>
      <color rgb="FF0000FF"/>
      <name val="Calibri"/>
      <family val="2"/>
    </font>
    <font>
      <sz val="11"/>
      <color rgb="FF000000"/>
      <name val="&quot;Calibri&quot;"/>
    </font>
    <font>
      <sz val="12"/>
      <color theme="1"/>
      <name val="Monospace"/>
    </font>
    <font>
      <sz val="11"/>
      <color rgb="FF00FFFF"/>
      <name val="Calibri"/>
      <family val="2"/>
    </font>
    <font>
      <sz val="11"/>
      <color rgb="FF00FF00"/>
      <name val="Calibri"/>
      <family val="2"/>
    </font>
    <font>
      <sz val="11"/>
      <color theme="1"/>
      <name val="Arial"/>
      <family val="2"/>
    </font>
    <font>
      <sz val="11"/>
      <color rgb="FF0000FF"/>
      <name val="Arial"/>
      <family val="2"/>
      <scheme val="minor"/>
    </font>
    <font>
      <sz val="12"/>
      <color theme="1"/>
      <name val="Arial"/>
      <family val="2"/>
      <scheme val="minor"/>
    </font>
    <font>
      <b/>
      <sz val="11"/>
      <color theme="1"/>
      <name val="Calibri"/>
      <family val="2"/>
    </font>
    <font>
      <sz val="11"/>
      <color rgb="FF000000"/>
      <name val="&quot;Arial&quot;"/>
    </font>
    <font>
      <sz val="11"/>
      <color theme="1"/>
      <name val="&quot;Arial&quot;"/>
    </font>
    <font>
      <sz val="11"/>
      <color rgb="FFFF0000"/>
      <name val="Arial"/>
      <family val="2"/>
    </font>
    <font>
      <sz val="11"/>
      <color rgb="FF0000FF"/>
      <name val="Arial"/>
      <family val="2"/>
    </font>
  </fonts>
  <fills count="12">
    <fill>
      <patternFill patternType="none"/>
    </fill>
    <fill>
      <patternFill patternType="gray125"/>
    </fill>
    <fill>
      <patternFill patternType="solid">
        <fgColor rgb="FF999999"/>
        <bgColor rgb="FF999999"/>
      </patternFill>
    </fill>
    <fill>
      <patternFill patternType="solid">
        <fgColor theme="9"/>
        <bgColor theme="9"/>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rgb="FFFF0000"/>
        <bgColor rgb="FFFF0000"/>
      </patternFill>
    </fill>
    <fill>
      <patternFill patternType="solid">
        <fgColor rgb="FFFF9900"/>
        <bgColor rgb="FFFF9900"/>
      </patternFill>
    </fill>
    <fill>
      <patternFill patternType="solid">
        <fgColor rgb="FFB7B7B7"/>
        <bgColor rgb="FFB7B7B7"/>
      </patternFill>
    </fill>
    <fill>
      <patternFill patternType="solid">
        <fgColor rgb="FF00FFFF"/>
        <bgColor rgb="FF00FFFF"/>
      </patternFill>
    </fill>
    <fill>
      <patternFill patternType="solid">
        <fgColor rgb="FFFF00FF"/>
        <bgColor rgb="FFFF00FF"/>
      </patternFill>
    </fill>
  </fills>
  <borders count="3">
    <border>
      <left/>
      <right/>
      <top/>
      <bottom/>
      <diagonal/>
    </border>
    <border>
      <left/>
      <right/>
      <top/>
      <bottom/>
      <diagonal/>
    </border>
    <border>
      <left/>
      <right/>
      <top/>
      <bottom/>
      <diagonal/>
    </border>
  </borders>
  <cellStyleXfs count="1">
    <xf numFmtId="0" fontId="0" fillId="0" borderId="0"/>
  </cellStyleXfs>
  <cellXfs count="217">
    <xf numFmtId="0" fontId="0" fillId="0" borderId="0" xfId="0"/>
    <xf numFmtId="0" fontId="1" fillId="0" borderId="0" xfId="0" applyFont="1"/>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top" wrapText="1"/>
    </xf>
    <xf numFmtId="0" fontId="1" fillId="3" borderId="1" xfId="0" applyFont="1" applyFill="1" applyBorder="1" applyAlignment="1">
      <alignment vertical="center"/>
    </xf>
    <xf numFmtId="164" fontId="2" fillId="0" borderId="0" xfId="0" applyNumberFormat="1" applyFont="1" applyAlignment="1">
      <alignment horizontal="center" vertical="center" wrapText="1"/>
    </xf>
    <xf numFmtId="165" fontId="1" fillId="0" borderId="0" xfId="0" applyNumberFormat="1" applyFont="1" applyAlignment="1">
      <alignment horizontal="center" vertical="top" wrapText="1"/>
    </xf>
    <xf numFmtId="1" fontId="1" fillId="0" borderId="0" xfId="0" applyNumberFormat="1" applyFont="1" applyAlignment="1">
      <alignment horizontal="center" vertical="top" wrapText="1"/>
    </xf>
    <xf numFmtId="166" fontId="2" fillId="0" borderId="0" xfId="0" applyNumberFormat="1" applyFont="1" applyAlignment="1">
      <alignment horizontal="center" vertical="center" wrapText="1"/>
    </xf>
    <xf numFmtId="0" fontId="1" fillId="3" borderId="1" xfId="0" applyFont="1" applyFill="1" applyBorder="1" applyAlignment="1">
      <alignment horizontal="center" vertical="center"/>
    </xf>
    <xf numFmtId="167" fontId="1" fillId="0" borderId="0" xfId="0" applyNumberFormat="1" applyFont="1" applyAlignment="1">
      <alignment horizontal="center" vertical="top" wrapText="1"/>
    </xf>
    <xf numFmtId="15" fontId="1" fillId="3" borderId="1" xfId="0" applyNumberFormat="1" applyFont="1" applyFill="1" applyBorder="1" applyAlignment="1">
      <alignment vertical="center"/>
    </xf>
    <xf numFmtId="2" fontId="1" fillId="0" borderId="0" xfId="0" applyNumberFormat="1" applyFont="1" applyAlignment="1">
      <alignment horizontal="center" vertical="top" wrapText="1"/>
    </xf>
    <xf numFmtId="0" fontId="2" fillId="2" borderId="1" xfId="0" applyFont="1" applyFill="1" applyBorder="1" applyAlignment="1">
      <alignment horizontal="center" vertical="center" wrapText="1"/>
    </xf>
    <xf numFmtId="165" fontId="1" fillId="0" borderId="0" xfId="0" applyNumberFormat="1" applyFont="1"/>
    <xf numFmtId="1" fontId="1" fillId="0" borderId="0" xfId="0" applyNumberFormat="1" applyFont="1"/>
    <xf numFmtId="167" fontId="1" fillId="0" borderId="0" xfId="0" applyNumberFormat="1" applyFont="1"/>
    <xf numFmtId="2" fontId="1" fillId="0" borderId="0" xfId="0" applyNumberFormat="1" applyFont="1"/>
    <xf numFmtId="2" fontId="1" fillId="3" borderId="1" xfId="0" applyNumberFormat="1" applyFont="1" applyFill="1" applyBorder="1" applyAlignment="1">
      <alignment vertical="center"/>
    </xf>
    <xf numFmtId="0" fontId="4" fillId="3" borderId="1" xfId="0" applyFont="1" applyFill="1" applyBorder="1" applyAlignment="1">
      <alignment vertical="center"/>
    </xf>
    <xf numFmtId="0" fontId="5" fillId="2" borderId="0" xfId="0" applyFont="1" applyFill="1" applyAlignment="1">
      <alignment horizontal="center" vertical="center" wrapText="1"/>
    </xf>
    <xf numFmtId="0" fontId="1" fillId="0" borderId="0" xfId="0" applyFont="1" applyAlignment="1">
      <alignment vertical="center"/>
    </xf>
    <xf numFmtId="14" fontId="1" fillId="3" borderId="1" xfId="0" applyNumberFormat="1" applyFont="1" applyFill="1" applyBorder="1" applyAlignment="1">
      <alignment vertical="center"/>
    </xf>
    <xf numFmtId="14" fontId="1" fillId="3" borderId="0" xfId="0" applyNumberFormat="1" applyFont="1" applyFill="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166" fontId="1" fillId="0" borderId="0" xfId="0" applyNumberFormat="1" applyFont="1" applyAlignment="1">
      <alignment vertical="center"/>
    </xf>
    <xf numFmtId="0" fontId="6" fillId="0" borderId="0" xfId="0" applyFont="1" applyAlignment="1">
      <alignment vertical="center"/>
    </xf>
    <xf numFmtId="168" fontId="1" fillId="3" borderId="0" xfId="0" applyNumberFormat="1" applyFont="1" applyFill="1" applyAlignment="1">
      <alignment vertical="center"/>
    </xf>
    <xf numFmtId="2" fontId="1" fillId="0" borderId="0" xfId="0" applyNumberFormat="1" applyFont="1" applyAlignment="1">
      <alignment vertical="center"/>
    </xf>
    <xf numFmtId="0" fontId="7" fillId="5" borderId="0" xfId="0" applyFont="1" applyFill="1" applyAlignment="1">
      <alignment horizontal="center" vertical="center"/>
    </xf>
    <xf numFmtId="0" fontId="8"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6" borderId="1" xfId="0" applyFont="1" applyFill="1" applyBorder="1"/>
    <xf numFmtId="167" fontId="1" fillId="0" borderId="0" xfId="0" applyNumberFormat="1" applyFont="1" applyAlignment="1">
      <alignment vertical="center"/>
    </xf>
    <xf numFmtId="0" fontId="1" fillId="4" borderId="1" xfId="0" applyFont="1" applyFill="1" applyBorder="1"/>
    <xf numFmtId="15" fontId="1" fillId="0" borderId="1" xfId="0" applyNumberFormat="1" applyFont="1" applyBorder="1" applyAlignment="1">
      <alignment vertical="center"/>
    </xf>
    <xf numFmtId="0" fontId="1" fillId="7" borderId="1" xfId="0" applyFont="1" applyFill="1" applyBorder="1"/>
    <xf numFmtId="1" fontId="1" fillId="6" borderId="1" xfId="0" applyNumberFormat="1" applyFont="1" applyFill="1" applyBorder="1"/>
    <xf numFmtId="168" fontId="1" fillId="0" borderId="0" xfId="0" applyNumberFormat="1" applyFont="1" applyAlignment="1">
      <alignment vertical="center"/>
    </xf>
    <xf numFmtId="1" fontId="1" fillId="4" borderId="1" xfId="0" applyNumberFormat="1" applyFont="1" applyFill="1" applyBorder="1"/>
    <xf numFmtId="1" fontId="1" fillId="7" borderId="1" xfId="0" applyNumberFormat="1" applyFont="1" applyFill="1" applyBorder="1"/>
    <xf numFmtId="2" fontId="1" fillId="0" borderId="1" xfId="0" applyNumberFormat="1" applyFont="1" applyBorder="1" applyAlignment="1">
      <alignment vertical="center"/>
    </xf>
    <xf numFmtId="14" fontId="9" fillId="0" borderId="0" xfId="0" applyNumberFormat="1" applyFont="1" applyAlignment="1">
      <alignment vertical="center"/>
    </xf>
    <xf numFmtId="0" fontId="7" fillId="5" borderId="0" xfId="0" applyFont="1" applyFill="1" applyAlignment="1">
      <alignment horizontal="center"/>
    </xf>
    <xf numFmtId="168" fontId="1" fillId="4" borderId="0" xfId="0" applyNumberFormat="1" applyFont="1" applyFill="1" applyAlignment="1">
      <alignment vertical="center"/>
    </xf>
    <xf numFmtId="14" fontId="1" fillId="0" borderId="1" xfId="0" applyNumberFormat="1" applyFont="1" applyBorder="1" applyAlignment="1">
      <alignment vertical="center"/>
    </xf>
    <xf numFmtId="0" fontId="1" fillId="3" borderId="0" xfId="0" applyFont="1" applyFill="1" applyAlignment="1">
      <alignment vertical="center"/>
    </xf>
    <xf numFmtId="0" fontId="1" fillId="3" borderId="0" xfId="0" applyFont="1" applyFill="1" applyAlignment="1">
      <alignment horizontal="left" vertical="center"/>
    </xf>
    <xf numFmtId="166" fontId="1" fillId="3" borderId="0" xfId="0" applyNumberFormat="1" applyFont="1" applyFill="1" applyAlignment="1">
      <alignment vertical="center"/>
    </xf>
    <xf numFmtId="2" fontId="1" fillId="3" borderId="0" xfId="0" applyNumberFormat="1" applyFont="1" applyFill="1" applyAlignment="1">
      <alignment vertical="center"/>
    </xf>
    <xf numFmtId="167" fontId="1" fillId="3" borderId="0" xfId="0" applyNumberFormat="1" applyFont="1" applyFill="1" applyAlignment="1">
      <alignment vertical="center"/>
    </xf>
    <xf numFmtId="14" fontId="9" fillId="3" borderId="0" xfId="0" applyNumberFormat="1" applyFont="1" applyFill="1" applyAlignment="1">
      <alignment vertical="center"/>
    </xf>
    <xf numFmtId="0" fontId="1" fillId="8" borderId="1" xfId="0" applyFont="1" applyFill="1" applyBorder="1" applyAlignment="1">
      <alignment vertical="center"/>
    </xf>
    <xf numFmtId="14" fontId="1" fillId="8" borderId="1" xfId="0" applyNumberFormat="1" applyFont="1" applyFill="1" applyBorder="1" applyAlignment="1">
      <alignment vertical="center"/>
    </xf>
    <xf numFmtId="14" fontId="1" fillId="0" borderId="0" xfId="0" applyNumberFormat="1" applyFont="1" applyAlignment="1">
      <alignment vertical="center"/>
    </xf>
    <xf numFmtId="0" fontId="4" fillId="0" borderId="0" xfId="0" applyFont="1" applyAlignment="1">
      <alignment vertical="center"/>
    </xf>
    <xf numFmtId="0" fontId="1" fillId="3" borderId="0" xfId="0" applyFont="1" applyFill="1" applyAlignment="1">
      <alignment horizontal="center" vertical="center"/>
    </xf>
    <xf numFmtId="167" fontId="4" fillId="0" borderId="0" xfId="0" applyNumberFormat="1" applyFont="1" applyAlignment="1">
      <alignment vertical="center"/>
    </xf>
    <xf numFmtId="0" fontId="1" fillId="8" borderId="0" xfId="0" applyFont="1" applyFill="1" applyAlignment="1">
      <alignment vertical="center"/>
    </xf>
    <xf numFmtId="14" fontId="1" fillId="8" borderId="0" xfId="0" applyNumberFormat="1" applyFont="1" applyFill="1" applyAlignment="1">
      <alignment vertical="center"/>
    </xf>
    <xf numFmtId="0" fontId="1" fillId="4" borderId="0" xfId="0" applyFont="1" applyFill="1" applyAlignment="1">
      <alignment vertical="center"/>
    </xf>
    <xf numFmtId="0" fontId="1" fillId="4" borderId="0" xfId="0" applyFont="1" applyFill="1" applyAlignment="1">
      <alignment horizontal="left" vertical="center"/>
    </xf>
    <xf numFmtId="166" fontId="1" fillId="4" borderId="0" xfId="0" applyNumberFormat="1" applyFont="1" applyFill="1" applyAlignment="1">
      <alignment vertical="center"/>
    </xf>
    <xf numFmtId="15" fontId="1" fillId="3" borderId="0" xfId="0" applyNumberFormat="1" applyFont="1" applyFill="1" applyAlignment="1">
      <alignment vertical="center"/>
    </xf>
    <xf numFmtId="0" fontId="6" fillId="4" borderId="0" xfId="0" applyFont="1" applyFill="1" applyAlignment="1">
      <alignment vertical="center"/>
    </xf>
    <xf numFmtId="2" fontId="1" fillId="4" borderId="0" xfId="0" applyNumberFormat="1" applyFont="1" applyFill="1" applyAlignment="1">
      <alignment vertical="center"/>
    </xf>
    <xf numFmtId="167" fontId="1" fillId="4" borderId="0" xfId="0" applyNumberFormat="1" applyFont="1" applyFill="1" applyAlignment="1">
      <alignment vertical="center"/>
    </xf>
    <xf numFmtId="14" fontId="1" fillId="4" borderId="0" xfId="0" applyNumberFormat="1" applyFont="1" applyFill="1" applyAlignment="1">
      <alignment vertical="center"/>
    </xf>
    <xf numFmtId="0" fontId="11" fillId="3" borderId="1" xfId="0" applyFont="1" applyFill="1" applyBorder="1" applyAlignment="1">
      <alignment vertical="center"/>
    </xf>
    <xf numFmtId="0" fontId="6" fillId="3" borderId="0" xfId="0" applyFont="1" applyFill="1" applyAlignment="1">
      <alignment vertical="center"/>
    </xf>
    <xf numFmtId="0" fontId="12" fillId="3" borderId="0" xfId="0" applyFont="1" applyFill="1" applyAlignment="1">
      <alignment vertical="center"/>
    </xf>
    <xf numFmtId="167" fontId="12" fillId="3" borderId="0" xfId="0" applyNumberFormat="1" applyFont="1" applyFill="1" applyAlignment="1">
      <alignment vertical="center"/>
    </xf>
    <xf numFmtId="0" fontId="4" fillId="3" borderId="0" xfId="0" applyFont="1" applyFill="1" applyAlignment="1">
      <alignment vertical="center"/>
    </xf>
    <xf numFmtId="14" fontId="9" fillId="8" borderId="0" xfId="0" applyNumberFormat="1" applyFont="1" applyFill="1" applyAlignment="1">
      <alignment vertical="center"/>
    </xf>
    <xf numFmtId="0" fontId="8" fillId="3" borderId="0" xfId="0" applyFont="1" applyFill="1"/>
    <xf numFmtId="15" fontId="1" fillId="0" borderId="0" xfId="0" applyNumberFormat="1" applyFont="1" applyAlignment="1">
      <alignment vertical="center"/>
    </xf>
    <xf numFmtId="0" fontId="11" fillId="0" borderId="0" xfId="0" applyFont="1" applyAlignment="1">
      <alignment vertical="center"/>
    </xf>
    <xf numFmtId="166" fontId="1" fillId="3" borderId="0" xfId="0" applyNumberFormat="1" applyFont="1" applyFill="1" applyAlignment="1">
      <alignment horizontal="center" vertical="center"/>
    </xf>
    <xf numFmtId="0" fontId="11" fillId="3" borderId="0" xfId="0" applyFont="1" applyFill="1" applyAlignment="1">
      <alignment vertical="center"/>
    </xf>
    <xf numFmtId="0" fontId="11" fillId="3" borderId="0" xfId="0" applyFont="1" applyFill="1" applyAlignment="1">
      <alignment horizontal="left" vertical="center"/>
    </xf>
    <xf numFmtId="166" fontId="11" fillId="3" borderId="0" xfId="0" applyNumberFormat="1" applyFont="1" applyFill="1" applyAlignment="1">
      <alignment vertical="center"/>
    </xf>
    <xf numFmtId="2" fontId="11" fillId="3" borderId="0" xfId="0" applyNumberFormat="1" applyFont="1" applyFill="1" applyAlignment="1">
      <alignment vertical="center"/>
    </xf>
    <xf numFmtId="167" fontId="11" fillId="3" borderId="0" xfId="0" applyNumberFormat="1" applyFont="1" applyFill="1" applyAlignment="1">
      <alignment vertical="center"/>
    </xf>
    <xf numFmtId="14" fontId="11" fillId="3" borderId="0" xfId="0" applyNumberFormat="1" applyFont="1" applyFill="1" applyAlignment="1">
      <alignment vertical="center"/>
    </xf>
    <xf numFmtId="0" fontId="13" fillId="3" borderId="0" xfId="0" applyFont="1" applyFill="1" applyAlignment="1">
      <alignment vertical="center"/>
    </xf>
    <xf numFmtId="0" fontId="9" fillId="0" borderId="0" xfId="0" applyFont="1" applyAlignment="1">
      <alignment vertical="center"/>
    </xf>
    <xf numFmtId="0" fontId="1" fillId="0" borderId="1" xfId="0" applyFont="1" applyBorder="1" applyAlignment="1">
      <alignment horizontal="left" vertical="center"/>
    </xf>
    <xf numFmtId="166" fontId="1" fillId="0" borderId="1" xfId="0" applyNumberFormat="1" applyFont="1" applyBorder="1" applyAlignment="1">
      <alignment vertical="center"/>
    </xf>
    <xf numFmtId="0" fontId="4" fillId="0" borderId="1" xfId="0" applyFont="1" applyBorder="1" applyAlignment="1">
      <alignment vertical="center"/>
    </xf>
    <xf numFmtId="167" fontId="4" fillId="0" borderId="1" xfId="0" applyNumberFormat="1" applyFont="1" applyBorder="1" applyAlignment="1">
      <alignment vertical="center"/>
    </xf>
    <xf numFmtId="0" fontId="7" fillId="0" borderId="0" xfId="0" applyFont="1" applyAlignment="1">
      <alignment horizontal="center" vertical="center"/>
    </xf>
    <xf numFmtId="0" fontId="1" fillId="0" borderId="0" xfId="0" applyFont="1" applyAlignment="1">
      <alignment vertical="top"/>
    </xf>
    <xf numFmtId="169" fontId="1" fillId="3" borderId="0" xfId="0" applyNumberFormat="1" applyFont="1" applyFill="1" applyAlignment="1">
      <alignment vertical="center"/>
    </xf>
    <xf numFmtId="0" fontId="9" fillId="3" borderId="0" xfId="0" applyFont="1" applyFill="1" applyAlignment="1">
      <alignment vertical="center"/>
    </xf>
    <xf numFmtId="0" fontId="4" fillId="0" borderId="0" xfId="0" applyFont="1" applyAlignment="1">
      <alignment horizontal="right" vertical="center"/>
    </xf>
    <xf numFmtId="0" fontId="6" fillId="0" borderId="1" xfId="0" applyFont="1" applyBorder="1" applyAlignment="1">
      <alignment vertical="center"/>
    </xf>
    <xf numFmtId="0" fontId="1" fillId="3" borderId="1" xfId="0" applyFont="1" applyFill="1" applyBorder="1" applyAlignment="1">
      <alignment horizontal="left" vertical="center"/>
    </xf>
    <xf numFmtId="166" fontId="1" fillId="3" borderId="1" xfId="0" applyNumberFormat="1" applyFont="1" applyFill="1" applyBorder="1" applyAlignment="1">
      <alignment vertical="center"/>
    </xf>
    <xf numFmtId="167" fontId="1" fillId="3" borderId="1" xfId="0" applyNumberFormat="1" applyFont="1" applyFill="1" applyBorder="1" applyAlignment="1">
      <alignment vertical="center"/>
    </xf>
    <xf numFmtId="168" fontId="1" fillId="7" borderId="0" xfId="0" applyNumberFormat="1" applyFont="1" applyFill="1" applyAlignment="1">
      <alignment vertical="center"/>
    </xf>
    <xf numFmtId="0" fontId="1" fillId="7" borderId="0" xfId="0" applyFont="1" applyFill="1" applyAlignment="1">
      <alignment vertical="center"/>
    </xf>
    <xf numFmtId="166" fontId="11" fillId="0" borderId="0" xfId="0" applyNumberFormat="1" applyFont="1" applyAlignment="1">
      <alignment vertical="center"/>
    </xf>
    <xf numFmtId="0" fontId="14" fillId="0" borderId="0" xfId="0" applyFont="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15" fontId="11" fillId="0" borderId="1" xfId="0" applyNumberFormat="1" applyFont="1" applyBorder="1" applyAlignment="1">
      <alignment vertical="center"/>
    </xf>
    <xf numFmtId="2" fontId="11" fillId="0" borderId="1" xfId="0" applyNumberFormat="1" applyFont="1" applyBorder="1" applyAlignment="1">
      <alignment vertical="center"/>
    </xf>
    <xf numFmtId="0" fontId="11" fillId="8" borderId="1" xfId="0" applyFont="1" applyFill="1" applyBorder="1" applyAlignment="1">
      <alignment vertical="center"/>
    </xf>
    <xf numFmtId="14" fontId="11" fillId="8" borderId="1" xfId="0" applyNumberFormat="1" applyFont="1" applyFill="1" applyBorder="1" applyAlignment="1">
      <alignment vertical="center"/>
    </xf>
    <xf numFmtId="166" fontId="1" fillId="0" borderId="0" xfId="0" applyNumberFormat="1" applyFont="1" applyAlignment="1">
      <alignment horizontal="center" vertical="center"/>
    </xf>
    <xf numFmtId="0" fontId="12" fillId="0" borderId="0" xfId="0" applyFont="1" applyAlignment="1">
      <alignment vertical="center"/>
    </xf>
    <xf numFmtId="0" fontId="1" fillId="0" borderId="2" xfId="0" applyFont="1" applyBorder="1" applyAlignment="1">
      <alignment horizontal="center" vertical="center"/>
    </xf>
    <xf numFmtId="2" fontId="1" fillId="3" borderId="0" xfId="0" applyNumberFormat="1" applyFont="1" applyFill="1" applyAlignment="1">
      <alignment horizontal="right" vertical="center"/>
    </xf>
    <xf numFmtId="0" fontId="1" fillId="0" borderId="0" xfId="0" applyFont="1" applyAlignment="1">
      <alignment horizontal="center"/>
    </xf>
    <xf numFmtId="167" fontId="4" fillId="3" borderId="0" xfId="0" applyNumberFormat="1" applyFont="1" applyFill="1" applyAlignment="1">
      <alignment vertical="center"/>
    </xf>
    <xf numFmtId="0" fontId="7" fillId="0" borderId="0" xfId="0" applyFont="1" applyAlignment="1">
      <alignment horizontal="center"/>
    </xf>
    <xf numFmtId="167" fontId="1" fillId="0" borderId="1" xfId="0" applyNumberFormat="1" applyFont="1" applyBorder="1" applyAlignment="1">
      <alignment vertical="center"/>
    </xf>
    <xf numFmtId="0" fontId="15" fillId="3" borderId="0" xfId="0" applyFont="1" applyFill="1" applyAlignment="1">
      <alignment vertical="center"/>
    </xf>
    <xf numFmtId="2" fontId="1" fillId="3" borderId="1" xfId="0" applyNumberFormat="1" applyFont="1" applyFill="1" applyBorder="1" applyAlignment="1">
      <alignment horizontal="right" vertical="center"/>
    </xf>
    <xf numFmtId="2" fontId="1" fillId="0" borderId="0" xfId="0" applyNumberFormat="1" applyFont="1" applyAlignment="1">
      <alignment horizontal="right" vertical="center"/>
    </xf>
    <xf numFmtId="2" fontId="1" fillId="0" borderId="1" xfId="0" applyNumberFormat="1" applyFont="1" applyBorder="1" applyAlignment="1">
      <alignment horizontal="right" vertical="center"/>
    </xf>
    <xf numFmtId="2" fontId="4" fillId="0" borderId="1" xfId="0" applyNumberFormat="1" applyFont="1" applyBorder="1" applyAlignment="1">
      <alignment vertical="center"/>
    </xf>
    <xf numFmtId="2" fontId="4" fillId="0" borderId="0" xfId="0" applyNumberFormat="1" applyFont="1" applyAlignment="1">
      <alignment vertical="center"/>
    </xf>
    <xf numFmtId="0" fontId="1" fillId="0" borderId="0" xfId="0" applyFont="1" applyAlignment="1">
      <alignment vertical="center" wrapText="1"/>
    </xf>
    <xf numFmtId="167" fontId="12" fillId="0" borderId="0" xfId="0" applyNumberFormat="1" applyFont="1" applyAlignment="1">
      <alignment vertical="center"/>
    </xf>
    <xf numFmtId="0" fontId="1" fillId="0" borderId="1" xfId="0" applyFont="1" applyBorder="1" applyAlignment="1">
      <alignment horizontal="left"/>
    </xf>
    <xf numFmtId="168" fontId="1" fillId="9" borderId="0" xfId="0" applyNumberFormat="1" applyFont="1" applyFill="1" applyAlignment="1">
      <alignment vertical="center"/>
    </xf>
    <xf numFmtId="0" fontId="7" fillId="9" borderId="0" xfId="0" applyFont="1" applyFill="1" applyAlignment="1">
      <alignment horizontal="center"/>
    </xf>
    <xf numFmtId="14" fontId="16" fillId="3" borderId="0" xfId="0" applyNumberFormat="1" applyFont="1" applyFill="1" applyAlignment="1">
      <alignment vertical="center"/>
    </xf>
    <xf numFmtId="0" fontId="1" fillId="10" borderId="0" xfId="0" applyFont="1" applyFill="1" applyAlignment="1">
      <alignment vertical="center"/>
    </xf>
    <xf numFmtId="166" fontId="12" fillId="10" borderId="0" xfId="0" applyNumberFormat="1" applyFont="1" applyFill="1" applyAlignment="1">
      <alignment vertical="center"/>
    </xf>
    <xf numFmtId="170" fontId="1" fillId="3" borderId="1" xfId="0" applyNumberFormat="1" applyFont="1" applyFill="1" applyBorder="1" applyAlignment="1">
      <alignment vertical="center"/>
    </xf>
    <xf numFmtId="170" fontId="1" fillId="3" borderId="0" xfId="0" applyNumberFormat="1" applyFont="1" applyFill="1" applyAlignment="1">
      <alignment vertical="center"/>
    </xf>
    <xf numFmtId="166" fontId="1" fillId="10" borderId="0" xfId="0" applyNumberFormat="1" applyFont="1" applyFill="1" applyAlignment="1">
      <alignment vertical="center"/>
    </xf>
    <xf numFmtId="171" fontId="1" fillId="3" borderId="0" xfId="0" applyNumberFormat="1" applyFont="1" applyFill="1" applyAlignment="1">
      <alignment vertical="center"/>
    </xf>
    <xf numFmtId="0" fontId="11" fillId="8" borderId="0" xfId="0" applyFont="1" applyFill="1" applyAlignment="1">
      <alignment vertical="center"/>
    </xf>
    <xf numFmtId="171" fontId="1" fillId="8" borderId="1" xfId="0" applyNumberFormat="1" applyFont="1" applyFill="1" applyBorder="1" applyAlignment="1">
      <alignment vertical="center"/>
    </xf>
    <xf numFmtId="0" fontId="10" fillId="5" borderId="0" xfId="0" applyFont="1" applyFill="1" applyAlignment="1">
      <alignment horizontal="center"/>
    </xf>
    <xf numFmtId="171" fontId="1" fillId="8" borderId="0" xfId="0" applyNumberFormat="1" applyFont="1" applyFill="1" applyAlignment="1">
      <alignment vertical="center"/>
    </xf>
    <xf numFmtId="0" fontId="17" fillId="0" borderId="0" xfId="0" applyFont="1" applyAlignment="1">
      <alignment vertical="center"/>
    </xf>
    <xf numFmtId="0" fontId="18" fillId="0" borderId="0" xfId="0" applyFont="1" applyAlignment="1">
      <alignment vertical="center"/>
    </xf>
    <xf numFmtId="167" fontId="4" fillId="3" borderId="1" xfId="0" applyNumberFormat="1" applyFont="1" applyFill="1" applyBorder="1" applyAlignment="1">
      <alignment vertical="center"/>
    </xf>
    <xf numFmtId="2" fontId="11" fillId="0" borderId="0" xfId="0" applyNumberFormat="1" applyFont="1" applyAlignment="1">
      <alignment vertical="center"/>
    </xf>
    <xf numFmtId="2" fontId="18" fillId="0" borderId="0" xfId="0" applyNumberFormat="1" applyFont="1" applyAlignment="1">
      <alignment vertical="center"/>
    </xf>
    <xf numFmtId="172" fontId="6" fillId="0" borderId="0" xfId="0" applyNumberFormat="1" applyFont="1" applyAlignment="1">
      <alignment vertical="center"/>
    </xf>
    <xf numFmtId="2" fontId="6" fillId="0" borderId="0" xfId="0" applyNumberFormat="1" applyFont="1" applyAlignment="1">
      <alignment vertical="center"/>
    </xf>
    <xf numFmtId="0" fontId="19" fillId="0" borderId="0" xfId="0" applyFont="1" applyAlignment="1">
      <alignment vertical="center"/>
    </xf>
    <xf numFmtId="167" fontId="6" fillId="0" borderId="0" xfId="0" applyNumberFormat="1" applyFont="1" applyAlignment="1">
      <alignment vertical="center"/>
    </xf>
    <xf numFmtId="0" fontId="1" fillId="7" borderId="0" xfId="0" applyFont="1" applyFill="1" applyAlignment="1">
      <alignment horizontal="left" vertical="center"/>
    </xf>
    <xf numFmtId="166" fontId="1" fillId="7" borderId="0" xfId="0" applyNumberFormat="1" applyFont="1" applyFill="1" applyAlignment="1">
      <alignment vertical="center"/>
    </xf>
    <xf numFmtId="2" fontId="1" fillId="7" borderId="0" xfId="0" applyNumberFormat="1" applyFont="1" applyFill="1" applyAlignment="1">
      <alignment vertical="center"/>
    </xf>
    <xf numFmtId="0" fontId="9" fillId="7" borderId="0" xfId="0" applyFont="1" applyFill="1" applyAlignment="1">
      <alignment vertical="center"/>
    </xf>
    <xf numFmtId="167" fontId="1" fillId="7" borderId="0" xfId="0" applyNumberFormat="1" applyFont="1" applyFill="1" applyAlignment="1">
      <alignment vertical="center"/>
    </xf>
    <xf numFmtId="14" fontId="9" fillId="7" borderId="0" xfId="0" applyNumberFormat="1" applyFont="1" applyFill="1" applyAlignment="1">
      <alignment vertical="center"/>
    </xf>
    <xf numFmtId="0" fontId="8" fillId="7" borderId="0" xfId="0" applyFont="1" applyFill="1" applyAlignment="1">
      <alignment vertical="center"/>
    </xf>
    <xf numFmtId="166" fontId="6" fillId="3" borderId="0" xfId="0" applyNumberFormat="1" applyFont="1" applyFill="1" applyAlignment="1">
      <alignment vertical="center"/>
    </xf>
    <xf numFmtId="2" fontId="6" fillId="3" borderId="0" xfId="0" applyNumberFormat="1" applyFont="1" applyFill="1" applyAlignment="1">
      <alignment vertical="center"/>
    </xf>
    <xf numFmtId="167" fontId="6" fillId="3" borderId="0" xfId="0" applyNumberFormat="1" applyFont="1" applyFill="1" applyAlignment="1">
      <alignment vertical="center"/>
    </xf>
    <xf numFmtId="0" fontId="12" fillId="0" borderId="1" xfId="0" applyFont="1" applyBorder="1" applyAlignment="1">
      <alignment vertical="center"/>
    </xf>
    <xf numFmtId="0" fontId="20" fillId="8" borderId="0" xfId="0" applyFont="1" applyFill="1"/>
    <xf numFmtId="0" fontId="21" fillId="5" borderId="0" xfId="0" applyFont="1" applyFill="1" applyAlignment="1">
      <alignment horizontal="center"/>
    </xf>
    <xf numFmtId="0" fontId="21" fillId="0" borderId="0" xfId="0" applyFont="1" applyAlignment="1">
      <alignment horizontal="center"/>
    </xf>
    <xf numFmtId="2" fontId="4" fillId="3" borderId="1" xfId="0" applyNumberFormat="1" applyFont="1" applyFill="1" applyBorder="1" applyAlignment="1">
      <alignment horizontal="right" vertical="center"/>
    </xf>
    <xf numFmtId="2" fontId="4" fillId="3" borderId="1" xfId="0" applyNumberFormat="1" applyFont="1" applyFill="1" applyBorder="1" applyAlignment="1">
      <alignment vertical="center"/>
    </xf>
    <xf numFmtId="0" fontId="12" fillId="3" borderId="1" xfId="0" applyFont="1" applyFill="1" applyBorder="1" applyAlignment="1">
      <alignment vertical="center"/>
    </xf>
    <xf numFmtId="0" fontId="8" fillId="3" borderId="0" xfId="0" applyFont="1" applyFill="1" applyAlignment="1">
      <alignment vertical="center"/>
    </xf>
    <xf numFmtId="2" fontId="11" fillId="3" borderId="0" xfId="0" applyNumberFormat="1" applyFont="1" applyFill="1" applyAlignment="1">
      <alignment horizontal="right" vertical="center"/>
    </xf>
    <xf numFmtId="0" fontId="11" fillId="3" borderId="0" xfId="0" applyFont="1" applyFill="1" applyAlignment="1">
      <alignment horizontal="right" vertical="center"/>
    </xf>
    <xf numFmtId="167" fontId="11" fillId="3" borderId="0" xfId="0" applyNumberFormat="1" applyFont="1" applyFill="1" applyAlignment="1">
      <alignment horizontal="right" vertical="center"/>
    </xf>
    <xf numFmtId="14" fontId="22" fillId="3" borderId="0" xfId="0" applyNumberFormat="1" applyFont="1" applyFill="1" applyAlignment="1">
      <alignment vertical="center"/>
    </xf>
    <xf numFmtId="0" fontId="23" fillId="0" borderId="0" xfId="0" applyFont="1" applyAlignment="1">
      <alignment vertical="center"/>
    </xf>
    <xf numFmtId="0" fontId="8" fillId="8" borderId="0" xfId="0" applyFont="1" applyFill="1"/>
    <xf numFmtId="168" fontId="11" fillId="3" borderId="0" xfId="0" applyNumberFormat="1" applyFont="1" applyFill="1" applyAlignment="1">
      <alignment vertical="center"/>
    </xf>
    <xf numFmtId="167" fontId="12" fillId="0" borderId="1" xfId="0" applyNumberFormat="1" applyFont="1" applyBorder="1" applyAlignment="1">
      <alignment vertical="center"/>
    </xf>
    <xf numFmtId="0" fontId="24" fillId="0" borderId="0" xfId="0" applyFont="1" applyAlignment="1">
      <alignment vertical="center"/>
    </xf>
    <xf numFmtId="0" fontId="24" fillId="3" borderId="0" xfId="0" applyFont="1" applyFill="1" applyAlignment="1">
      <alignment vertical="center"/>
    </xf>
    <xf numFmtId="0" fontId="4" fillId="4" borderId="0" xfId="0" applyFont="1" applyFill="1" applyAlignment="1">
      <alignment vertical="center"/>
    </xf>
    <xf numFmtId="167" fontId="4" fillId="4" borderId="0" xfId="0" applyNumberFormat="1" applyFont="1" applyFill="1" applyAlignment="1">
      <alignment vertical="center"/>
    </xf>
    <xf numFmtId="14" fontId="9" fillId="4" borderId="0" xfId="0" applyNumberFormat="1" applyFont="1" applyFill="1" applyAlignment="1">
      <alignment vertical="center"/>
    </xf>
    <xf numFmtId="0" fontId="1" fillId="3" borderId="0" xfId="0" applyFont="1" applyFill="1" applyAlignment="1">
      <alignment horizontal="right" vertical="center"/>
    </xf>
    <xf numFmtId="167" fontId="1" fillId="3" borderId="0" xfId="0" applyNumberFormat="1" applyFont="1" applyFill="1" applyAlignment="1">
      <alignment horizontal="right" vertical="center"/>
    </xf>
    <xf numFmtId="0" fontId="9" fillId="4" borderId="0" xfId="0" applyFont="1" applyFill="1" applyAlignment="1">
      <alignment vertical="center"/>
    </xf>
    <xf numFmtId="0" fontId="25" fillId="0" borderId="0" xfId="0" applyFont="1" applyAlignment="1">
      <alignment vertical="center"/>
    </xf>
    <xf numFmtId="14" fontId="8" fillId="0" borderId="0" xfId="0" applyNumberFormat="1" applyFont="1" applyAlignment="1">
      <alignment vertical="center"/>
    </xf>
    <xf numFmtId="0" fontId="1" fillId="3" borderId="1" xfId="0" applyFont="1" applyFill="1" applyBorder="1" applyAlignment="1">
      <alignment horizontal="left"/>
    </xf>
    <xf numFmtId="14" fontId="8" fillId="3" borderId="0" xfId="0" applyNumberFormat="1" applyFont="1" applyFill="1" applyAlignment="1">
      <alignment vertical="center"/>
    </xf>
    <xf numFmtId="2" fontId="24" fillId="0" borderId="0" xfId="0" applyNumberFormat="1" applyFont="1" applyAlignment="1">
      <alignment vertical="center"/>
    </xf>
    <xf numFmtId="167" fontId="24" fillId="0" borderId="0" xfId="0" applyNumberFormat="1" applyFont="1" applyAlignment="1">
      <alignment vertical="center"/>
    </xf>
    <xf numFmtId="14" fontId="24" fillId="0" borderId="0" xfId="0" applyNumberFormat="1" applyFont="1" applyAlignment="1">
      <alignment vertical="center"/>
    </xf>
    <xf numFmtId="0" fontId="8" fillId="3" borderId="0" xfId="0" applyFont="1" applyFill="1" applyAlignment="1">
      <alignment horizontal="left" vertical="center"/>
    </xf>
    <xf numFmtId="0" fontId="25" fillId="3" borderId="0" xfId="0" applyFont="1" applyFill="1" applyAlignment="1">
      <alignment vertical="center"/>
    </xf>
    <xf numFmtId="0" fontId="26" fillId="0" borderId="0" xfId="0" applyFont="1" applyAlignment="1">
      <alignment vertical="center"/>
    </xf>
    <xf numFmtId="0" fontId="26" fillId="0" borderId="0" xfId="0" applyFont="1" applyAlignment="1">
      <alignment horizontal="left" vertical="center"/>
    </xf>
    <xf numFmtId="166" fontId="6" fillId="0" borderId="0" xfId="0" applyNumberFormat="1" applyFont="1" applyAlignment="1">
      <alignment vertical="center"/>
    </xf>
    <xf numFmtId="0" fontId="27" fillId="11" borderId="0" xfId="0" applyFont="1" applyFill="1" applyAlignment="1">
      <alignment vertical="center"/>
    </xf>
    <xf numFmtId="0" fontId="8" fillId="0" borderId="0" xfId="0" applyFont="1" applyAlignment="1">
      <alignment horizontal="left" vertical="center"/>
    </xf>
    <xf numFmtId="166" fontId="24" fillId="3" borderId="0" xfId="0" applyNumberFormat="1" applyFont="1" applyFill="1" applyAlignment="1">
      <alignment vertical="center"/>
    </xf>
    <xf numFmtId="2" fontId="24" fillId="3" borderId="0" xfId="0" applyNumberFormat="1" applyFont="1" applyFill="1" applyAlignment="1">
      <alignment vertical="center"/>
    </xf>
    <xf numFmtId="167" fontId="24" fillId="3" borderId="0" xfId="0" applyNumberFormat="1" applyFont="1" applyFill="1" applyAlignment="1">
      <alignment vertical="center"/>
    </xf>
    <xf numFmtId="14" fontId="24" fillId="3" borderId="0" xfId="0" applyNumberFormat="1" applyFont="1" applyFill="1" applyAlignment="1">
      <alignment vertical="center"/>
    </xf>
    <xf numFmtId="0" fontId="24" fillId="3" borderId="0" xfId="0" applyFont="1" applyFill="1" applyAlignment="1">
      <alignment horizontal="left" vertical="center"/>
    </xf>
    <xf numFmtId="0" fontId="1" fillId="0" borderId="0" xfId="0" applyFont="1" applyAlignment="1">
      <alignment horizontal="right"/>
    </xf>
    <xf numFmtId="0" fontId="28" fillId="3" borderId="0" xfId="0" applyFont="1" applyFill="1" applyAlignment="1">
      <alignment vertical="center"/>
    </xf>
    <xf numFmtId="2" fontId="4" fillId="3" borderId="0" xfId="0" applyNumberFormat="1" applyFont="1" applyFill="1" applyAlignment="1">
      <alignment vertical="center"/>
    </xf>
    <xf numFmtId="0" fontId="29" fillId="0" borderId="0" xfId="0" applyFont="1"/>
    <xf numFmtId="0" fontId="8" fillId="8" borderId="0" xfId="0" applyFont="1" applyFill="1" applyAlignment="1">
      <alignment vertical="center"/>
    </xf>
    <xf numFmtId="14" fontId="8" fillId="8" borderId="0" xfId="0" applyNumberFormat="1" applyFont="1" applyFill="1" applyAlignment="1">
      <alignment vertical="center"/>
    </xf>
    <xf numFmtId="0" fontId="1" fillId="3" borderId="0" xfId="0" applyFont="1" applyFill="1"/>
    <xf numFmtId="0" fontId="9" fillId="8" borderId="0" xfId="0" applyFont="1" applyFill="1" applyAlignment="1">
      <alignment vertical="center"/>
    </xf>
    <xf numFmtId="0" fontId="20" fillId="3" borderId="0" xfId="0" applyFont="1" applyFill="1"/>
    <xf numFmtId="14" fontId="8" fillId="3" borderId="0" xfId="0" applyNumberFormat="1" applyFont="1" applyFill="1"/>
    <xf numFmtId="0" fontId="8" fillId="0" borderId="0" xfId="0" applyFont="1"/>
    <xf numFmtId="0" fontId="8" fillId="0" borderId="0" xfId="0" applyFont="1" applyAlignment="1">
      <alignment horizontal="center" vertical="center"/>
    </xf>
  </cellXfs>
  <cellStyles count="1">
    <cellStyle name="Normal" xfId="0" builtinId="0"/>
  </cellStyles>
  <dxfs count="11">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B7E1CD"/>
          <bgColor rgb="FFB7E1CD"/>
        </patternFill>
      </fill>
    </dxf>
    <dxf>
      <fill>
        <patternFill patternType="solid">
          <fgColor rgb="FF00FF00"/>
          <bgColor rgb="FF00FF00"/>
        </patternFill>
      </fill>
    </dxf>
    <dxf>
      <fill>
        <patternFill patternType="solid">
          <fgColor rgb="FFB7E1CD"/>
          <bgColor rgb="FFB7E1CD"/>
        </patternFill>
      </fill>
    </dxf>
    <dxf>
      <fill>
        <patternFill patternType="solid">
          <fgColor rgb="FFB4C6E7"/>
          <bgColor rgb="FFB4C6E7"/>
        </patternFill>
      </fill>
    </dxf>
    <dxf>
      <fill>
        <patternFill patternType="solid">
          <fgColor rgb="FFD9E2F3"/>
          <bgColor rgb="FFD9E2F3"/>
        </patternFill>
      </fill>
    </dxf>
    <dxf>
      <fill>
        <patternFill patternType="solid">
          <fgColor rgb="FFFFFFFF"/>
          <bgColor rgb="FFFFFFFF"/>
        </patternFill>
      </fill>
    </dxf>
  </dxfs>
  <tableStyles count="1">
    <tableStyle name="2025 PE tracking template-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Y220">
  <tableColumns count="25">
    <tableColumn id="1" xr3:uid="{00000000-0010-0000-0000-000001000000}" name="ชื่อ _x000a_First Name and Middle Name_x000a_名字"/>
    <tableColumn id="2" xr3:uid="{00000000-0010-0000-0000-000002000000}" name="นามสกุลเต็ม _x000a_Full Surname_x000a_全姓"/>
    <tableColumn id="3" xr3:uid="{00000000-0010-0000-0000-000003000000}" name="บริษัท _x000a_Company_x000a_公司"/>
    <tableColumn id="4" xr3:uid="{00000000-0010-0000-0000-000004000000}" name="สถานที่ทำงานในพื้นที่เชฟรอน _x000a_Chevron Workplace_x000a_雪佛龙工作场所"/>
    <tableColumn id="5" xr3:uid="{00000000-0010-0000-0000-000005000000}" name="วัน เดือน ปี เกิด_x000a_Date of Birth (MM/DD/YYYY)_x000a_出生日期"/>
    <tableColumn id="6" xr3:uid="{00000000-0010-0000-0000-000006000000}" name="อายุ (ปี)_x000a_Age (year)_x000a_年龄 (年)"/>
    <tableColumn id="7" xr3:uid="{00000000-0010-0000-0000-000007000000}" name="โรคประจำตัว _x000a_Underlying disease_x000a_基础疾病"/>
    <tableColumn id="8" xr3:uid="{00000000-0010-0000-0000-000008000000}" name="วันที่ตรวจร่างกาย_x000a_Date of physical examination (MM/DD/YYYY)_x000a_体检日期"/>
    <tableColumn id="9" xr3:uid="{00000000-0010-0000-0000-000009000000}" name="ส่วนสูง (เซนติเมตร)_x000a_Height (cm)_x000a_身高 (厘米)"/>
    <tableColumn id="10" xr3:uid="{00000000-0010-0000-0000-00000A000000}" name="น้ำหนัก (กิโลกรัม)_x000a_Weight (kg)_x000a_体重 (公斤)"/>
    <tableColumn id="11" xr3:uid="{00000000-0010-0000-0000-00000B000000}" name="ดัชนีมวลกาย_x000a_Body mass index (BMI)_x000a_身体质量指数"/>
    <tableColumn id="12" xr3:uid="{00000000-0010-0000-0000-00000C000000}" name="ความดันตัวบน_x000a_Systolic blood pressure (SBP)_x000a_收缩压"/>
    <tableColumn id="13" xr3:uid="{00000000-0010-0000-0000-00000D000000}" name="ความดันตัวล่าง_x000a_Diastolic blood pressure (DBP)_x000a_舒张压"/>
    <tableColumn id="14" xr3:uid="{00000000-0010-0000-0000-00000E000000}" name="ความเข้มข้นของเลือด (%)_x000a_Hematocrit (Hct) (%)_x000a_红细胞比容"/>
    <tableColumn id="15" xr3:uid="{00000000-0010-0000-0000-00000F000000}" name="ผลการตรวจปัสสาวะ_x000a_Urine analysis (UA)_x000a_尿检"/>
    <tableColumn id="16" xr3:uid="{00000000-0010-0000-0000-000010000000}" name="น้ำตาลในเลือด_x000a_Fasting blood sugar (FBS)_x000a_空腹血糖"/>
    <tableColumn id="17" xr3:uid="{00000000-0010-0000-0000-000011000000}" name="ไขมันไม่ดี_x000a_LDL-Cholesterol_x000a_低密度脂蛋白胆固醇"/>
    <tableColumn id="18" xr3:uid="{00000000-0010-0000-0000-000012000000}" name="ไขมันไตรกลีเซอไรด์_x000a_Triglyceride_x000a_甘油三酸酯"/>
    <tableColumn id="19" xr3:uid="{00000000-0010-0000-0000-000013000000}" name="เอ็นไซม์ตับ SGOT (AST)_x000a_血清天门冬氨酸氨基转移酶"/>
    <tableColumn id="20" xr3:uid="{00000000-0010-0000-0000-000014000000}" name="เอ็นไซม์ตับ _x000a_SGPT (ALT)_x000a_血清丙氨酸氨基转移酶"/>
    <tableColumn id="21" xr3:uid="{00000000-0010-0000-0000-000015000000}" name="กรดยูริค_x000a_Uric acid_x000a_血清尿酸"/>
    <tableColumn id="22" xr3:uid="{00000000-0010-0000-0000-000016000000}" name="คลื่นไฟฟ้าหัวใจ_x000a_Electrocardiogram (EKG, ECG)_x000a_心电图"/>
    <tableColumn id="23" xr3:uid="{00000000-0010-0000-0000-000017000000}" name="เอ็กซ์เรย์ปอด_x000a_Chest x-ray_x000a_胸部X光片"/>
    <tableColumn id="24" xr3:uid="{00000000-0010-0000-0000-000018000000}" name="ผลตรวจฟัน_x000a_Dental examination result_x000a_ผลตรวจฟัน_x000a_牙科检查结果"/>
    <tableColumn id="25" xr3:uid="{00000000-0010-0000-0000-000019000000}" name="หมายเหตุ_x000a_Note_x000a_注释"/>
  </tableColumns>
  <tableStyleInfo name="2025 PE tracking 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767"/>
  <sheetViews>
    <sheetView tabSelected="1" zoomScale="70" zoomScaleNormal="70" workbookViewId="0">
      <pane xSplit="11" ySplit="1" topLeftCell="AH14" activePane="bottomRight" state="frozen"/>
      <selection pane="topRight" activeCell="L1" sqref="L1"/>
      <selection pane="bottomLeft" activeCell="A2" sqref="A2"/>
      <selection pane="bottomRight" activeCell="AP15" sqref="AP15"/>
    </sheetView>
  </sheetViews>
  <sheetFormatPr defaultColWidth="12.59765625" defaultRowHeight="15" customHeight="1"/>
  <cols>
    <col min="1" max="1" width="18.59765625" customWidth="1"/>
    <col min="2" max="2" width="11.59765625" customWidth="1"/>
    <col min="3" max="3" width="14.796875" customWidth="1"/>
    <col min="4" max="4" width="16.09765625" customWidth="1"/>
    <col min="5" max="5" width="15.69921875" customWidth="1"/>
    <col min="6" max="6" width="9.8984375" customWidth="1"/>
    <col min="7" max="7" width="9.19921875" customWidth="1"/>
    <col min="8" max="8" width="14.19921875" customWidth="1"/>
    <col min="9" max="9" width="6.59765625" customWidth="1"/>
    <col min="10" max="10" width="13.8984375" customWidth="1"/>
    <col min="11" max="11" width="15.69921875" customWidth="1"/>
    <col min="12" max="12" width="12.59765625" customWidth="1"/>
    <col min="13" max="13" width="9.19921875" customWidth="1"/>
    <col min="14" max="14" width="9.8984375" customWidth="1"/>
    <col min="15" max="17" width="10.3984375" customWidth="1"/>
    <col min="18" max="18" width="20.19921875" customWidth="1"/>
    <col min="19" max="19" width="22" customWidth="1"/>
    <col min="20" max="25" width="9.69921875" customWidth="1"/>
    <col min="26" max="26" width="17.3984375" customWidth="1"/>
    <col min="27" max="27" width="24.09765625" customWidth="1"/>
    <col min="28" max="28" width="16.69921875" customWidth="1"/>
    <col min="29" max="29" width="25.59765625" customWidth="1"/>
    <col min="30" max="30" width="17.19921875" customWidth="1"/>
    <col min="31" max="31" width="25.3984375" customWidth="1"/>
    <col min="32" max="33" width="23.19921875" customWidth="1"/>
    <col min="34" max="34" width="40.19921875" customWidth="1"/>
    <col min="35" max="35" width="21.09765625" customWidth="1"/>
    <col min="36" max="36" width="33.09765625" customWidth="1"/>
    <col min="37" max="37" width="17.19921875" customWidth="1"/>
    <col min="38" max="38" width="9.5" customWidth="1"/>
    <col min="39" max="39" width="8.09765625" customWidth="1"/>
    <col min="40" max="40" width="13.3984375" customWidth="1"/>
    <col min="41" max="42" width="8.19921875" customWidth="1"/>
  </cols>
  <sheetData>
    <row r="1" spans="1:42" ht="144" customHeight="1">
      <c r="A1" s="2" t="s">
        <v>1320</v>
      </c>
      <c r="B1" s="2" t="s">
        <v>1321</v>
      </c>
      <c r="C1" s="2" t="s">
        <v>1322</v>
      </c>
      <c r="D1" s="2" t="s">
        <v>1323</v>
      </c>
      <c r="E1" s="4" t="s">
        <v>1324</v>
      </c>
      <c r="F1" s="2" t="s">
        <v>20</v>
      </c>
      <c r="G1" s="2" t="s">
        <v>22</v>
      </c>
      <c r="H1" s="7" t="s">
        <v>1325</v>
      </c>
      <c r="I1" s="2" t="s">
        <v>1326</v>
      </c>
      <c r="J1" s="2" t="s">
        <v>1327</v>
      </c>
      <c r="K1" s="10" t="s">
        <v>1328</v>
      </c>
      <c r="L1" s="2" t="s">
        <v>1345</v>
      </c>
      <c r="M1" s="2" t="s">
        <v>1329</v>
      </c>
      <c r="N1" s="2" t="s">
        <v>1330</v>
      </c>
      <c r="O1" s="2" t="s">
        <v>1331</v>
      </c>
      <c r="P1" s="2" t="s">
        <v>1332</v>
      </c>
      <c r="Q1" s="2" t="s">
        <v>1333</v>
      </c>
      <c r="R1" s="2" t="s">
        <v>1334</v>
      </c>
      <c r="S1" s="15" t="s">
        <v>49</v>
      </c>
      <c r="T1" s="2" t="s">
        <v>1335</v>
      </c>
      <c r="U1" s="2" t="s">
        <v>1336</v>
      </c>
      <c r="V1" s="2" t="s">
        <v>1337</v>
      </c>
      <c r="W1" s="2" t="s">
        <v>1338</v>
      </c>
      <c r="X1" s="2" t="s">
        <v>1339</v>
      </c>
      <c r="Y1" s="2" t="s">
        <v>1340</v>
      </c>
      <c r="Z1" s="2" t="s">
        <v>1341</v>
      </c>
      <c r="AA1" s="15" t="s">
        <v>68</v>
      </c>
      <c r="AB1" s="2" t="s">
        <v>1342</v>
      </c>
      <c r="AC1" s="15" t="s">
        <v>73</v>
      </c>
      <c r="AD1" s="2" t="s">
        <v>1343</v>
      </c>
      <c r="AE1" s="15" t="s">
        <v>79</v>
      </c>
      <c r="AF1" s="2" t="s">
        <v>82</v>
      </c>
      <c r="AG1" s="15" t="s">
        <v>84</v>
      </c>
      <c r="AH1" s="2" t="s">
        <v>1344</v>
      </c>
      <c r="AI1" s="15" t="s">
        <v>87</v>
      </c>
      <c r="AJ1" s="15" t="s">
        <v>89</v>
      </c>
      <c r="AK1" s="15" t="s">
        <v>91</v>
      </c>
      <c r="AL1" s="3" t="s">
        <v>93</v>
      </c>
      <c r="AM1" s="22" t="s">
        <v>96</v>
      </c>
      <c r="AN1" s="3" t="s">
        <v>98</v>
      </c>
      <c r="AO1" s="3" t="s">
        <v>101</v>
      </c>
      <c r="AP1" s="3"/>
    </row>
    <row r="2" spans="1:42" ht="15.6">
      <c r="A2" s="23" t="s">
        <v>138</v>
      </c>
      <c r="B2" s="23" t="s">
        <v>140</v>
      </c>
      <c r="C2" s="23" t="s">
        <v>141</v>
      </c>
      <c r="D2" s="23" t="s">
        <v>64</v>
      </c>
      <c r="E2" s="23" t="s">
        <v>23</v>
      </c>
      <c r="F2" s="26" t="s">
        <v>129</v>
      </c>
      <c r="G2" s="23" t="s">
        <v>134</v>
      </c>
      <c r="H2" s="28">
        <v>26424</v>
      </c>
      <c r="I2" s="23">
        <f t="shared" ref="I2:I163" ca="1" si="0">YEAR(NOW())-YEAR(H2)</f>
        <v>54</v>
      </c>
      <c r="J2" s="29" t="s">
        <v>3</v>
      </c>
      <c r="K2" s="28">
        <v>46169</v>
      </c>
      <c r="L2" s="31">
        <v>168</v>
      </c>
      <c r="M2" s="31">
        <v>77</v>
      </c>
      <c r="N2" s="31">
        <f>M2/(L2*0.01)^2</f>
        <v>27.281746031746035</v>
      </c>
      <c r="O2" s="23">
        <v>140</v>
      </c>
      <c r="P2" s="23">
        <v>81</v>
      </c>
      <c r="Q2" s="31">
        <v>43</v>
      </c>
      <c r="R2" s="23" t="s">
        <v>8</v>
      </c>
      <c r="S2" s="23" t="s">
        <v>146</v>
      </c>
      <c r="T2" s="23">
        <v>114</v>
      </c>
      <c r="U2" s="23">
        <v>121</v>
      </c>
      <c r="V2" s="23">
        <v>92</v>
      </c>
      <c r="W2" s="23">
        <v>19</v>
      </c>
      <c r="X2" s="23">
        <v>27</v>
      </c>
      <c r="Y2" s="37">
        <v>5.6</v>
      </c>
      <c r="Z2" s="23" t="s">
        <v>8</v>
      </c>
      <c r="AA2" s="23" t="s">
        <v>135</v>
      </c>
      <c r="AB2" s="23" t="s">
        <v>4</v>
      </c>
      <c r="AC2" s="23"/>
      <c r="AD2" s="23" t="s">
        <v>8</v>
      </c>
      <c r="AE2" s="23" t="s">
        <v>151</v>
      </c>
      <c r="AF2" s="23"/>
      <c r="AG2" s="23"/>
      <c r="AH2" s="23" t="s">
        <v>153</v>
      </c>
      <c r="AI2" s="23" t="s">
        <v>154</v>
      </c>
      <c r="AJ2" s="23" t="s">
        <v>155</v>
      </c>
      <c r="AK2" s="42">
        <v>46180</v>
      </c>
      <c r="AL2" s="46" t="str">
        <f ca="1">IF((AK2+90)&lt;TODAY(),"เลยกำหนด",IF((AK2+90)-TODAY()&lt;=30,"ใกล้ถึง","ยังไม่ถึง"))</f>
        <v>ใกล้ถึง</v>
      </c>
      <c r="AM2" s="47">
        <f ca="1">MAX(0, (AK2+90) - TODAY())</f>
        <v>19</v>
      </c>
      <c r="AN2" s="30" t="str">
        <f t="shared" ref="AN2:AN79" ca="1" si="1">IF(K2+364&lt;TODAY(),
 "หมดอายุ",
 IF(K2+365-TODAY()&lt;=30,
  "ใกล้หมดอายุ 1 เดือน",
  IF(K2+365-TODAY()&lt;=90,
   "ใกล้หมด 3 เดือน",
   "ยังไม่หมด"
  )
 )
)</f>
        <v>ยังไม่หมด</v>
      </c>
      <c r="AO2" s="47">
        <f t="shared" ref="AO2:AO79" ca="1" si="2">MAX(0, (K2+364) - TODAY())</f>
        <v>282</v>
      </c>
      <c r="AP2" s="47"/>
    </row>
    <row r="3" spans="1:42">
      <c r="A3" s="50" t="s">
        <v>185</v>
      </c>
      <c r="B3" s="50" t="s">
        <v>187</v>
      </c>
      <c r="C3" s="50" t="s">
        <v>188</v>
      </c>
      <c r="D3" s="50" t="s">
        <v>64</v>
      </c>
      <c r="E3" s="50" t="s">
        <v>23</v>
      </c>
      <c r="F3" s="51" t="s">
        <v>129</v>
      </c>
      <c r="G3" s="50" t="s">
        <v>134</v>
      </c>
      <c r="H3" s="52">
        <v>27607</v>
      </c>
      <c r="I3" s="50">
        <f t="shared" ca="1" si="0"/>
        <v>51</v>
      </c>
      <c r="J3" s="50" t="s">
        <v>3</v>
      </c>
      <c r="K3" s="52">
        <v>46093</v>
      </c>
      <c r="L3" s="53">
        <v>153.6</v>
      </c>
      <c r="M3" s="53">
        <v>57.7</v>
      </c>
      <c r="N3" s="53">
        <v>24.79</v>
      </c>
      <c r="O3" s="50">
        <v>132</v>
      </c>
      <c r="P3" s="50">
        <v>90</v>
      </c>
      <c r="Q3" s="53">
        <v>44</v>
      </c>
      <c r="R3" s="50" t="s">
        <v>8</v>
      </c>
      <c r="S3" s="50" t="s">
        <v>201</v>
      </c>
      <c r="T3" s="50">
        <v>100</v>
      </c>
      <c r="U3" s="50">
        <v>108</v>
      </c>
      <c r="V3" s="50">
        <v>91</v>
      </c>
      <c r="W3" s="50">
        <v>24</v>
      </c>
      <c r="X3" s="50">
        <v>32</v>
      </c>
      <c r="Y3" s="54">
        <v>7.4</v>
      </c>
      <c r="Z3" s="50" t="s">
        <v>4</v>
      </c>
      <c r="AA3" s="50"/>
      <c r="AB3" s="50" t="s">
        <v>4</v>
      </c>
      <c r="AC3" s="50"/>
      <c r="AD3" s="50" t="s">
        <v>8</v>
      </c>
      <c r="AE3" s="50" t="s">
        <v>207</v>
      </c>
      <c r="AF3" s="50"/>
      <c r="AG3" s="50"/>
      <c r="AH3" s="50" t="s">
        <v>210</v>
      </c>
      <c r="AI3" s="50" t="s">
        <v>137</v>
      </c>
      <c r="AJ3" s="50" t="s">
        <v>212</v>
      </c>
      <c r="AK3" s="25">
        <v>46225</v>
      </c>
      <c r="AL3" s="55"/>
      <c r="AM3" s="47"/>
      <c r="AN3" s="30" t="str">
        <f t="shared" ca="1" si="1"/>
        <v>ยังไม่หมด</v>
      </c>
      <c r="AO3" s="47">
        <f t="shared" ca="1" si="2"/>
        <v>206</v>
      </c>
      <c r="AP3" s="47"/>
    </row>
    <row r="4" spans="1:42">
      <c r="A4" s="23" t="s">
        <v>216</v>
      </c>
      <c r="B4" s="23" t="s">
        <v>219</v>
      </c>
      <c r="C4" s="23" t="s">
        <v>221</v>
      </c>
      <c r="D4" s="23" t="s">
        <v>64</v>
      </c>
      <c r="E4" s="23" t="s">
        <v>23</v>
      </c>
      <c r="F4" s="26" t="s">
        <v>197</v>
      </c>
      <c r="G4" s="23" t="s">
        <v>134</v>
      </c>
      <c r="H4" s="28">
        <v>28004</v>
      </c>
      <c r="I4" s="23">
        <f t="shared" ca="1" si="0"/>
        <v>50</v>
      </c>
      <c r="J4" s="23" t="s">
        <v>24</v>
      </c>
      <c r="K4" s="28">
        <v>46175</v>
      </c>
      <c r="L4" s="31">
        <v>166.7</v>
      </c>
      <c r="M4" s="31">
        <v>77.900000000000006</v>
      </c>
      <c r="N4" s="31">
        <f t="shared" ref="N4:N133" si="3">M4/(L4*0.01)^2</f>
        <v>28.032785764382822</v>
      </c>
      <c r="O4" s="59">
        <v>126</v>
      </c>
      <c r="P4" s="59">
        <v>83</v>
      </c>
      <c r="Q4" s="31">
        <v>46.7</v>
      </c>
      <c r="R4" s="23" t="s">
        <v>4</v>
      </c>
      <c r="S4" s="23"/>
      <c r="T4" s="23">
        <v>95</v>
      </c>
      <c r="U4" s="23">
        <v>192</v>
      </c>
      <c r="V4" s="23">
        <v>115</v>
      </c>
      <c r="W4" s="23">
        <v>31</v>
      </c>
      <c r="X4" s="23">
        <v>49</v>
      </c>
      <c r="Y4" s="61">
        <v>5.8</v>
      </c>
      <c r="Z4" s="23" t="s">
        <v>4</v>
      </c>
      <c r="AA4" s="23"/>
      <c r="AB4" s="23" t="s">
        <v>8</v>
      </c>
      <c r="AC4" s="23" t="s">
        <v>226</v>
      </c>
      <c r="AD4" s="23" t="s">
        <v>8</v>
      </c>
      <c r="AE4" s="23" t="s">
        <v>227</v>
      </c>
      <c r="AF4" s="23"/>
      <c r="AG4" s="23"/>
      <c r="AH4" s="23" t="s">
        <v>228</v>
      </c>
      <c r="AI4" s="62" t="s">
        <v>218</v>
      </c>
      <c r="AJ4" s="62" t="s">
        <v>229</v>
      </c>
      <c r="AK4" s="63">
        <v>46183</v>
      </c>
      <c r="AL4" s="46" t="str">
        <f ca="1">IF((AK4+90)&lt;TODAY(),"เลยกำหนด",IF((AK4+90)-TODAY()&lt;=30,"ใกล้ถึง","ยังไม่ถึง"))</f>
        <v>ใกล้ถึง</v>
      </c>
      <c r="AM4" s="47">
        <f ca="1">MAX(0, (AK4+90) - TODAY())</f>
        <v>22</v>
      </c>
      <c r="AN4" s="48" t="str">
        <f t="shared" ca="1" si="1"/>
        <v>ยังไม่หมด</v>
      </c>
      <c r="AO4" s="47">
        <f t="shared" ca="1" si="2"/>
        <v>288</v>
      </c>
      <c r="AP4" s="47"/>
    </row>
    <row r="5" spans="1:42" ht="15.6">
      <c r="A5" s="64" t="s">
        <v>232</v>
      </c>
      <c r="B5" s="64" t="s">
        <v>233</v>
      </c>
      <c r="C5" s="64" t="s">
        <v>234</v>
      </c>
      <c r="D5" s="64" t="s">
        <v>64</v>
      </c>
      <c r="E5" s="64" t="s">
        <v>23</v>
      </c>
      <c r="F5" s="65" t="s">
        <v>129</v>
      </c>
      <c r="G5" s="64" t="s">
        <v>134</v>
      </c>
      <c r="H5" s="66">
        <v>30481</v>
      </c>
      <c r="I5" s="64">
        <f t="shared" ca="1" si="0"/>
        <v>43</v>
      </c>
      <c r="J5" s="68" t="s">
        <v>3</v>
      </c>
      <c r="K5" s="66">
        <v>46232</v>
      </c>
      <c r="L5" s="69">
        <v>171.3</v>
      </c>
      <c r="M5" s="69">
        <v>78.7</v>
      </c>
      <c r="N5" s="69">
        <f t="shared" si="3"/>
        <v>26.820076139026821</v>
      </c>
      <c r="O5" s="64">
        <v>115</v>
      </c>
      <c r="P5" s="64">
        <v>82</v>
      </c>
      <c r="Q5" s="69">
        <v>47.6</v>
      </c>
      <c r="R5" s="64" t="s">
        <v>4</v>
      </c>
      <c r="S5" s="64"/>
      <c r="T5" s="64">
        <v>95</v>
      </c>
      <c r="U5" s="64">
        <v>104</v>
      </c>
      <c r="V5" s="64">
        <v>130</v>
      </c>
      <c r="W5" s="64">
        <v>31</v>
      </c>
      <c r="X5" s="64">
        <v>76</v>
      </c>
      <c r="Y5" s="70">
        <v>6.2</v>
      </c>
      <c r="Z5" s="64" t="s">
        <v>4</v>
      </c>
      <c r="AA5" s="64"/>
      <c r="AB5" s="64" t="s">
        <v>4</v>
      </c>
      <c r="AC5" s="64"/>
      <c r="AD5" s="64" t="s">
        <v>4</v>
      </c>
      <c r="AE5" s="64"/>
      <c r="AF5" s="64" t="s">
        <v>4</v>
      </c>
      <c r="AG5" s="64"/>
      <c r="AH5" s="64"/>
      <c r="AI5" s="64" t="s">
        <v>242</v>
      </c>
      <c r="AJ5" s="64" t="s">
        <v>243</v>
      </c>
      <c r="AK5" s="71">
        <v>46238</v>
      </c>
      <c r="AL5" s="71"/>
      <c r="AM5" s="27"/>
      <c r="AN5" s="30" t="str">
        <f t="shared" ca="1" si="1"/>
        <v>ยังไม่หมด</v>
      </c>
      <c r="AO5" s="47">
        <f t="shared" ca="1" si="2"/>
        <v>345</v>
      </c>
      <c r="AP5" s="47"/>
    </row>
    <row r="6" spans="1:42">
      <c r="A6" s="50" t="s">
        <v>247</v>
      </c>
      <c r="B6" s="50" t="s">
        <v>248</v>
      </c>
      <c r="C6" s="50" t="s">
        <v>249</v>
      </c>
      <c r="D6" s="50" t="s">
        <v>64</v>
      </c>
      <c r="E6" s="50" t="s">
        <v>23</v>
      </c>
      <c r="F6" s="51" t="s">
        <v>197</v>
      </c>
      <c r="G6" s="50" t="s">
        <v>134</v>
      </c>
      <c r="H6" s="52">
        <v>27594</v>
      </c>
      <c r="I6" s="50">
        <f t="shared" ca="1" si="0"/>
        <v>51</v>
      </c>
      <c r="J6" s="50" t="s">
        <v>41</v>
      </c>
      <c r="K6" s="52">
        <v>45925</v>
      </c>
      <c r="L6" s="53">
        <v>166</v>
      </c>
      <c r="M6" s="53">
        <v>76.2</v>
      </c>
      <c r="N6" s="53">
        <f t="shared" si="3"/>
        <v>27.652779793874291</v>
      </c>
      <c r="O6" s="50">
        <v>137</v>
      </c>
      <c r="P6" s="50">
        <v>82</v>
      </c>
      <c r="Q6" s="53">
        <v>46</v>
      </c>
      <c r="R6" s="50" t="s">
        <v>4</v>
      </c>
      <c r="S6" s="50"/>
      <c r="T6" s="50">
        <v>115</v>
      </c>
      <c r="U6" s="50">
        <v>132</v>
      </c>
      <c r="V6" s="50">
        <v>117</v>
      </c>
      <c r="W6" s="50">
        <v>25</v>
      </c>
      <c r="X6" s="50">
        <v>21</v>
      </c>
      <c r="Y6" s="50">
        <v>6.7</v>
      </c>
      <c r="Z6" s="50" t="s">
        <v>8</v>
      </c>
      <c r="AA6" s="50" t="s">
        <v>135</v>
      </c>
      <c r="AB6" s="50" t="s">
        <v>4</v>
      </c>
      <c r="AC6" s="50"/>
      <c r="AD6" s="50" t="s">
        <v>8</v>
      </c>
      <c r="AE6" s="50" t="s">
        <v>250</v>
      </c>
      <c r="AF6" s="50" t="s">
        <v>4</v>
      </c>
      <c r="AG6" s="50"/>
      <c r="AH6" s="50" t="s">
        <v>251</v>
      </c>
      <c r="AI6" s="50" t="s">
        <v>137</v>
      </c>
      <c r="AJ6" s="50" t="s">
        <v>252</v>
      </c>
      <c r="AK6" s="55">
        <v>46091</v>
      </c>
      <c r="AL6" s="55"/>
      <c r="AM6" s="27"/>
      <c r="AN6" s="30" t="str">
        <f t="shared" ca="1" si="1"/>
        <v>ใกล้หมด 3 เดือน</v>
      </c>
      <c r="AO6" s="47">
        <f t="shared" ca="1" si="2"/>
        <v>38</v>
      </c>
      <c r="AP6" s="47"/>
    </row>
    <row r="7" spans="1:42" ht="15.6">
      <c r="A7" s="50" t="s">
        <v>253</v>
      </c>
      <c r="B7" s="50" t="s">
        <v>255</v>
      </c>
      <c r="C7" s="50" t="s">
        <v>256</v>
      </c>
      <c r="D7" s="50" t="s">
        <v>64</v>
      </c>
      <c r="E7" s="50" t="s">
        <v>23</v>
      </c>
      <c r="F7" s="51" t="s">
        <v>197</v>
      </c>
      <c r="G7" s="50" t="s">
        <v>134</v>
      </c>
      <c r="H7" s="52">
        <v>30609</v>
      </c>
      <c r="I7" s="50">
        <f t="shared" ca="1" si="0"/>
        <v>43</v>
      </c>
      <c r="J7" s="73" t="s">
        <v>3</v>
      </c>
      <c r="K7" s="52">
        <v>46207</v>
      </c>
      <c r="L7" s="53">
        <v>178</v>
      </c>
      <c r="M7" s="53">
        <v>75.599999999999994</v>
      </c>
      <c r="N7" s="53">
        <f t="shared" si="3"/>
        <v>23.86062365862896</v>
      </c>
      <c r="O7" s="50">
        <v>115</v>
      </c>
      <c r="P7" s="50">
        <v>68</v>
      </c>
      <c r="Q7" s="53">
        <v>42</v>
      </c>
      <c r="R7" s="50" t="s">
        <v>4</v>
      </c>
      <c r="S7" s="50"/>
      <c r="T7" s="74">
        <v>102</v>
      </c>
      <c r="U7" s="50">
        <v>126</v>
      </c>
      <c r="V7" s="50">
        <v>97</v>
      </c>
      <c r="W7" s="50">
        <v>30</v>
      </c>
      <c r="X7" s="50">
        <v>38</v>
      </c>
      <c r="Y7" s="75">
        <v>7.4</v>
      </c>
      <c r="Z7" s="50" t="s">
        <v>4</v>
      </c>
      <c r="AA7" s="50"/>
      <c r="AB7" s="50" t="s">
        <v>4</v>
      </c>
      <c r="AC7" s="50"/>
      <c r="AD7" s="50" t="s">
        <v>4</v>
      </c>
      <c r="AE7" s="50"/>
      <c r="AF7" s="50"/>
      <c r="AG7" s="50"/>
      <c r="AH7" s="50"/>
      <c r="AI7" s="50" t="s">
        <v>137</v>
      </c>
      <c r="AJ7" s="50" t="s">
        <v>261</v>
      </c>
      <c r="AK7" s="25">
        <v>46210</v>
      </c>
      <c r="AL7" s="25"/>
      <c r="AM7" s="27"/>
      <c r="AN7" s="48" t="str">
        <f t="shared" ca="1" si="1"/>
        <v>ยังไม่หมด</v>
      </c>
      <c r="AO7" s="47">
        <f t="shared" ca="1" si="2"/>
        <v>320</v>
      </c>
      <c r="AP7" s="47"/>
    </row>
    <row r="8" spans="1:42" ht="15.6">
      <c r="A8" s="50" t="s">
        <v>264</v>
      </c>
      <c r="B8" s="50" t="s">
        <v>265</v>
      </c>
      <c r="C8" s="50" t="s">
        <v>266</v>
      </c>
      <c r="D8" s="50" t="s">
        <v>64</v>
      </c>
      <c r="E8" s="50" t="s">
        <v>23</v>
      </c>
      <c r="F8" s="51" t="s">
        <v>225</v>
      </c>
      <c r="G8" s="50" t="s">
        <v>134</v>
      </c>
      <c r="H8" s="52">
        <v>31440</v>
      </c>
      <c r="I8" s="50">
        <f t="shared" ca="1" si="0"/>
        <v>40</v>
      </c>
      <c r="J8" s="50" t="s">
        <v>3</v>
      </c>
      <c r="K8" s="52">
        <v>46008</v>
      </c>
      <c r="L8" s="53">
        <v>171</v>
      </c>
      <c r="M8" s="53">
        <v>69.650000000000006</v>
      </c>
      <c r="N8" s="53">
        <f t="shared" si="3"/>
        <v>23.819294825758359</v>
      </c>
      <c r="O8" s="50">
        <v>114</v>
      </c>
      <c r="P8" s="50">
        <v>79</v>
      </c>
      <c r="Q8" s="53">
        <v>37.799999999999997</v>
      </c>
      <c r="R8" s="73" t="s">
        <v>4</v>
      </c>
      <c r="S8" s="50"/>
      <c r="T8" s="50">
        <v>89</v>
      </c>
      <c r="U8" s="76">
        <v>93.5</v>
      </c>
      <c r="V8" s="50">
        <v>83</v>
      </c>
      <c r="W8" s="50">
        <v>23</v>
      </c>
      <c r="X8" s="50">
        <v>19</v>
      </c>
      <c r="Y8" s="54">
        <v>5.9</v>
      </c>
      <c r="Z8" s="50" t="s">
        <v>4</v>
      </c>
      <c r="AA8" s="50"/>
      <c r="AB8" s="50" t="s">
        <v>4</v>
      </c>
      <c r="AC8" s="50"/>
      <c r="AD8" s="50" t="s">
        <v>8</v>
      </c>
      <c r="AE8" s="76" t="s">
        <v>272</v>
      </c>
      <c r="AF8" s="50"/>
      <c r="AG8" s="50"/>
      <c r="AH8" s="50" t="s">
        <v>273</v>
      </c>
      <c r="AI8" s="50" t="s">
        <v>137</v>
      </c>
      <c r="AJ8" s="78" t="s">
        <v>274</v>
      </c>
      <c r="AK8" s="25">
        <v>46057</v>
      </c>
      <c r="AL8" s="55"/>
      <c r="AM8" s="27"/>
      <c r="AN8" s="30" t="str">
        <f t="shared" ca="1" si="1"/>
        <v>ยังไม่หมด</v>
      </c>
      <c r="AO8" s="47">
        <f t="shared" ca="1" si="2"/>
        <v>121</v>
      </c>
      <c r="AP8" s="47"/>
    </row>
    <row r="9" spans="1:42">
      <c r="A9" s="23" t="s">
        <v>277</v>
      </c>
      <c r="B9" s="23" t="s">
        <v>279</v>
      </c>
      <c r="C9" s="23" t="s">
        <v>280</v>
      </c>
      <c r="D9" s="23" t="s">
        <v>64</v>
      </c>
      <c r="E9" s="23" t="s">
        <v>23</v>
      </c>
      <c r="F9" s="26" t="s">
        <v>225</v>
      </c>
      <c r="G9" s="23" t="s">
        <v>134</v>
      </c>
      <c r="H9" s="28">
        <v>32202</v>
      </c>
      <c r="I9" s="23">
        <f t="shared" ca="1" si="0"/>
        <v>38</v>
      </c>
      <c r="J9" s="23" t="s">
        <v>281</v>
      </c>
      <c r="K9" s="28">
        <v>46170</v>
      </c>
      <c r="L9" s="31">
        <v>173</v>
      </c>
      <c r="M9" s="31">
        <v>88.9</v>
      </c>
      <c r="N9" s="31">
        <f t="shared" si="3"/>
        <v>29.703631928898393</v>
      </c>
      <c r="O9" s="23">
        <v>115</v>
      </c>
      <c r="P9" s="23">
        <v>73</v>
      </c>
      <c r="Q9" s="31">
        <v>50</v>
      </c>
      <c r="R9" s="23" t="s">
        <v>4</v>
      </c>
      <c r="S9" s="23" t="s">
        <v>282</v>
      </c>
      <c r="T9" s="23">
        <v>99</v>
      </c>
      <c r="U9" s="23">
        <v>71</v>
      </c>
      <c r="V9" s="23">
        <v>240</v>
      </c>
      <c r="W9" s="23">
        <v>47</v>
      </c>
      <c r="X9" s="23">
        <v>80</v>
      </c>
      <c r="Y9" s="37">
        <v>7.5</v>
      </c>
      <c r="Z9" s="23" t="s">
        <v>4</v>
      </c>
      <c r="AA9" s="23"/>
      <c r="AB9" s="23" t="s">
        <v>4</v>
      </c>
      <c r="AC9" s="23"/>
      <c r="AD9" s="23" t="s">
        <v>4</v>
      </c>
      <c r="AE9" s="23"/>
      <c r="AF9" s="23"/>
      <c r="AG9" s="23"/>
      <c r="AH9" s="23"/>
      <c r="AI9" s="62" t="s">
        <v>218</v>
      </c>
      <c r="AJ9" s="62" t="s">
        <v>285</v>
      </c>
      <c r="AK9" s="63">
        <v>46177</v>
      </c>
      <c r="AL9" s="46" t="str">
        <f ca="1">IF((AK9+90)&lt;TODAY(),"เลยกำหนด",IF((AK9+90)-TODAY()&lt;=30,"ใกล้ถึง","ยังไม่ถึง"))</f>
        <v>ใกล้ถึง</v>
      </c>
      <c r="AM9" s="47">
        <f ca="1">MAX(0, (AK9+90) - TODAY())</f>
        <v>16</v>
      </c>
      <c r="AN9" s="30" t="str">
        <f t="shared" ca="1" si="1"/>
        <v>ยังไม่หมด</v>
      </c>
      <c r="AO9" s="47">
        <f t="shared" ca="1" si="2"/>
        <v>283</v>
      </c>
      <c r="AP9" s="47"/>
    </row>
    <row r="10" spans="1:42">
      <c r="A10" s="50" t="s">
        <v>288</v>
      </c>
      <c r="B10" s="50" t="s">
        <v>289</v>
      </c>
      <c r="C10" s="50" t="s">
        <v>290</v>
      </c>
      <c r="D10" s="50" t="s">
        <v>64</v>
      </c>
      <c r="E10" s="50" t="s">
        <v>23</v>
      </c>
      <c r="F10" s="51" t="s">
        <v>225</v>
      </c>
      <c r="G10" s="50" t="s">
        <v>134</v>
      </c>
      <c r="H10" s="52">
        <v>30895</v>
      </c>
      <c r="I10" s="50">
        <f t="shared" ca="1" si="0"/>
        <v>42</v>
      </c>
      <c r="J10" s="50" t="s">
        <v>3</v>
      </c>
      <c r="K10" s="52">
        <v>46028</v>
      </c>
      <c r="L10" s="53">
        <v>168.3</v>
      </c>
      <c r="M10" s="53">
        <v>69.45</v>
      </c>
      <c r="N10" s="53">
        <f t="shared" si="3"/>
        <v>24.51907138915632</v>
      </c>
      <c r="O10" s="50">
        <v>133</v>
      </c>
      <c r="P10" s="50">
        <v>79</v>
      </c>
      <c r="Q10" s="53">
        <v>45.4</v>
      </c>
      <c r="R10" s="50" t="s">
        <v>4</v>
      </c>
      <c r="S10" s="50"/>
      <c r="T10" s="50">
        <v>102</v>
      </c>
      <c r="U10" s="50">
        <v>157</v>
      </c>
      <c r="V10" s="50">
        <v>178</v>
      </c>
      <c r="W10" s="50">
        <v>29</v>
      </c>
      <c r="X10" s="76">
        <v>50</v>
      </c>
      <c r="Y10" s="54">
        <v>5.8</v>
      </c>
      <c r="Z10" s="50" t="s">
        <v>8</v>
      </c>
      <c r="AA10" s="50" t="s">
        <v>135</v>
      </c>
      <c r="AB10" s="50" t="s">
        <v>4</v>
      </c>
      <c r="AC10" s="50"/>
      <c r="AD10" s="50" t="s">
        <v>8</v>
      </c>
      <c r="AE10" s="76" t="s">
        <v>295</v>
      </c>
      <c r="AF10" s="50" t="s">
        <v>4</v>
      </c>
      <c r="AG10" s="50"/>
      <c r="AH10" s="50" t="s">
        <v>296</v>
      </c>
      <c r="AI10" s="50" t="s">
        <v>137</v>
      </c>
      <c r="AJ10" s="50" t="s">
        <v>231</v>
      </c>
      <c r="AK10" s="25">
        <v>46212</v>
      </c>
      <c r="AL10" s="55"/>
      <c r="AM10" s="47"/>
      <c r="AN10" s="30" t="str">
        <f t="shared" ca="1" si="1"/>
        <v>ยังไม่หมด</v>
      </c>
      <c r="AO10" s="47">
        <f t="shared" ca="1" si="2"/>
        <v>141</v>
      </c>
      <c r="AP10" s="47"/>
    </row>
    <row r="11" spans="1:42">
      <c r="A11" s="50" t="s">
        <v>300</v>
      </c>
      <c r="B11" s="50" t="s">
        <v>301</v>
      </c>
      <c r="C11" s="50" t="s">
        <v>302</v>
      </c>
      <c r="D11" s="50" t="s">
        <v>64</v>
      </c>
      <c r="E11" s="50" t="s">
        <v>23</v>
      </c>
      <c r="F11" s="51" t="s">
        <v>225</v>
      </c>
      <c r="G11" s="50" t="s">
        <v>134</v>
      </c>
      <c r="H11" s="52">
        <v>32719</v>
      </c>
      <c r="I11" s="50">
        <f t="shared" ca="1" si="0"/>
        <v>37</v>
      </c>
      <c r="J11" s="50" t="s">
        <v>24</v>
      </c>
      <c r="K11" s="52">
        <v>46090</v>
      </c>
      <c r="L11" s="53">
        <v>162.80000000000001</v>
      </c>
      <c r="M11" s="53">
        <v>65.3</v>
      </c>
      <c r="N11" s="53">
        <f t="shared" si="3"/>
        <v>24.637939257103874</v>
      </c>
      <c r="O11" s="50">
        <v>137</v>
      </c>
      <c r="P11" s="50">
        <v>81</v>
      </c>
      <c r="Q11" s="53">
        <v>45</v>
      </c>
      <c r="R11" s="50" t="s">
        <v>4</v>
      </c>
      <c r="S11" s="50"/>
      <c r="T11" s="50">
        <v>94</v>
      </c>
      <c r="U11" s="50">
        <v>116</v>
      </c>
      <c r="V11" s="50">
        <v>81</v>
      </c>
      <c r="W11" s="50">
        <v>33</v>
      </c>
      <c r="X11" s="50">
        <v>32</v>
      </c>
      <c r="Y11" s="54">
        <v>5.8</v>
      </c>
      <c r="Z11" s="50" t="s">
        <v>4</v>
      </c>
      <c r="AA11" s="50"/>
      <c r="AB11" s="50" t="s">
        <v>4</v>
      </c>
      <c r="AC11" s="50"/>
      <c r="AD11" s="50" t="s">
        <v>4</v>
      </c>
      <c r="AE11" s="50"/>
      <c r="AF11" s="50"/>
      <c r="AG11" s="50"/>
      <c r="AH11" s="50"/>
      <c r="AI11" s="50" t="s">
        <v>137</v>
      </c>
      <c r="AJ11" s="50" t="s">
        <v>231</v>
      </c>
      <c r="AK11" s="25">
        <v>46094</v>
      </c>
      <c r="AL11" s="25"/>
      <c r="AM11" s="27"/>
      <c r="AN11" s="30" t="str">
        <f t="shared" ca="1" si="1"/>
        <v>ยังไม่หมด</v>
      </c>
      <c r="AO11" s="47">
        <f t="shared" ca="1" si="2"/>
        <v>203</v>
      </c>
      <c r="AP11" s="47"/>
    </row>
    <row r="12" spans="1:42">
      <c r="A12" s="50" t="s">
        <v>308</v>
      </c>
      <c r="B12" s="50" t="s">
        <v>309</v>
      </c>
      <c r="C12" s="50" t="s">
        <v>310</v>
      </c>
      <c r="D12" s="50" t="s">
        <v>64</v>
      </c>
      <c r="E12" s="50" t="s">
        <v>23</v>
      </c>
      <c r="F12" s="51" t="s">
        <v>225</v>
      </c>
      <c r="G12" s="50" t="s">
        <v>134</v>
      </c>
      <c r="H12" s="52">
        <v>29519</v>
      </c>
      <c r="I12" s="50">
        <f t="shared" ca="1" si="0"/>
        <v>46</v>
      </c>
      <c r="J12" s="50" t="s">
        <v>3</v>
      </c>
      <c r="K12" s="52">
        <v>46227</v>
      </c>
      <c r="L12" s="53">
        <v>159.5</v>
      </c>
      <c r="M12" s="53">
        <v>52.9</v>
      </c>
      <c r="N12" s="53">
        <f t="shared" si="3"/>
        <v>20.7938208154401</v>
      </c>
      <c r="O12" s="50">
        <v>127</v>
      </c>
      <c r="P12" s="50">
        <v>77</v>
      </c>
      <c r="Q12" s="53">
        <v>43.6</v>
      </c>
      <c r="R12" s="50" t="s">
        <v>4</v>
      </c>
      <c r="S12" s="50"/>
      <c r="T12" s="50">
        <v>101</v>
      </c>
      <c r="U12" s="50">
        <v>125</v>
      </c>
      <c r="V12" s="50">
        <v>65</v>
      </c>
      <c r="W12" s="50">
        <v>20</v>
      </c>
      <c r="X12" s="50">
        <v>17</v>
      </c>
      <c r="Y12" s="54">
        <v>5.2</v>
      </c>
      <c r="Z12" s="50" t="s">
        <v>4</v>
      </c>
      <c r="AA12" s="50"/>
      <c r="AB12" s="50" t="s">
        <v>4</v>
      </c>
      <c r="AC12" s="50"/>
      <c r="AD12" s="50" t="s">
        <v>8</v>
      </c>
      <c r="AE12" s="50" t="s">
        <v>314</v>
      </c>
      <c r="AF12" s="50"/>
      <c r="AG12" s="50"/>
      <c r="AH12" s="50" t="s">
        <v>315</v>
      </c>
      <c r="AI12" s="50" t="s">
        <v>137</v>
      </c>
      <c r="AJ12" s="50" t="s">
        <v>231</v>
      </c>
      <c r="AK12" s="25">
        <v>46234</v>
      </c>
      <c r="AL12" s="25"/>
      <c r="AM12" s="27"/>
      <c r="AN12" s="48" t="str">
        <f t="shared" ca="1" si="1"/>
        <v>ยังไม่หมด</v>
      </c>
      <c r="AO12" s="47">
        <f t="shared" ca="1" si="2"/>
        <v>340</v>
      </c>
      <c r="AP12" s="47"/>
    </row>
    <row r="13" spans="1:42" ht="15" customHeight="1">
      <c r="A13" s="50" t="s">
        <v>316</v>
      </c>
      <c r="B13" s="50" t="s">
        <v>317</v>
      </c>
      <c r="C13" s="50" t="s">
        <v>318</v>
      </c>
      <c r="D13" s="50" t="s">
        <v>64</v>
      </c>
      <c r="E13" s="50" t="s">
        <v>23</v>
      </c>
      <c r="F13" s="51" t="s">
        <v>225</v>
      </c>
      <c r="G13" s="50" t="s">
        <v>134</v>
      </c>
      <c r="H13" s="52">
        <v>27379</v>
      </c>
      <c r="I13" s="50">
        <f t="shared" ca="1" si="0"/>
        <v>52</v>
      </c>
      <c r="J13" s="50" t="s">
        <v>3</v>
      </c>
      <c r="K13" s="52">
        <v>45903</v>
      </c>
      <c r="L13" s="53">
        <v>177</v>
      </c>
      <c r="M13" s="53">
        <v>73</v>
      </c>
      <c r="N13" s="53">
        <f t="shared" si="3"/>
        <v>23.301094832264035</v>
      </c>
      <c r="O13" s="50">
        <v>118</v>
      </c>
      <c r="P13" s="50">
        <v>88</v>
      </c>
      <c r="Q13" s="53">
        <v>44</v>
      </c>
      <c r="R13" s="50" t="s">
        <v>4</v>
      </c>
      <c r="S13" s="50"/>
      <c r="T13" s="50">
        <v>92</v>
      </c>
      <c r="U13" s="50">
        <v>70</v>
      </c>
      <c r="V13" s="50">
        <v>86</v>
      </c>
      <c r="W13" s="50">
        <v>20</v>
      </c>
      <c r="X13" s="50">
        <v>17</v>
      </c>
      <c r="Y13" s="75">
        <v>7.9</v>
      </c>
      <c r="Z13" s="50" t="s">
        <v>8</v>
      </c>
      <c r="AA13" s="50" t="s">
        <v>135</v>
      </c>
      <c r="AB13" s="50" t="s">
        <v>4</v>
      </c>
      <c r="AC13" s="50"/>
      <c r="AD13" s="50" t="s">
        <v>8</v>
      </c>
      <c r="AE13" s="50" t="s">
        <v>319</v>
      </c>
      <c r="AF13" s="50" t="s">
        <v>4</v>
      </c>
      <c r="AG13" s="50" t="s">
        <v>320</v>
      </c>
      <c r="AH13" s="50" t="s">
        <v>321</v>
      </c>
      <c r="AI13" s="50" t="s">
        <v>137</v>
      </c>
      <c r="AJ13" s="50" t="s">
        <v>241</v>
      </c>
      <c r="AK13" s="25">
        <v>45912</v>
      </c>
      <c r="AL13" s="25"/>
      <c r="AM13" s="27"/>
      <c r="AN13" s="30" t="str">
        <f t="shared" ca="1" si="1"/>
        <v>ใกล้หมดอายุ 1 เดือน</v>
      </c>
      <c r="AO13" s="47">
        <f t="shared" ca="1" si="2"/>
        <v>16</v>
      </c>
      <c r="AP13" s="47"/>
    </row>
    <row r="14" spans="1:42">
      <c r="A14" s="50" t="s">
        <v>326</v>
      </c>
      <c r="B14" s="50" t="s">
        <v>327</v>
      </c>
      <c r="C14" s="82" t="s">
        <v>329</v>
      </c>
      <c r="D14" s="82" t="s">
        <v>64</v>
      </c>
      <c r="E14" s="82" t="s">
        <v>23</v>
      </c>
      <c r="F14" s="83" t="s">
        <v>225</v>
      </c>
      <c r="G14" s="82" t="s">
        <v>134</v>
      </c>
      <c r="H14" s="84">
        <v>31706</v>
      </c>
      <c r="I14" s="82">
        <f t="shared" ca="1" si="0"/>
        <v>40</v>
      </c>
      <c r="J14" s="82" t="s">
        <v>3</v>
      </c>
      <c r="K14" s="52">
        <v>46192</v>
      </c>
      <c r="L14" s="85">
        <v>168.9</v>
      </c>
      <c r="M14" s="85">
        <v>70.55</v>
      </c>
      <c r="N14" s="85">
        <f t="shared" si="3"/>
        <v>24.730774583283814</v>
      </c>
      <c r="O14" s="82">
        <v>144</v>
      </c>
      <c r="P14" s="82">
        <v>101</v>
      </c>
      <c r="Q14" s="85">
        <v>44.2</v>
      </c>
      <c r="R14" s="82" t="s">
        <v>8</v>
      </c>
      <c r="S14" s="82" t="s">
        <v>330</v>
      </c>
      <c r="T14" s="74">
        <v>110</v>
      </c>
      <c r="U14" s="82">
        <v>222</v>
      </c>
      <c r="V14" s="82">
        <v>85</v>
      </c>
      <c r="W14" s="82">
        <v>21</v>
      </c>
      <c r="X14" s="82">
        <v>25</v>
      </c>
      <c r="Y14" s="86">
        <v>7.2</v>
      </c>
      <c r="Z14" s="82" t="s">
        <v>4</v>
      </c>
      <c r="AA14" s="82"/>
      <c r="AB14" s="82" t="s">
        <v>4</v>
      </c>
      <c r="AC14" s="82"/>
      <c r="AD14" s="82" t="s">
        <v>4</v>
      </c>
      <c r="AE14" s="82"/>
      <c r="AF14" s="82"/>
      <c r="AG14" s="82"/>
      <c r="AH14" s="82" t="s">
        <v>331</v>
      </c>
      <c r="AI14" s="82" t="s">
        <v>137</v>
      </c>
      <c r="AJ14" s="82" t="s">
        <v>333</v>
      </c>
      <c r="AK14" s="87">
        <v>46245</v>
      </c>
      <c r="AL14" s="74"/>
      <c r="AM14" s="27"/>
      <c r="AN14" s="30" t="str">
        <f t="shared" ca="1" si="1"/>
        <v>ยังไม่หมด</v>
      </c>
      <c r="AO14" s="47">
        <f t="shared" ca="1" si="2"/>
        <v>305</v>
      </c>
      <c r="AP14" s="47"/>
    </row>
    <row r="15" spans="1:42">
      <c r="A15" s="50" t="s">
        <v>336</v>
      </c>
      <c r="B15" s="50" t="s">
        <v>337</v>
      </c>
      <c r="C15" s="50" t="s">
        <v>338</v>
      </c>
      <c r="D15" s="50" t="s">
        <v>64</v>
      </c>
      <c r="E15" s="50" t="s">
        <v>23</v>
      </c>
      <c r="F15" s="51" t="s">
        <v>225</v>
      </c>
      <c r="G15" s="50" t="s">
        <v>134</v>
      </c>
      <c r="H15" s="52">
        <v>33183</v>
      </c>
      <c r="I15" s="50">
        <f t="shared" ca="1" si="0"/>
        <v>36</v>
      </c>
      <c r="J15" s="50" t="s">
        <v>3</v>
      </c>
      <c r="K15" s="52">
        <v>46155</v>
      </c>
      <c r="L15" s="53">
        <v>178</v>
      </c>
      <c r="M15" s="53">
        <v>80</v>
      </c>
      <c r="N15" s="53">
        <f t="shared" si="3"/>
        <v>25.249337204898371</v>
      </c>
      <c r="O15" s="50">
        <v>122</v>
      </c>
      <c r="P15" s="50">
        <v>68</v>
      </c>
      <c r="Q15" s="53">
        <v>43</v>
      </c>
      <c r="R15" s="50" t="s">
        <v>4</v>
      </c>
      <c r="S15" s="50"/>
      <c r="T15" s="50">
        <v>94</v>
      </c>
      <c r="U15" s="50">
        <v>158</v>
      </c>
      <c r="V15" s="50">
        <v>72</v>
      </c>
      <c r="W15" s="50">
        <v>25</v>
      </c>
      <c r="X15" s="50">
        <v>18</v>
      </c>
      <c r="Y15" s="54">
        <v>5.4</v>
      </c>
      <c r="Z15" s="50" t="s">
        <v>8</v>
      </c>
      <c r="AA15" s="50" t="s">
        <v>135</v>
      </c>
      <c r="AB15" s="50" t="s">
        <v>4</v>
      </c>
      <c r="AC15" s="50"/>
      <c r="AD15" s="50" t="s">
        <v>4</v>
      </c>
      <c r="AE15" s="50"/>
      <c r="AF15" s="50" t="s">
        <v>4</v>
      </c>
      <c r="AG15" s="50"/>
      <c r="AH15" s="50"/>
      <c r="AI15" s="50" t="s">
        <v>137</v>
      </c>
      <c r="AJ15" s="50" t="s">
        <v>254</v>
      </c>
      <c r="AK15" s="25">
        <v>46160</v>
      </c>
      <c r="AL15" s="25"/>
      <c r="AM15" s="27"/>
      <c r="AN15" s="30" t="str">
        <f t="shared" ca="1" si="1"/>
        <v>ยังไม่หมด</v>
      </c>
      <c r="AO15" s="47">
        <f t="shared" ca="1" si="2"/>
        <v>268</v>
      </c>
      <c r="AP15" s="47"/>
    </row>
    <row r="16" spans="1:42" ht="15.75" customHeight="1">
      <c r="A16" s="50" t="s">
        <v>345</v>
      </c>
      <c r="B16" s="50" t="s">
        <v>346</v>
      </c>
      <c r="C16" s="50" t="s">
        <v>347</v>
      </c>
      <c r="D16" s="50" t="s">
        <v>64</v>
      </c>
      <c r="E16" s="50" t="s">
        <v>23</v>
      </c>
      <c r="F16" s="51" t="s">
        <v>225</v>
      </c>
      <c r="G16" s="50" t="s">
        <v>134</v>
      </c>
      <c r="H16" s="52">
        <v>29683</v>
      </c>
      <c r="I16" s="50">
        <f t="shared" ca="1" si="0"/>
        <v>45</v>
      </c>
      <c r="J16" s="50" t="s">
        <v>3</v>
      </c>
      <c r="K16" s="52">
        <v>45915</v>
      </c>
      <c r="L16" s="53">
        <v>182.3</v>
      </c>
      <c r="M16" s="53">
        <v>80</v>
      </c>
      <c r="N16" s="53">
        <f t="shared" si="3"/>
        <v>24.072248038036555</v>
      </c>
      <c r="O16" s="50">
        <v>136</v>
      </c>
      <c r="P16" s="50">
        <v>78</v>
      </c>
      <c r="Q16" s="53">
        <v>50</v>
      </c>
      <c r="R16" s="50" t="s">
        <v>4</v>
      </c>
      <c r="S16" s="50"/>
      <c r="T16" s="76">
        <v>101</v>
      </c>
      <c r="U16" s="76">
        <v>118</v>
      </c>
      <c r="V16" s="76">
        <v>79</v>
      </c>
      <c r="W16" s="76">
        <v>23</v>
      </c>
      <c r="X16" s="76">
        <v>39</v>
      </c>
      <c r="Y16" s="54">
        <v>5.7</v>
      </c>
      <c r="Z16" s="50" t="s">
        <v>4</v>
      </c>
      <c r="AA16" s="50"/>
      <c r="AB16" s="50" t="s">
        <v>4</v>
      </c>
      <c r="AC16" s="50"/>
      <c r="AD16" s="50" t="s">
        <v>8</v>
      </c>
      <c r="AE16" s="76" t="s">
        <v>350</v>
      </c>
      <c r="AF16" s="50"/>
      <c r="AG16" s="50"/>
      <c r="AH16" s="76" t="s">
        <v>351</v>
      </c>
      <c r="AI16" s="50" t="s">
        <v>137</v>
      </c>
      <c r="AJ16" s="50" t="s">
        <v>231</v>
      </c>
      <c r="AK16" s="25">
        <v>45982</v>
      </c>
      <c r="AL16" s="25"/>
      <c r="AM16" s="27"/>
      <c r="AN16" s="30" t="str">
        <f t="shared" ca="1" si="1"/>
        <v>ใกล้หมดอายุ 1 เดือน</v>
      </c>
      <c r="AO16" s="47">
        <f t="shared" ca="1" si="2"/>
        <v>28</v>
      </c>
      <c r="AP16" s="47"/>
    </row>
    <row r="17" spans="1:42" ht="15.75" customHeight="1">
      <c r="A17" s="34" t="s">
        <v>355</v>
      </c>
      <c r="B17" s="34" t="s">
        <v>356</v>
      </c>
      <c r="C17" s="34" t="s">
        <v>357</v>
      </c>
      <c r="D17" s="34" t="s">
        <v>64</v>
      </c>
      <c r="E17" s="34" t="s">
        <v>23</v>
      </c>
      <c r="F17" s="90" t="s">
        <v>225</v>
      </c>
      <c r="G17" s="34" t="s">
        <v>134</v>
      </c>
      <c r="H17" s="91">
        <v>31504</v>
      </c>
      <c r="I17" s="34">
        <f t="shared" ca="1" si="0"/>
        <v>40</v>
      </c>
      <c r="J17" s="34" t="s">
        <v>3</v>
      </c>
      <c r="K17" s="91">
        <v>46211</v>
      </c>
      <c r="L17" s="45">
        <v>172.1</v>
      </c>
      <c r="M17" s="45">
        <v>70.95</v>
      </c>
      <c r="N17" s="45">
        <f t="shared" si="3"/>
        <v>23.954695744977531</v>
      </c>
      <c r="O17" s="34">
        <v>109</v>
      </c>
      <c r="P17" s="34">
        <v>72</v>
      </c>
      <c r="Q17" s="45">
        <v>41.5</v>
      </c>
      <c r="R17" s="34" t="s">
        <v>4</v>
      </c>
      <c r="S17" s="34"/>
      <c r="T17" s="92">
        <v>112</v>
      </c>
      <c r="U17" s="92">
        <v>140</v>
      </c>
      <c r="V17" s="92">
        <v>309</v>
      </c>
      <c r="W17" s="34">
        <v>23</v>
      </c>
      <c r="X17" s="34">
        <v>53</v>
      </c>
      <c r="Y17" s="93">
        <v>8.1999999999999993</v>
      </c>
      <c r="Z17" s="34" t="s">
        <v>4</v>
      </c>
      <c r="AA17" s="34"/>
      <c r="AB17" s="34" t="s">
        <v>4</v>
      </c>
      <c r="AC17" s="34"/>
      <c r="AD17" s="34" t="s">
        <v>8</v>
      </c>
      <c r="AE17" s="34" t="s">
        <v>365</v>
      </c>
      <c r="AF17" s="34"/>
      <c r="AG17" s="34"/>
      <c r="AH17" s="34"/>
      <c r="AI17" s="34" t="s">
        <v>154</v>
      </c>
      <c r="AJ17" s="34" t="s">
        <v>368</v>
      </c>
      <c r="AK17" s="49">
        <v>46213</v>
      </c>
      <c r="AL17" s="46" t="str">
        <f ca="1">IF((AK17+90)&lt;TODAY(),"เลยกำหนด",IF((AK17+90)-TODAY()&lt;=30,"ใกล้ถึง","ยังไม่ถึง"))</f>
        <v>ยังไม่ถึง</v>
      </c>
      <c r="AM17" s="47">
        <f ca="1">MAX(0, (AK17+90) - TODAY())</f>
        <v>52</v>
      </c>
      <c r="AN17" s="30" t="str">
        <f t="shared" ca="1" si="1"/>
        <v>ยังไม่หมด</v>
      </c>
      <c r="AO17" s="47">
        <f t="shared" ca="1" si="2"/>
        <v>324</v>
      </c>
      <c r="AP17" s="47"/>
    </row>
    <row r="18" spans="1:42" ht="15.75" customHeight="1">
      <c r="A18" s="23" t="s">
        <v>373</v>
      </c>
      <c r="B18" s="23" t="s">
        <v>374</v>
      </c>
      <c r="C18" s="23" t="s">
        <v>375</v>
      </c>
      <c r="D18" s="23" t="s">
        <v>64</v>
      </c>
      <c r="E18" s="23" t="s">
        <v>23</v>
      </c>
      <c r="F18" s="26" t="s">
        <v>225</v>
      </c>
      <c r="G18" s="23" t="s">
        <v>134</v>
      </c>
      <c r="H18" s="28">
        <v>32998</v>
      </c>
      <c r="I18" s="23">
        <f t="shared" ca="1" si="0"/>
        <v>36</v>
      </c>
      <c r="J18" s="23" t="s">
        <v>3</v>
      </c>
      <c r="K18" s="28">
        <v>45919</v>
      </c>
      <c r="L18" s="31">
        <v>161.4</v>
      </c>
      <c r="M18" s="31">
        <v>84.6</v>
      </c>
      <c r="N18" s="31">
        <f t="shared" si="3"/>
        <v>32.476057544810047</v>
      </c>
      <c r="O18" s="23">
        <v>129</v>
      </c>
      <c r="P18" s="23">
        <v>81</v>
      </c>
      <c r="Q18" s="31">
        <v>48.8</v>
      </c>
      <c r="R18" s="23" t="s">
        <v>4</v>
      </c>
      <c r="S18" s="23"/>
      <c r="T18" s="23">
        <v>114</v>
      </c>
      <c r="U18" s="23">
        <v>145</v>
      </c>
      <c r="V18" s="23">
        <v>118</v>
      </c>
      <c r="W18" s="23">
        <v>30</v>
      </c>
      <c r="X18" s="23">
        <v>38</v>
      </c>
      <c r="Y18" s="37">
        <v>7.64</v>
      </c>
      <c r="Z18" s="23" t="s">
        <v>4</v>
      </c>
      <c r="AA18" s="23"/>
      <c r="AB18" s="23" t="s">
        <v>4</v>
      </c>
      <c r="AC18" s="23"/>
      <c r="AD18" s="23" t="s">
        <v>4</v>
      </c>
      <c r="AE18" s="23"/>
      <c r="AF18" s="23"/>
      <c r="AG18" s="23"/>
      <c r="AH18" s="23" t="s">
        <v>379</v>
      </c>
      <c r="AI18" s="23" t="s">
        <v>154</v>
      </c>
      <c r="AJ18" s="23" t="s">
        <v>380</v>
      </c>
      <c r="AK18" s="58">
        <v>46153</v>
      </c>
      <c r="AL18" s="46" t="str">
        <f ca="1">IF((AK18+180)&lt;TODAY(),"เลยกำหนด",IF((AK18+180)-TODAY()&lt;=30,"ใกล้ถึง","ยังไม่ถึง"))</f>
        <v>ยังไม่ถึง</v>
      </c>
      <c r="AM18" s="47">
        <f ca="1">MAX(0, (AK18+180) - TODAY())</f>
        <v>82</v>
      </c>
      <c r="AN18" s="30" t="str">
        <f t="shared" ca="1" si="1"/>
        <v>ใกล้หมด 3 เดือน</v>
      </c>
      <c r="AO18" s="47">
        <f t="shared" ca="1" si="2"/>
        <v>32</v>
      </c>
      <c r="AP18" s="47"/>
    </row>
    <row r="19" spans="1:42" ht="15.75" customHeight="1">
      <c r="A19" s="50" t="s">
        <v>387</v>
      </c>
      <c r="B19" s="50" t="s">
        <v>388</v>
      </c>
      <c r="C19" s="50" t="s">
        <v>389</v>
      </c>
      <c r="D19" s="50" t="s">
        <v>64</v>
      </c>
      <c r="E19" s="50" t="s">
        <v>23</v>
      </c>
      <c r="F19" s="51" t="s">
        <v>225</v>
      </c>
      <c r="G19" s="50" t="s">
        <v>134</v>
      </c>
      <c r="H19" s="52">
        <v>28507</v>
      </c>
      <c r="I19" s="50">
        <f t="shared" ca="1" si="0"/>
        <v>48</v>
      </c>
      <c r="J19" s="50" t="s">
        <v>3</v>
      </c>
      <c r="K19" s="52">
        <v>45995</v>
      </c>
      <c r="L19" s="53">
        <v>167</v>
      </c>
      <c r="M19" s="53">
        <v>67.2</v>
      </c>
      <c r="N19" s="53">
        <f t="shared" si="3"/>
        <v>24.095521531786726</v>
      </c>
      <c r="O19" s="50">
        <v>115</v>
      </c>
      <c r="P19" s="50">
        <v>70</v>
      </c>
      <c r="Q19" s="53">
        <v>43</v>
      </c>
      <c r="R19" s="50" t="s">
        <v>4</v>
      </c>
      <c r="S19" s="50"/>
      <c r="T19" s="50">
        <v>92</v>
      </c>
      <c r="U19" s="50">
        <v>139</v>
      </c>
      <c r="V19" s="50">
        <v>54</v>
      </c>
      <c r="W19" s="50">
        <v>23</v>
      </c>
      <c r="X19" s="50">
        <v>19</v>
      </c>
      <c r="Y19" s="54">
        <v>6.2</v>
      </c>
      <c r="Z19" s="50" t="s">
        <v>8</v>
      </c>
      <c r="AA19" s="50" t="s">
        <v>135</v>
      </c>
      <c r="AB19" s="50" t="s">
        <v>4</v>
      </c>
      <c r="AC19" s="50"/>
      <c r="AD19" s="50" t="s">
        <v>8</v>
      </c>
      <c r="AE19" s="50" t="s">
        <v>391</v>
      </c>
      <c r="AF19" s="50"/>
      <c r="AG19" s="50"/>
      <c r="AH19" s="50" t="s">
        <v>392</v>
      </c>
      <c r="AI19" s="50" t="s">
        <v>137</v>
      </c>
      <c r="AJ19" s="50" t="s">
        <v>231</v>
      </c>
      <c r="AK19" s="25">
        <v>46000</v>
      </c>
      <c r="AL19" s="25"/>
      <c r="AM19" s="27"/>
      <c r="AN19" s="30" t="str">
        <f t="shared" ca="1" si="1"/>
        <v>ยังไม่หมด</v>
      </c>
      <c r="AO19" s="47">
        <f t="shared" ca="1" si="2"/>
        <v>108</v>
      </c>
      <c r="AP19" s="47"/>
    </row>
    <row r="20" spans="1:42" ht="15.75" customHeight="1">
      <c r="A20" s="6" t="s">
        <v>396</v>
      </c>
      <c r="B20" s="6" t="s">
        <v>398</v>
      </c>
      <c r="C20" s="6" t="s">
        <v>399</v>
      </c>
      <c r="D20" s="6" t="s">
        <v>64</v>
      </c>
      <c r="E20" s="6" t="s">
        <v>23</v>
      </c>
      <c r="F20" s="100" t="s">
        <v>225</v>
      </c>
      <c r="G20" s="6" t="s">
        <v>134</v>
      </c>
      <c r="H20" s="101">
        <v>32516</v>
      </c>
      <c r="I20" s="6">
        <f t="shared" ca="1" si="0"/>
        <v>37</v>
      </c>
      <c r="J20" s="6" t="s">
        <v>3</v>
      </c>
      <c r="K20" s="101">
        <v>46176</v>
      </c>
      <c r="L20" s="20">
        <v>167.2</v>
      </c>
      <c r="M20" s="20">
        <v>79.099999999999994</v>
      </c>
      <c r="N20" s="20">
        <f t="shared" si="3"/>
        <v>28.294624665186237</v>
      </c>
      <c r="O20" s="6">
        <v>125</v>
      </c>
      <c r="P20" s="6">
        <v>69</v>
      </c>
      <c r="Q20" s="20">
        <v>36.4</v>
      </c>
      <c r="R20" s="6" t="s">
        <v>4</v>
      </c>
      <c r="S20" s="6"/>
      <c r="T20" s="6">
        <v>91</v>
      </c>
      <c r="U20" s="6">
        <v>114</v>
      </c>
      <c r="V20" s="6">
        <v>157</v>
      </c>
      <c r="W20" s="6">
        <v>17</v>
      </c>
      <c r="X20" s="6">
        <v>30</v>
      </c>
      <c r="Y20" s="102">
        <v>7.3</v>
      </c>
      <c r="Z20" s="6" t="s">
        <v>4</v>
      </c>
      <c r="AA20" s="6"/>
      <c r="AB20" s="6" t="s">
        <v>4</v>
      </c>
      <c r="AC20" s="6"/>
      <c r="AD20" s="6" t="s">
        <v>8</v>
      </c>
      <c r="AE20" s="6" t="s">
        <v>403</v>
      </c>
      <c r="AF20" s="6"/>
      <c r="AG20" s="6"/>
      <c r="AH20" s="6" t="s">
        <v>404</v>
      </c>
      <c r="AI20" s="6" t="s">
        <v>137</v>
      </c>
      <c r="AJ20" s="6" t="s">
        <v>405</v>
      </c>
      <c r="AK20" s="24">
        <v>46183</v>
      </c>
      <c r="AL20" s="25"/>
      <c r="AM20" s="27"/>
      <c r="AN20" s="103" t="str">
        <f t="shared" ca="1" si="1"/>
        <v>ยังไม่หมด</v>
      </c>
      <c r="AO20" s="47">
        <f t="shared" ca="1" si="2"/>
        <v>289</v>
      </c>
      <c r="AP20" s="47"/>
    </row>
    <row r="21" spans="1:42" ht="15.75" customHeight="1">
      <c r="A21" s="23" t="s">
        <v>406</v>
      </c>
      <c r="B21" s="23" t="s">
        <v>407</v>
      </c>
      <c r="C21" s="23" t="s">
        <v>408</v>
      </c>
      <c r="D21" s="23" t="s">
        <v>64</v>
      </c>
      <c r="E21" s="23" t="s">
        <v>23</v>
      </c>
      <c r="F21" s="90" t="s">
        <v>225</v>
      </c>
      <c r="G21" s="23" t="s">
        <v>134</v>
      </c>
      <c r="H21" s="28">
        <v>35620</v>
      </c>
      <c r="I21" s="23">
        <f t="shared" ca="1" si="0"/>
        <v>29</v>
      </c>
      <c r="J21" s="23" t="s">
        <v>3</v>
      </c>
      <c r="K21" s="105">
        <v>46226</v>
      </c>
      <c r="L21" s="23">
        <v>176.6</v>
      </c>
      <c r="M21" s="31">
        <v>81.8</v>
      </c>
      <c r="N21" s="31">
        <f t="shared" si="3"/>
        <v>26.228406454368344</v>
      </c>
      <c r="O21" s="23">
        <v>127</v>
      </c>
      <c r="P21" s="23">
        <v>74</v>
      </c>
      <c r="Q21" s="31">
        <v>39.799999999999997</v>
      </c>
      <c r="R21" s="23" t="s">
        <v>4</v>
      </c>
      <c r="S21" s="23"/>
      <c r="T21" s="23">
        <v>89</v>
      </c>
      <c r="U21" s="23">
        <v>95</v>
      </c>
      <c r="V21" s="23">
        <v>43</v>
      </c>
      <c r="W21" s="23">
        <v>18</v>
      </c>
      <c r="X21" s="23">
        <v>15</v>
      </c>
      <c r="Y21" s="37">
        <v>5.9</v>
      </c>
      <c r="Z21" s="23" t="s">
        <v>4</v>
      </c>
      <c r="AA21" s="23"/>
      <c r="AB21" s="23" t="s">
        <v>4</v>
      </c>
      <c r="AC21" s="23"/>
      <c r="AD21" s="23" t="s">
        <v>8</v>
      </c>
      <c r="AE21" s="23" t="s">
        <v>416</v>
      </c>
      <c r="AF21" s="23"/>
      <c r="AG21" s="23"/>
      <c r="AH21" s="23" t="s">
        <v>417</v>
      </c>
      <c r="AI21" s="23" t="s">
        <v>154</v>
      </c>
      <c r="AJ21" s="23" t="s">
        <v>418</v>
      </c>
      <c r="AK21" s="58">
        <v>46239</v>
      </c>
      <c r="AL21" s="46" t="str">
        <f ca="1">IF((AK21+90)&lt;TODAY(),"เลยกำหนด",IF((AK21+90)-TODAY()&lt;=30,"ใกล้ถึง","ยังไม่ถึง"))</f>
        <v>ยังไม่ถึง</v>
      </c>
      <c r="AM21" s="47">
        <f ca="1">MAX(0, (AK21+90) - TODAY())</f>
        <v>78</v>
      </c>
      <c r="AN21" s="48" t="str">
        <f t="shared" ca="1" si="1"/>
        <v>ยังไม่หมด</v>
      </c>
      <c r="AO21" s="47">
        <f t="shared" ca="1" si="2"/>
        <v>339</v>
      </c>
      <c r="AP21" s="47"/>
    </row>
    <row r="22" spans="1:42" ht="15.75" customHeight="1">
      <c r="A22" s="50" t="s">
        <v>422</v>
      </c>
      <c r="B22" s="50" t="s">
        <v>423</v>
      </c>
      <c r="C22" s="82" t="s">
        <v>424</v>
      </c>
      <c r="D22" s="82" t="s">
        <v>64</v>
      </c>
      <c r="E22" s="82" t="s">
        <v>23</v>
      </c>
      <c r="F22" s="100" t="s">
        <v>225</v>
      </c>
      <c r="G22" s="82" t="s">
        <v>134</v>
      </c>
      <c r="H22" s="84">
        <v>33603</v>
      </c>
      <c r="I22" s="82">
        <f t="shared" ca="1" si="0"/>
        <v>35</v>
      </c>
      <c r="J22" s="82" t="s">
        <v>3</v>
      </c>
      <c r="K22" s="84">
        <v>45933</v>
      </c>
      <c r="L22" s="85">
        <v>170.5</v>
      </c>
      <c r="M22" s="85">
        <v>71.8</v>
      </c>
      <c r="N22" s="85">
        <f t="shared" si="3"/>
        <v>24.698790000085992</v>
      </c>
      <c r="O22" s="82">
        <v>119</v>
      </c>
      <c r="P22" s="82">
        <v>86</v>
      </c>
      <c r="Q22" s="85">
        <v>45.6</v>
      </c>
      <c r="R22" s="82" t="s">
        <v>4</v>
      </c>
      <c r="S22" s="82"/>
      <c r="T22" s="82">
        <v>89</v>
      </c>
      <c r="U22" s="82">
        <v>124</v>
      </c>
      <c r="V22" s="82">
        <v>96</v>
      </c>
      <c r="W22" s="82">
        <v>28</v>
      </c>
      <c r="X22" s="82">
        <v>31</v>
      </c>
      <c r="Y22" s="86">
        <v>4.8</v>
      </c>
      <c r="Z22" s="82" t="s">
        <v>4</v>
      </c>
      <c r="AA22" s="82"/>
      <c r="AB22" s="82" t="s">
        <v>4</v>
      </c>
      <c r="AC22" s="82"/>
      <c r="AD22" s="82" t="s">
        <v>4</v>
      </c>
      <c r="AE22" s="82"/>
      <c r="AF22" s="82"/>
      <c r="AG22" s="82"/>
      <c r="AH22" s="82"/>
      <c r="AI22" s="82" t="s">
        <v>137</v>
      </c>
      <c r="AJ22" s="82" t="s">
        <v>231</v>
      </c>
      <c r="AK22" s="87">
        <v>45937</v>
      </c>
      <c r="AL22" s="87"/>
      <c r="AM22" s="27"/>
      <c r="AN22" s="30" t="str">
        <f t="shared" ca="1" si="1"/>
        <v>ใกล้หมด 3 เดือน</v>
      </c>
      <c r="AO22" s="47">
        <f t="shared" ca="1" si="2"/>
        <v>46</v>
      </c>
      <c r="AP22" s="47"/>
    </row>
    <row r="23" spans="1:42" ht="15.75" customHeight="1">
      <c r="A23" s="23" t="s">
        <v>428</v>
      </c>
      <c r="B23" s="23" t="s">
        <v>429</v>
      </c>
      <c r="C23" s="23" t="s">
        <v>430</v>
      </c>
      <c r="D23" s="23" t="s">
        <v>64</v>
      </c>
      <c r="E23" s="23" t="s">
        <v>23</v>
      </c>
      <c r="F23" s="26" t="s">
        <v>225</v>
      </c>
      <c r="G23" s="23" t="s">
        <v>134</v>
      </c>
      <c r="H23" s="28">
        <v>37511</v>
      </c>
      <c r="I23" s="23">
        <f t="shared" ca="1" si="0"/>
        <v>24</v>
      </c>
      <c r="J23" s="80" t="s">
        <v>431</v>
      </c>
      <c r="K23" s="28">
        <v>45929</v>
      </c>
      <c r="L23" s="31">
        <v>170.1</v>
      </c>
      <c r="M23" s="31">
        <v>80.400000000000006</v>
      </c>
      <c r="N23" s="31">
        <f t="shared" si="3"/>
        <v>27.787368567301939</v>
      </c>
      <c r="O23" s="23">
        <v>129</v>
      </c>
      <c r="P23" s="23">
        <v>83</v>
      </c>
      <c r="Q23" s="31">
        <v>47.1</v>
      </c>
      <c r="R23" s="23" t="s">
        <v>4</v>
      </c>
      <c r="S23" s="23"/>
      <c r="T23" s="23">
        <v>94</v>
      </c>
      <c r="U23" s="23">
        <v>98.6</v>
      </c>
      <c r="V23" s="59">
        <v>119</v>
      </c>
      <c r="W23" s="23">
        <v>24</v>
      </c>
      <c r="X23" s="23">
        <v>30</v>
      </c>
      <c r="Y23" s="37">
        <v>5.7</v>
      </c>
      <c r="Z23" s="23" t="s">
        <v>8</v>
      </c>
      <c r="AA23" s="23"/>
      <c r="AB23" s="23" t="s">
        <v>4</v>
      </c>
      <c r="AC23" s="23"/>
      <c r="AD23" s="23" t="s">
        <v>4</v>
      </c>
      <c r="AE23" s="23"/>
      <c r="AF23" s="23"/>
      <c r="AG23" s="23"/>
      <c r="AH23" s="23" t="s">
        <v>439</v>
      </c>
      <c r="AI23" s="23" t="s">
        <v>440</v>
      </c>
      <c r="AJ23" s="23" t="s">
        <v>441</v>
      </c>
      <c r="AK23" s="58">
        <v>46186</v>
      </c>
      <c r="AL23" s="46" t="str">
        <f t="shared" ref="AL23:AL24" ca="1" si="4">IF((AK23+180)&lt;TODAY(),"เลยกำหนด",IF((AK23+180)-TODAY()&lt;=30,"ใกล้ถึง","ยังไม่ถึง"))</f>
        <v>ยังไม่ถึง</v>
      </c>
      <c r="AM23" s="47">
        <f t="shared" ref="AM23:AM24" ca="1" si="5">MAX(0, (AK23+180) - TODAY())</f>
        <v>115</v>
      </c>
      <c r="AN23" s="30" t="str">
        <f t="shared" ca="1" si="1"/>
        <v>ใกล้หมด 3 เดือน</v>
      </c>
      <c r="AO23" s="47">
        <f t="shared" ca="1" si="2"/>
        <v>42</v>
      </c>
      <c r="AP23" s="47"/>
    </row>
    <row r="24" spans="1:42" ht="15.75" customHeight="1">
      <c r="A24" s="23" t="s">
        <v>442</v>
      </c>
      <c r="B24" s="23" t="s">
        <v>443</v>
      </c>
      <c r="C24" s="23" t="s">
        <v>444</v>
      </c>
      <c r="D24" s="23" t="s">
        <v>64</v>
      </c>
      <c r="E24" s="23" t="s">
        <v>23</v>
      </c>
      <c r="F24" s="90" t="s">
        <v>225</v>
      </c>
      <c r="G24" s="23" t="s">
        <v>134</v>
      </c>
      <c r="H24" s="28">
        <v>32582</v>
      </c>
      <c r="I24" s="23">
        <f t="shared" ca="1" si="0"/>
        <v>37</v>
      </c>
      <c r="J24" s="23" t="s">
        <v>3</v>
      </c>
      <c r="K24" s="28">
        <v>46209</v>
      </c>
      <c r="L24" s="31">
        <v>174</v>
      </c>
      <c r="M24" s="31">
        <v>75.8</v>
      </c>
      <c r="N24" s="31">
        <f t="shared" si="3"/>
        <v>25.03633240850839</v>
      </c>
      <c r="O24" s="23">
        <v>136</v>
      </c>
      <c r="P24" s="23">
        <v>89</v>
      </c>
      <c r="Q24" s="31">
        <v>47</v>
      </c>
      <c r="R24" s="23" t="s">
        <v>4</v>
      </c>
      <c r="S24" s="89"/>
      <c r="T24" s="23">
        <v>110</v>
      </c>
      <c r="U24" s="23">
        <v>106</v>
      </c>
      <c r="V24" s="23">
        <v>226</v>
      </c>
      <c r="W24" s="23">
        <v>21</v>
      </c>
      <c r="X24" s="23">
        <v>17</v>
      </c>
      <c r="Y24" s="37">
        <v>6.7</v>
      </c>
      <c r="Z24" s="23" t="s">
        <v>4</v>
      </c>
      <c r="AA24" s="89"/>
      <c r="AB24" s="23" t="s">
        <v>4</v>
      </c>
      <c r="AC24" s="89"/>
      <c r="AD24" s="23" t="s">
        <v>8</v>
      </c>
      <c r="AE24" s="23" t="s">
        <v>450</v>
      </c>
      <c r="AF24" s="23" t="s">
        <v>4</v>
      </c>
      <c r="AG24" s="89"/>
      <c r="AH24" s="23" t="s">
        <v>451</v>
      </c>
      <c r="AI24" s="23" t="s">
        <v>154</v>
      </c>
      <c r="AJ24" s="23" t="s">
        <v>452</v>
      </c>
      <c r="AK24" s="58">
        <v>46225</v>
      </c>
      <c r="AL24" s="46" t="str">
        <f t="shared" ca="1" si="4"/>
        <v>ยังไม่ถึง</v>
      </c>
      <c r="AM24" s="47">
        <f t="shared" ca="1" si="5"/>
        <v>154</v>
      </c>
      <c r="AN24" s="48" t="str">
        <f t="shared" ca="1" si="1"/>
        <v>ยังไม่หมด</v>
      </c>
      <c r="AO24" s="47">
        <f t="shared" ca="1" si="2"/>
        <v>322</v>
      </c>
      <c r="AP24" s="47"/>
    </row>
    <row r="25" spans="1:42" ht="15.75" customHeight="1">
      <c r="A25" s="50" t="s">
        <v>454</v>
      </c>
      <c r="B25" s="50" t="s">
        <v>455</v>
      </c>
      <c r="C25" s="50" t="s">
        <v>457</v>
      </c>
      <c r="D25" s="50" t="s">
        <v>64</v>
      </c>
      <c r="E25" s="50" t="s">
        <v>23</v>
      </c>
      <c r="F25" s="100" t="s">
        <v>225</v>
      </c>
      <c r="G25" s="50" t="s">
        <v>134</v>
      </c>
      <c r="H25" s="52">
        <v>36339</v>
      </c>
      <c r="I25" s="50">
        <f t="shared" ca="1" si="0"/>
        <v>27</v>
      </c>
      <c r="J25" s="50" t="s">
        <v>3</v>
      </c>
      <c r="K25" s="52">
        <v>46122</v>
      </c>
      <c r="L25" s="53">
        <v>172.5</v>
      </c>
      <c r="M25" s="53">
        <v>84.7</v>
      </c>
      <c r="N25" s="53">
        <f t="shared" si="3"/>
        <v>28.464608275572356</v>
      </c>
      <c r="O25" s="50">
        <v>131</v>
      </c>
      <c r="P25" s="50">
        <v>73</v>
      </c>
      <c r="Q25" s="53">
        <v>45.2</v>
      </c>
      <c r="R25" s="50" t="s">
        <v>4</v>
      </c>
      <c r="S25" s="50"/>
      <c r="T25" s="50">
        <v>102</v>
      </c>
      <c r="U25" s="50">
        <v>107</v>
      </c>
      <c r="V25" s="50">
        <v>43</v>
      </c>
      <c r="W25" s="50">
        <v>18</v>
      </c>
      <c r="X25" s="50">
        <v>19</v>
      </c>
      <c r="Y25" s="54">
        <v>6.6</v>
      </c>
      <c r="Z25" s="50" t="s">
        <v>4</v>
      </c>
      <c r="AA25" s="50"/>
      <c r="AB25" s="50" t="s">
        <v>4</v>
      </c>
      <c r="AC25" s="50"/>
      <c r="AD25" s="50" t="s">
        <v>4</v>
      </c>
      <c r="AE25" s="50"/>
      <c r="AF25" s="50"/>
      <c r="AG25" s="50"/>
      <c r="AH25" s="50"/>
      <c r="AI25" s="50" t="s">
        <v>137</v>
      </c>
      <c r="AJ25" s="50" t="s">
        <v>461</v>
      </c>
      <c r="AK25" s="25">
        <v>46140</v>
      </c>
      <c r="AL25" s="55"/>
      <c r="AM25" s="47"/>
      <c r="AN25" s="30" t="str">
        <f t="shared" ca="1" si="1"/>
        <v>ยังไม่หมด</v>
      </c>
      <c r="AO25" s="47">
        <f t="shared" ca="1" si="2"/>
        <v>235</v>
      </c>
      <c r="AP25" s="47"/>
    </row>
    <row r="26" spans="1:42" ht="15.75" customHeight="1">
      <c r="A26" s="50" t="s">
        <v>462</v>
      </c>
      <c r="B26" s="50" t="s">
        <v>463</v>
      </c>
      <c r="C26" s="50" t="s">
        <v>464</v>
      </c>
      <c r="D26" s="50" t="s">
        <v>64</v>
      </c>
      <c r="E26" s="50" t="s">
        <v>23</v>
      </c>
      <c r="F26" s="100" t="s">
        <v>225</v>
      </c>
      <c r="G26" s="50" t="s">
        <v>134</v>
      </c>
      <c r="H26" s="52">
        <v>28374</v>
      </c>
      <c r="I26" s="50">
        <f t="shared" ca="1" si="0"/>
        <v>49</v>
      </c>
      <c r="J26" s="50" t="s">
        <v>3</v>
      </c>
      <c r="K26" s="52">
        <v>46189</v>
      </c>
      <c r="L26" s="116">
        <v>175</v>
      </c>
      <c r="M26" s="116">
        <v>65.8</v>
      </c>
      <c r="N26" s="53">
        <f t="shared" si="3"/>
        <v>21.485714285714284</v>
      </c>
      <c r="O26" s="50">
        <v>115</v>
      </c>
      <c r="P26" s="50">
        <v>68</v>
      </c>
      <c r="Q26" s="53">
        <v>35</v>
      </c>
      <c r="R26" s="50" t="s">
        <v>4</v>
      </c>
      <c r="S26" s="50"/>
      <c r="T26" s="50">
        <v>89</v>
      </c>
      <c r="U26" s="50">
        <v>122</v>
      </c>
      <c r="V26" s="50">
        <v>86</v>
      </c>
      <c r="W26" s="50">
        <v>22</v>
      </c>
      <c r="X26" s="50">
        <v>16</v>
      </c>
      <c r="Y26" s="54">
        <v>8.1</v>
      </c>
      <c r="Z26" s="50" t="s">
        <v>8</v>
      </c>
      <c r="AA26" s="50" t="s">
        <v>135</v>
      </c>
      <c r="AB26" s="50" t="s">
        <v>4</v>
      </c>
      <c r="AC26" s="50"/>
      <c r="AD26" s="50" t="s">
        <v>8</v>
      </c>
      <c r="AE26" s="50" t="s">
        <v>467</v>
      </c>
      <c r="AF26" s="50" t="s">
        <v>4</v>
      </c>
      <c r="AG26" s="50"/>
      <c r="AH26" s="50" t="s">
        <v>468</v>
      </c>
      <c r="AI26" s="50" t="s">
        <v>137</v>
      </c>
      <c r="AJ26" s="50" t="s">
        <v>241</v>
      </c>
      <c r="AK26" s="25">
        <v>46199</v>
      </c>
      <c r="AL26" s="25"/>
      <c r="AM26" s="27"/>
      <c r="AN26" s="48" t="str">
        <f t="shared" ca="1" si="1"/>
        <v>ยังไม่หมด</v>
      </c>
      <c r="AO26" s="47">
        <f t="shared" ca="1" si="2"/>
        <v>302</v>
      </c>
      <c r="AP26" s="47"/>
    </row>
    <row r="27" spans="1:42" ht="15.75" customHeight="1">
      <c r="A27" s="50" t="s">
        <v>469</v>
      </c>
      <c r="B27" s="50" t="s">
        <v>470</v>
      </c>
      <c r="C27" s="50" t="s">
        <v>471</v>
      </c>
      <c r="D27" s="50" t="s">
        <v>64</v>
      </c>
      <c r="E27" s="50" t="s">
        <v>23</v>
      </c>
      <c r="F27" s="51" t="s">
        <v>238</v>
      </c>
      <c r="G27" s="50" t="s">
        <v>134</v>
      </c>
      <c r="H27" s="52">
        <v>30499</v>
      </c>
      <c r="I27" s="50">
        <f t="shared" ca="1" si="0"/>
        <v>43</v>
      </c>
      <c r="J27" s="50" t="s">
        <v>3</v>
      </c>
      <c r="K27" s="52">
        <v>46162</v>
      </c>
      <c r="L27" s="53">
        <v>163.4</v>
      </c>
      <c r="M27" s="53">
        <v>72.95</v>
      </c>
      <c r="N27" s="53">
        <f t="shared" si="3"/>
        <v>27.322547637489155</v>
      </c>
      <c r="O27" s="76">
        <v>119</v>
      </c>
      <c r="P27" s="76">
        <v>75</v>
      </c>
      <c r="Q27" s="53">
        <v>40.200000000000003</v>
      </c>
      <c r="R27" s="50" t="s">
        <v>4</v>
      </c>
      <c r="S27" s="50"/>
      <c r="T27" s="76">
        <v>96</v>
      </c>
      <c r="U27" s="76">
        <v>133</v>
      </c>
      <c r="V27" s="76">
        <v>62</v>
      </c>
      <c r="W27" s="50">
        <v>42</v>
      </c>
      <c r="X27" s="50">
        <v>21</v>
      </c>
      <c r="Y27" s="118">
        <v>4.8</v>
      </c>
      <c r="Z27" s="50" t="s">
        <v>4</v>
      </c>
      <c r="AA27" s="50"/>
      <c r="AB27" s="50" t="s">
        <v>4</v>
      </c>
      <c r="AC27" s="50"/>
      <c r="AD27" s="50" t="s">
        <v>4</v>
      </c>
      <c r="AE27" s="50"/>
      <c r="AF27" s="50" t="s">
        <v>4</v>
      </c>
      <c r="AG27" s="50"/>
      <c r="AH27" s="50" t="s">
        <v>472</v>
      </c>
      <c r="AI27" s="50" t="s">
        <v>137</v>
      </c>
      <c r="AJ27" s="50" t="s">
        <v>473</v>
      </c>
      <c r="AK27" s="25">
        <v>46238</v>
      </c>
      <c r="AL27" s="55"/>
      <c r="AM27" s="119"/>
      <c r="AN27" s="30" t="str">
        <f t="shared" ca="1" si="1"/>
        <v>ยังไม่หมด</v>
      </c>
      <c r="AO27" s="47">
        <f t="shared" ca="1" si="2"/>
        <v>275</v>
      </c>
      <c r="AP27" s="47"/>
    </row>
    <row r="28" spans="1:42" ht="15.75" customHeight="1">
      <c r="A28" s="34" t="s">
        <v>474</v>
      </c>
      <c r="B28" s="34" t="s">
        <v>475</v>
      </c>
      <c r="C28" s="34" t="s">
        <v>476</v>
      </c>
      <c r="D28" s="34" t="s">
        <v>64</v>
      </c>
      <c r="E28" s="34" t="s">
        <v>23</v>
      </c>
      <c r="F28" s="90" t="s">
        <v>238</v>
      </c>
      <c r="G28" s="34" t="s">
        <v>134</v>
      </c>
      <c r="H28" s="91">
        <v>27075</v>
      </c>
      <c r="I28" s="34">
        <f t="shared" ca="1" si="0"/>
        <v>52</v>
      </c>
      <c r="J28" s="34" t="s">
        <v>19</v>
      </c>
      <c r="K28" s="91">
        <v>46140</v>
      </c>
      <c r="L28" s="45">
        <v>159.9</v>
      </c>
      <c r="M28" s="45">
        <v>73.5</v>
      </c>
      <c r="N28" s="45">
        <f t="shared" si="3"/>
        <v>28.746859845564824</v>
      </c>
      <c r="O28" s="34">
        <v>129</v>
      </c>
      <c r="P28" s="34">
        <v>85</v>
      </c>
      <c r="Q28" s="45">
        <v>45.7</v>
      </c>
      <c r="R28" s="34" t="s">
        <v>4</v>
      </c>
      <c r="S28" s="34"/>
      <c r="T28" s="34">
        <v>101</v>
      </c>
      <c r="U28" s="34">
        <v>86</v>
      </c>
      <c r="V28" s="92">
        <v>355</v>
      </c>
      <c r="W28" s="34">
        <v>27</v>
      </c>
      <c r="X28" s="34">
        <v>34</v>
      </c>
      <c r="Y28" s="120">
        <v>6.2</v>
      </c>
      <c r="Z28" s="34" t="s">
        <v>8</v>
      </c>
      <c r="AA28" s="34" t="s">
        <v>135</v>
      </c>
      <c r="AB28" s="34" t="s">
        <v>4</v>
      </c>
      <c r="AC28" s="34"/>
      <c r="AD28" s="34" t="s">
        <v>4</v>
      </c>
      <c r="AE28" s="34"/>
      <c r="AF28" s="34"/>
      <c r="AG28" s="34"/>
      <c r="AH28" s="34" t="s">
        <v>477</v>
      </c>
      <c r="AI28" s="23" t="s">
        <v>154</v>
      </c>
      <c r="AJ28" s="23" t="s">
        <v>478</v>
      </c>
      <c r="AK28" s="49">
        <v>46233</v>
      </c>
      <c r="AL28" s="46" t="str">
        <f ca="1">IF((AK28+90)&lt;TODAY(),"เลยกำหนด",IF((AK28+90)-TODAY()&lt;=30,"ใกล้ถึง","ยังไม่ถึง"))</f>
        <v>ยังไม่ถึง</v>
      </c>
      <c r="AM28" s="119">
        <f ca="1">MAX(0, (AK28+90) - TODAY())</f>
        <v>72</v>
      </c>
      <c r="AN28" s="48" t="str">
        <f t="shared" ca="1" si="1"/>
        <v>ยังไม่หมด</v>
      </c>
      <c r="AO28" s="47">
        <f t="shared" ca="1" si="2"/>
        <v>253</v>
      </c>
      <c r="AP28" s="47"/>
    </row>
    <row r="29" spans="1:42" ht="15.75" customHeight="1">
      <c r="A29" s="50" t="s">
        <v>479</v>
      </c>
      <c r="B29" s="50" t="s">
        <v>480</v>
      </c>
      <c r="C29" s="50" t="s">
        <v>481</v>
      </c>
      <c r="D29" s="50" t="s">
        <v>64</v>
      </c>
      <c r="E29" s="50" t="s">
        <v>23</v>
      </c>
      <c r="F29" s="51" t="s">
        <v>238</v>
      </c>
      <c r="G29" s="50" t="s">
        <v>134</v>
      </c>
      <c r="H29" s="52">
        <v>26304</v>
      </c>
      <c r="I29" s="50">
        <f t="shared" ca="1" si="0"/>
        <v>54</v>
      </c>
      <c r="J29" s="50" t="s">
        <v>3</v>
      </c>
      <c r="K29" s="52">
        <v>45958</v>
      </c>
      <c r="L29" s="53">
        <v>168</v>
      </c>
      <c r="M29" s="53">
        <v>80.2</v>
      </c>
      <c r="N29" s="53">
        <f t="shared" si="3"/>
        <v>28.415532879818599</v>
      </c>
      <c r="O29" s="76">
        <v>134</v>
      </c>
      <c r="P29" s="76">
        <v>89</v>
      </c>
      <c r="Q29" s="53">
        <v>40</v>
      </c>
      <c r="R29" s="50" t="s">
        <v>4</v>
      </c>
      <c r="S29" s="50"/>
      <c r="T29" s="50">
        <v>86</v>
      </c>
      <c r="U29" s="50">
        <v>153</v>
      </c>
      <c r="V29" s="50">
        <v>171</v>
      </c>
      <c r="W29" s="50">
        <v>23</v>
      </c>
      <c r="X29" s="50">
        <v>30</v>
      </c>
      <c r="Y29" s="86">
        <v>6.8</v>
      </c>
      <c r="Z29" s="50" t="s">
        <v>4</v>
      </c>
      <c r="AA29" s="50"/>
      <c r="AB29" s="50" t="s">
        <v>4</v>
      </c>
      <c r="AC29" s="50"/>
      <c r="AD29" s="50" t="s">
        <v>8</v>
      </c>
      <c r="AE29" s="50" t="s">
        <v>482</v>
      </c>
      <c r="AF29" s="50"/>
      <c r="AG29" s="50"/>
      <c r="AH29" s="50" t="s">
        <v>483</v>
      </c>
      <c r="AI29" s="50" t="s">
        <v>137</v>
      </c>
      <c r="AJ29" s="121" t="s">
        <v>484</v>
      </c>
      <c r="AK29" s="25">
        <v>45964</v>
      </c>
      <c r="AL29" s="25"/>
      <c r="AM29" s="27"/>
      <c r="AN29" s="30" t="str">
        <f t="shared" ca="1" si="1"/>
        <v>ใกล้หมด 3 เดือน</v>
      </c>
      <c r="AO29" s="47">
        <f t="shared" ca="1" si="2"/>
        <v>71</v>
      </c>
      <c r="AP29" s="47"/>
    </row>
    <row r="30" spans="1:42" ht="15.75" customHeight="1">
      <c r="A30" s="50" t="s">
        <v>485</v>
      </c>
      <c r="B30" s="50" t="s">
        <v>486</v>
      </c>
      <c r="C30" s="50" t="s">
        <v>487</v>
      </c>
      <c r="D30" s="50" t="s">
        <v>64</v>
      </c>
      <c r="E30" s="50" t="s">
        <v>23</v>
      </c>
      <c r="F30" s="51" t="s">
        <v>238</v>
      </c>
      <c r="G30" s="50" t="s">
        <v>134</v>
      </c>
      <c r="H30" s="52">
        <v>29234</v>
      </c>
      <c r="I30" s="50">
        <f t="shared" ca="1" si="0"/>
        <v>46</v>
      </c>
      <c r="J30" s="50" t="s">
        <v>62</v>
      </c>
      <c r="K30" s="52">
        <v>46181</v>
      </c>
      <c r="L30" s="53">
        <v>160</v>
      </c>
      <c r="M30" s="53">
        <v>71.099999999999994</v>
      </c>
      <c r="N30" s="53">
        <f t="shared" si="3"/>
        <v>27.773437499999993</v>
      </c>
      <c r="O30" s="76">
        <v>133</v>
      </c>
      <c r="P30" s="76">
        <v>90</v>
      </c>
      <c r="Q30" s="53">
        <v>40</v>
      </c>
      <c r="R30" s="50" t="s">
        <v>8</v>
      </c>
      <c r="S30" s="50" t="s">
        <v>488</v>
      </c>
      <c r="T30" s="50">
        <v>91</v>
      </c>
      <c r="U30" s="50">
        <v>103</v>
      </c>
      <c r="V30" s="50">
        <v>131</v>
      </c>
      <c r="W30" s="50">
        <v>34</v>
      </c>
      <c r="X30" s="50">
        <v>28</v>
      </c>
      <c r="Y30" s="118">
        <v>4.5</v>
      </c>
      <c r="Z30" s="50" t="s">
        <v>4</v>
      </c>
      <c r="AA30" s="50"/>
      <c r="AB30" s="50" t="s">
        <v>4</v>
      </c>
      <c r="AC30" s="50"/>
      <c r="AD30" s="50" t="s">
        <v>8</v>
      </c>
      <c r="AE30" s="50" t="s">
        <v>489</v>
      </c>
      <c r="AF30" s="50"/>
      <c r="AG30" s="50"/>
      <c r="AH30" s="50" t="s">
        <v>490</v>
      </c>
      <c r="AI30" s="50" t="s">
        <v>137</v>
      </c>
      <c r="AJ30" s="50" t="s">
        <v>491</v>
      </c>
      <c r="AK30" s="25">
        <v>46187</v>
      </c>
      <c r="AL30" s="25"/>
      <c r="AM30" s="27"/>
      <c r="AN30" s="103" t="str">
        <f t="shared" ca="1" si="1"/>
        <v>ยังไม่หมด</v>
      </c>
      <c r="AO30" s="47">
        <f t="shared" ca="1" si="2"/>
        <v>294</v>
      </c>
      <c r="AP30" s="47"/>
    </row>
    <row r="31" spans="1:42" ht="15.75" customHeight="1">
      <c r="A31" s="50" t="s">
        <v>492</v>
      </c>
      <c r="B31" s="50" t="s">
        <v>493</v>
      </c>
      <c r="C31" s="50" t="s">
        <v>494</v>
      </c>
      <c r="D31" s="50" t="s">
        <v>64</v>
      </c>
      <c r="E31" s="50" t="s">
        <v>23</v>
      </c>
      <c r="F31" s="51" t="s">
        <v>238</v>
      </c>
      <c r="G31" s="50" t="s">
        <v>134</v>
      </c>
      <c r="H31" s="52">
        <v>34009</v>
      </c>
      <c r="I31" s="50">
        <f t="shared" ca="1" si="0"/>
        <v>33</v>
      </c>
      <c r="J31" s="50" t="s">
        <v>3</v>
      </c>
      <c r="K31" s="52">
        <v>46045</v>
      </c>
      <c r="L31" s="116">
        <v>163.30000000000001</v>
      </c>
      <c r="M31" s="116">
        <v>64.099999999999994</v>
      </c>
      <c r="N31" s="53">
        <f t="shared" si="3"/>
        <v>24.037298687623483</v>
      </c>
      <c r="O31" s="50">
        <v>128</v>
      </c>
      <c r="P31" s="50">
        <v>62</v>
      </c>
      <c r="Q31" s="53">
        <v>43.9</v>
      </c>
      <c r="R31" s="50" t="s">
        <v>4</v>
      </c>
      <c r="S31" s="50"/>
      <c r="T31" s="50">
        <v>93</v>
      </c>
      <c r="U31" s="76">
        <v>141</v>
      </c>
      <c r="V31" s="76">
        <v>91</v>
      </c>
      <c r="W31" s="50">
        <v>20</v>
      </c>
      <c r="X31" s="50">
        <v>18</v>
      </c>
      <c r="Y31" s="54">
        <v>5.7</v>
      </c>
      <c r="Z31" s="50" t="s">
        <v>4</v>
      </c>
      <c r="AA31" s="74"/>
      <c r="AB31" s="50" t="s">
        <v>4</v>
      </c>
      <c r="AC31" s="50"/>
      <c r="AD31" s="50" t="s">
        <v>8</v>
      </c>
      <c r="AE31" s="50" t="s">
        <v>495</v>
      </c>
      <c r="AF31" s="50"/>
      <c r="AG31" s="50"/>
      <c r="AH31" s="50" t="s">
        <v>496</v>
      </c>
      <c r="AI31" s="50" t="s">
        <v>137</v>
      </c>
      <c r="AJ31" s="50" t="s">
        <v>231</v>
      </c>
      <c r="AK31" s="25">
        <v>46101</v>
      </c>
      <c r="AL31" s="25"/>
      <c r="AM31" s="47"/>
      <c r="AN31" s="30" t="str">
        <f t="shared" ca="1" si="1"/>
        <v>ยังไม่หมด</v>
      </c>
      <c r="AO31" s="47">
        <f t="shared" ca="1" si="2"/>
        <v>158</v>
      </c>
      <c r="AP31" s="47"/>
    </row>
    <row r="32" spans="1:42" ht="15.75" customHeight="1">
      <c r="A32" s="6" t="s">
        <v>497</v>
      </c>
      <c r="B32" s="6" t="s">
        <v>498</v>
      </c>
      <c r="C32" s="6" t="s">
        <v>499</v>
      </c>
      <c r="D32" s="6" t="s">
        <v>64</v>
      </c>
      <c r="E32" s="6" t="s">
        <v>23</v>
      </c>
      <c r="F32" s="100" t="s">
        <v>238</v>
      </c>
      <c r="G32" s="6" t="s">
        <v>134</v>
      </c>
      <c r="H32" s="101">
        <v>31509</v>
      </c>
      <c r="I32" s="6">
        <f t="shared" ca="1" si="0"/>
        <v>40</v>
      </c>
      <c r="J32" s="6" t="s">
        <v>3</v>
      </c>
      <c r="K32" s="52">
        <v>45937</v>
      </c>
      <c r="L32" s="122">
        <v>165.9</v>
      </c>
      <c r="M32" s="122">
        <v>63.7</v>
      </c>
      <c r="N32" s="20">
        <f t="shared" si="3"/>
        <v>23.144439103420037</v>
      </c>
      <c r="O32" s="6">
        <v>134</v>
      </c>
      <c r="P32" s="6">
        <v>78</v>
      </c>
      <c r="Q32" s="20">
        <v>52</v>
      </c>
      <c r="R32" s="6" t="s">
        <v>4</v>
      </c>
      <c r="S32" s="6"/>
      <c r="T32" s="6">
        <v>97</v>
      </c>
      <c r="U32" s="6">
        <v>155</v>
      </c>
      <c r="V32" s="6">
        <v>63</v>
      </c>
      <c r="W32" s="6">
        <v>22</v>
      </c>
      <c r="X32" s="6">
        <v>20</v>
      </c>
      <c r="Y32" s="102">
        <v>7.8</v>
      </c>
      <c r="Z32" s="6" t="s">
        <v>4</v>
      </c>
      <c r="AA32" s="6"/>
      <c r="AB32" s="6" t="s">
        <v>4</v>
      </c>
      <c r="AC32" s="6"/>
      <c r="AD32" s="6" t="s">
        <v>8</v>
      </c>
      <c r="AE32" s="6" t="s">
        <v>500</v>
      </c>
      <c r="AF32" s="6" t="s">
        <v>4</v>
      </c>
      <c r="AG32" s="6"/>
      <c r="AH32" s="6" t="s">
        <v>501</v>
      </c>
      <c r="AI32" s="6" t="s">
        <v>137</v>
      </c>
      <c r="AJ32" s="6" t="s">
        <v>502</v>
      </c>
      <c r="AK32" s="24">
        <v>46107</v>
      </c>
      <c r="AL32" s="55"/>
      <c r="AM32" s="47"/>
      <c r="AN32" s="30" t="str">
        <f t="shared" ca="1" si="1"/>
        <v>ใกล้หมด 3 เดือน</v>
      </c>
      <c r="AO32" s="47">
        <f t="shared" ca="1" si="2"/>
        <v>50</v>
      </c>
      <c r="AP32" s="47"/>
    </row>
    <row r="33" spans="1:42" ht="15.75" customHeight="1">
      <c r="A33" s="23" t="s">
        <v>503</v>
      </c>
      <c r="B33" s="23" t="s">
        <v>504</v>
      </c>
      <c r="C33" s="23" t="s">
        <v>505</v>
      </c>
      <c r="D33" s="23" t="s">
        <v>64</v>
      </c>
      <c r="E33" s="23" t="s">
        <v>23</v>
      </c>
      <c r="F33" s="26" t="s">
        <v>238</v>
      </c>
      <c r="G33" s="23" t="s">
        <v>134</v>
      </c>
      <c r="H33" s="28">
        <v>34536</v>
      </c>
      <c r="I33" s="23">
        <f t="shared" ca="1" si="0"/>
        <v>32</v>
      </c>
      <c r="J33" s="23" t="s">
        <v>3</v>
      </c>
      <c r="K33" s="28">
        <v>46030</v>
      </c>
      <c r="L33" s="123">
        <v>169.1</v>
      </c>
      <c r="M33" s="123">
        <v>82.15</v>
      </c>
      <c r="N33" s="31">
        <f t="shared" si="3"/>
        <v>28.728989631335196</v>
      </c>
      <c r="O33" s="23">
        <v>138</v>
      </c>
      <c r="P33" s="23">
        <v>93</v>
      </c>
      <c r="Q33" s="31">
        <v>48.5</v>
      </c>
      <c r="R33" s="23" t="s">
        <v>4</v>
      </c>
      <c r="S33" s="23"/>
      <c r="T33" s="23">
        <v>116</v>
      </c>
      <c r="U33" s="23">
        <v>161</v>
      </c>
      <c r="V33" s="23">
        <v>241</v>
      </c>
      <c r="W33" s="23">
        <v>39.799999999999997</v>
      </c>
      <c r="X33" s="23">
        <v>82</v>
      </c>
      <c r="Y33" s="37">
        <v>6.8</v>
      </c>
      <c r="Z33" s="23" t="s">
        <v>4</v>
      </c>
      <c r="AA33" s="23"/>
      <c r="AB33" s="23" t="s">
        <v>4</v>
      </c>
      <c r="AC33" s="23"/>
      <c r="AD33" s="23" t="s">
        <v>8</v>
      </c>
      <c r="AE33" s="23" t="s">
        <v>350</v>
      </c>
      <c r="AF33" s="23"/>
      <c r="AG33" s="23"/>
      <c r="AH33" s="23" t="s">
        <v>506</v>
      </c>
      <c r="AI33" s="34" t="s">
        <v>154</v>
      </c>
      <c r="AJ33" s="23" t="s">
        <v>507</v>
      </c>
      <c r="AK33" s="58">
        <v>46211</v>
      </c>
      <c r="AL33" s="46" t="str">
        <f t="shared" ref="AL33:AL34" ca="1" si="6">IF((AK33+90)&lt;TODAY(),"เลยกำหนด",IF((AK33+90)-TODAY()&lt;=30,"ใกล้ถึง","ยังไม่ถึง"))</f>
        <v>ยังไม่ถึง</v>
      </c>
      <c r="AM33" s="47">
        <f t="shared" ref="AM33:AM34" ca="1" si="7">MAX(0, (AK33+90) - TODAY())</f>
        <v>50</v>
      </c>
      <c r="AN33" s="30" t="str">
        <f t="shared" ca="1" si="1"/>
        <v>ยังไม่หมด</v>
      </c>
      <c r="AO33" s="47">
        <f t="shared" ca="1" si="2"/>
        <v>143</v>
      </c>
      <c r="AP33" s="47"/>
    </row>
    <row r="34" spans="1:42" ht="15.75" customHeight="1">
      <c r="A34" s="34" t="s">
        <v>508</v>
      </c>
      <c r="B34" s="34" t="s">
        <v>509</v>
      </c>
      <c r="C34" s="34" t="s">
        <v>510</v>
      </c>
      <c r="D34" s="34" t="s">
        <v>64</v>
      </c>
      <c r="E34" s="34" t="s">
        <v>23</v>
      </c>
      <c r="F34" s="90" t="s">
        <v>238</v>
      </c>
      <c r="G34" s="34" t="s">
        <v>134</v>
      </c>
      <c r="H34" s="91">
        <v>33704</v>
      </c>
      <c r="I34" s="34">
        <f t="shared" ca="1" si="0"/>
        <v>34</v>
      </c>
      <c r="J34" s="34" t="s">
        <v>3</v>
      </c>
      <c r="K34" s="91">
        <v>46030</v>
      </c>
      <c r="L34" s="124">
        <v>180</v>
      </c>
      <c r="M34" s="124">
        <v>90</v>
      </c>
      <c r="N34" s="45">
        <f t="shared" si="3"/>
        <v>27.777777777777775</v>
      </c>
      <c r="O34" s="34">
        <v>140</v>
      </c>
      <c r="P34" s="34">
        <v>90</v>
      </c>
      <c r="Q34" s="45">
        <v>44.9</v>
      </c>
      <c r="R34" s="34" t="s">
        <v>4</v>
      </c>
      <c r="S34" s="34"/>
      <c r="T34" s="34">
        <v>104</v>
      </c>
      <c r="U34" s="34">
        <v>139</v>
      </c>
      <c r="V34" s="34">
        <v>193</v>
      </c>
      <c r="W34" s="34">
        <v>28</v>
      </c>
      <c r="X34" s="34">
        <v>54</v>
      </c>
      <c r="Y34" s="120">
        <v>8.1999999999999993</v>
      </c>
      <c r="Z34" s="34" t="s">
        <v>4</v>
      </c>
      <c r="AA34" s="34"/>
      <c r="AB34" s="34" t="s">
        <v>4</v>
      </c>
      <c r="AC34" s="34"/>
      <c r="AD34" s="34" t="s">
        <v>8</v>
      </c>
      <c r="AE34" s="34" t="s">
        <v>511</v>
      </c>
      <c r="AF34" s="34"/>
      <c r="AG34" s="34"/>
      <c r="AH34" s="34" t="s">
        <v>512</v>
      </c>
      <c r="AI34" s="34" t="s">
        <v>154</v>
      </c>
      <c r="AJ34" s="34" t="s">
        <v>513</v>
      </c>
      <c r="AK34" s="49">
        <v>46156</v>
      </c>
      <c r="AL34" s="46" t="str">
        <f t="shared" ca="1" si="6"/>
        <v>เลยกำหนด</v>
      </c>
      <c r="AM34" s="47">
        <f t="shared" ca="1" si="7"/>
        <v>0</v>
      </c>
      <c r="AN34" s="30" t="str">
        <f t="shared" ca="1" si="1"/>
        <v>ยังไม่หมด</v>
      </c>
      <c r="AO34" s="47">
        <f t="shared" ca="1" si="2"/>
        <v>143</v>
      </c>
      <c r="AP34" s="47"/>
    </row>
    <row r="35" spans="1:42" ht="15.75" customHeight="1">
      <c r="A35" s="50" t="s">
        <v>514</v>
      </c>
      <c r="B35" s="50" t="s">
        <v>515</v>
      </c>
      <c r="C35" s="50" t="s">
        <v>516</v>
      </c>
      <c r="D35" s="50" t="s">
        <v>64</v>
      </c>
      <c r="E35" s="50" t="s">
        <v>23</v>
      </c>
      <c r="F35" s="51" t="s">
        <v>238</v>
      </c>
      <c r="G35" s="50" t="s">
        <v>134</v>
      </c>
      <c r="H35" s="52">
        <v>28371</v>
      </c>
      <c r="I35" s="50">
        <f t="shared" ca="1" si="0"/>
        <v>49</v>
      </c>
      <c r="J35" s="50" t="s">
        <v>3</v>
      </c>
      <c r="K35" s="52">
        <v>46071</v>
      </c>
      <c r="L35" s="116">
        <v>168</v>
      </c>
      <c r="M35" s="116">
        <v>66.5</v>
      </c>
      <c r="N35" s="53">
        <f t="shared" si="3"/>
        <v>23.56150793650794</v>
      </c>
      <c r="O35" s="50">
        <v>132</v>
      </c>
      <c r="P35" s="50">
        <v>87</v>
      </c>
      <c r="Q35" s="53">
        <v>44</v>
      </c>
      <c r="R35" s="50" t="s">
        <v>4</v>
      </c>
      <c r="S35" s="50"/>
      <c r="T35" s="50">
        <v>90</v>
      </c>
      <c r="U35" s="50">
        <v>110</v>
      </c>
      <c r="V35" s="50">
        <v>98</v>
      </c>
      <c r="W35" s="50">
        <v>27</v>
      </c>
      <c r="X35" s="50">
        <v>22</v>
      </c>
      <c r="Y35" s="54">
        <v>6.2</v>
      </c>
      <c r="Z35" s="50" t="s">
        <v>8</v>
      </c>
      <c r="AA35" s="50" t="s">
        <v>135</v>
      </c>
      <c r="AB35" s="50" t="s">
        <v>4</v>
      </c>
      <c r="AC35" s="50"/>
      <c r="AD35" s="50" t="s">
        <v>4</v>
      </c>
      <c r="AE35" s="50"/>
      <c r="AF35" s="50" t="s">
        <v>4</v>
      </c>
      <c r="AG35" s="50"/>
      <c r="AH35" s="50"/>
      <c r="AI35" s="6" t="s">
        <v>137</v>
      </c>
      <c r="AJ35" s="50" t="s">
        <v>231</v>
      </c>
      <c r="AK35" s="25">
        <v>46099</v>
      </c>
      <c r="AL35" s="55"/>
      <c r="AM35" s="27"/>
      <c r="AN35" s="30" t="str">
        <f t="shared" ca="1" si="1"/>
        <v>ยังไม่หมด</v>
      </c>
      <c r="AO35" s="47">
        <f t="shared" ca="1" si="2"/>
        <v>184</v>
      </c>
      <c r="AP35" s="47"/>
    </row>
    <row r="36" spans="1:42" ht="15.75" customHeight="1">
      <c r="A36" s="50" t="s">
        <v>517</v>
      </c>
      <c r="B36" s="50" t="s">
        <v>518</v>
      </c>
      <c r="C36" s="50" t="s">
        <v>519</v>
      </c>
      <c r="D36" s="50" t="s">
        <v>64</v>
      </c>
      <c r="E36" s="50" t="s">
        <v>23</v>
      </c>
      <c r="F36" s="51" t="s">
        <v>238</v>
      </c>
      <c r="G36" s="50" t="s">
        <v>134</v>
      </c>
      <c r="H36" s="52">
        <v>37392</v>
      </c>
      <c r="I36" s="50">
        <f t="shared" ca="1" si="0"/>
        <v>24</v>
      </c>
      <c r="J36" s="50" t="s">
        <v>3</v>
      </c>
      <c r="K36" s="52">
        <v>46115</v>
      </c>
      <c r="L36" s="116">
        <v>176</v>
      </c>
      <c r="M36" s="116">
        <v>57.9</v>
      </c>
      <c r="N36" s="53">
        <f t="shared" si="3"/>
        <v>18.691890495867767</v>
      </c>
      <c r="O36" s="50">
        <v>96</v>
      </c>
      <c r="P36" s="50">
        <v>63</v>
      </c>
      <c r="Q36" s="53">
        <v>36</v>
      </c>
      <c r="R36" s="50" t="s">
        <v>4</v>
      </c>
      <c r="S36" s="50"/>
      <c r="T36" s="50">
        <v>88</v>
      </c>
      <c r="U36" s="50">
        <v>53</v>
      </c>
      <c r="V36" s="50">
        <v>54</v>
      </c>
      <c r="W36" s="50">
        <v>17</v>
      </c>
      <c r="X36" s="50">
        <v>16</v>
      </c>
      <c r="Y36" s="54">
        <v>5.9</v>
      </c>
      <c r="Z36" s="50" t="s">
        <v>4</v>
      </c>
      <c r="AA36" s="74"/>
      <c r="AB36" s="50" t="s">
        <v>4</v>
      </c>
      <c r="AC36" s="50"/>
      <c r="AD36" s="50" t="s">
        <v>8</v>
      </c>
      <c r="AE36" s="50" t="s">
        <v>520</v>
      </c>
      <c r="AF36" s="50"/>
      <c r="AG36" s="50"/>
      <c r="AH36" s="50" t="s">
        <v>521</v>
      </c>
      <c r="AI36" s="50" t="s">
        <v>137</v>
      </c>
      <c r="AJ36" s="50" t="s">
        <v>522</v>
      </c>
      <c r="AK36" s="25">
        <v>46158</v>
      </c>
      <c r="AL36" s="25"/>
      <c r="AM36" s="27"/>
      <c r="AN36" s="30" t="str">
        <f t="shared" ca="1" si="1"/>
        <v>ยังไม่หมด</v>
      </c>
      <c r="AO36" s="47">
        <f t="shared" ca="1" si="2"/>
        <v>228</v>
      </c>
      <c r="AP36" s="47"/>
    </row>
    <row r="37" spans="1:42" ht="15.75" customHeight="1">
      <c r="A37" s="34" t="s">
        <v>523</v>
      </c>
      <c r="B37" s="34" t="s">
        <v>524</v>
      </c>
      <c r="C37" s="34" t="s">
        <v>525</v>
      </c>
      <c r="D37" s="34" t="s">
        <v>64</v>
      </c>
      <c r="E37" s="34" t="s">
        <v>23</v>
      </c>
      <c r="F37" s="90" t="s">
        <v>526</v>
      </c>
      <c r="G37" s="34" t="s">
        <v>134</v>
      </c>
      <c r="H37" s="91">
        <v>27725</v>
      </c>
      <c r="I37" s="34">
        <f t="shared" ca="1" si="0"/>
        <v>51</v>
      </c>
      <c r="J37" s="34" t="s">
        <v>3</v>
      </c>
      <c r="K37" s="91">
        <v>46014</v>
      </c>
      <c r="L37" s="45">
        <v>162</v>
      </c>
      <c r="M37" s="125">
        <v>90</v>
      </c>
      <c r="N37" s="45">
        <f t="shared" si="3"/>
        <v>34.293552812071326</v>
      </c>
      <c r="O37" s="34">
        <v>119</v>
      </c>
      <c r="P37" s="34">
        <v>79</v>
      </c>
      <c r="Q37" s="45">
        <v>48</v>
      </c>
      <c r="R37" s="34" t="s">
        <v>8</v>
      </c>
      <c r="S37" s="34" t="s">
        <v>527</v>
      </c>
      <c r="T37" s="34">
        <v>98</v>
      </c>
      <c r="U37" s="34">
        <v>122</v>
      </c>
      <c r="V37" s="34">
        <v>115</v>
      </c>
      <c r="W37" s="34">
        <v>18</v>
      </c>
      <c r="X37" s="34">
        <v>22</v>
      </c>
      <c r="Y37" s="120">
        <v>7.7</v>
      </c>
      <c r="Z37" s="34" t="s">
        <v>4</v>
      </c>
      <c r="AA37" s="34"/>
      <c r="AB37" s="34" t="s">
        <v>4</v>
      </c>
      <c r="AC37" s="34"/>
      <c r="AD37" s="34" t="s">
        <v>4</v>
      </c>
      <c r="AE37" s="34"/>
      <c r="AF37" s="34"/>
      <c r="AG37" s="34"/>
      <c r="AH37" s="34" t="s">
        <v>528</v>
      </c>
      <c r="AI37" s="56" t="s">
        <v>218</v>
      </c>
      <c r="AJ37" s="56" t="s">
        <v>529</v>
      </c>
      <c r="AK37" s="57">
        <v>46193</v>
      </c>
      <c r="AL37" s="46" t="str">
        <f ca="1">IF((AK37+90)&lt;TODAY(),"เลยกำหนด",IF((AK37+90)-TODAY()&lt;=30,"ใกล้ถึง","ยังไม่ถึง"))</f>
        <v>ยังไม่ถึง</v>
      </c>
      <c r="AM37" s="47">
        <f ca="1">MAX(0, (AK37+90) - TODAY())</f>
        <v>32</v>
      </c>
      <c r="AN37" s="30" t="str">
        <f t="shared" ca="1" si="1"/>
        <v>ยังไม่หมด</v>
      </c>
      <c r="AO37" s="47">
        <f t="shared" ca="1" si="2"/>
        <v>127</v>
      </c>
      <c r="AP37" s="47"/>
    </row>
    <row r="38" spans="1:42" ht="15.75" customHeight="1">
      <c r="A38" s="23" t="s">
        <v>530</v>
      </c>
      <c r="B38" s="23" t="s">
        <v>233</v>
      </c>
      <c r="C38" s="23" t="s">
        <v>531</v>
      </c>
      <c r="D38" s="23" t="s">
        <v>64</v>
      </c>
      <c r="E38" s="23" t="s">
        <v>23</v>
      </c>
      <c r="F38" s="26" t="s">
        <v>526</v>
      </c>
      <c r="G38" s="23" t="s">
        <v>134</v>
      </c>
      <c r="H38" s="28">
        <v>30745</v>
      </c>
      <c r="I38" s="23">
        <f t="shared" ca="1" si="0"/>
        <v>42</v>
      </c>
      <c r="J38" s="23" t="s">
        <v>24</v>
      </c>
      <c r="K38" s="28">
        <v>45920</v>
      </c>
      <c r="L38" s="31">
        <v>169</v>
      </c>
      <c r="M38" s="126">
        <v>86.6</v>
      </c>
      <c r="N38" s="31">
        <f t="shared" si="3"/>
        <v>30.321067189524179</v>
      </c>
      <c r="O38" s="23">
        <v>138</v>
      </c>
      <c r="P38" s="23">
        <v>88</v>
      </c>
      <c r="Q38" s="31">
        <v>40</v>
      </c>
      <c r="R38" s="23" t="s">
        <v>4</v>
      </c>
      <c r="S38" s="127"/>
      <c r="T38" s="23">
        <v>110</v>
      </c>
      <c r="U38" s="23">
        <v>79</v>
      </c>
      <c r="V38" s="59">
        <v>281</v>
      </c>
      <c r="W38" s="23">
        <v>21</v>
      </c>
      <c r="X38" s="23">
        <v>24</v>
      </c>
      <c r="Y38" s="61">
        <v>4.4000000000000004</v>
      </c>
      <c r="Z38" s="23" t="s">
        <v>4</v>
      </c>
      <c r="AA38" s="23"/>
      <c r="AB38" s="23" t="s">
        <v>4</v>
      </c>
      <c r="AC38" s="23"/>
      <c r="AD38" s="23" t="s">
        <v>8</v>
      </c>
      <c r="AE38" s="23" t="s">
        <v>350</v>
      </c>
      <c r="AF38" s="23"/>
      <c r="AG38" s="23"/>
      <c r="AH38" s="23" t="s">
        <v>532</v>
      </c>
      <c r="AI38" s="23" t="s">
        <v>154</v>
      </c>
      <c r="AJ38" s="23" t="s">
        <v>533</v>
      </c>
      <c r="AK38" s="58">
        <v>46213</v>
      </c>
      <c r="AL38" s="46" t="str">
        <f ca="1">IF((AK38+180)&lt;TODAY(),"เลยกำหนด",IF((AK38+180)-TODAY()&lt;=30,"ใกล้ถึง","ยังไม่ถึง"))</f>
        <v>ยังไม่ถึง</v>
      </c>
      <c r="AM38" s="47">
        <f ca="1">MAX(0, (AK38+180) - TODAY())</f>
        <v>142</v>
      </c>
      <c r="AN38" s="30" t="str">
        <f t="shared" ca="1" si="1"/>
        <v>ใกล้หมด 3 เดือน</v>
      </c>
      <c r="AO38" s="47">
        <f t="shared" ca="1" si="2"/>
        <v>33</v>
      </c>
      <c r="AP38" s="47"/>
    </row>
    <row r="39" spans="1:42" ht="15.75" customHeight="1">
      <c r="A39" s="23" t="s">
        <v>534</v>
      </c>
      <c r="B39" s="23" t="s">
        <v>535</v>
      </c>
      <c r="C39" s="23" t="s">
        <v>536</v>
      </c>
      <c r="D39" s="23" t="s">
        <v>64</v>
      </c>
      <c r="E39" s="23" t="s">
        <v>23</v>
      </c>
      <c r="F39" s="26" t="s">
        <v>526</v>
      </c>
      <c r="G39" s="23" t="s">
        <v>134</v>
      </c>
      <c r="H39" s="28">
        <v>26995</v>
      </c>
      <c r="I39" s="23">
        <f t="shared" ca="1" si="0"/>
        <v>53</v>
      </c>
      <c r="J39" s="23" t="s">
        <v>3</v>
      </c>
      <c r="K39" s="28">
        <v>46170</v>
      </c>
      <c r="L39" s="31">
        <v>157</v>
      </c>
      <c r="M39" s="31">
        <v>58.2</v>
      </c>
      <c r="N39" s="31">
        <f t="shared" si="3"/>
        <v>23.611505537750009</v>
      </c>
      <c r="O39" s="23">
        <v>95</v>
      </c>
      <c r="P39" s="23">
        <v>62</v>
      </c>
      <c r="Q39" s="31">
        <v>44.5</v>
      </c>
      <c r="R39" s="23" t="s">
        <v>4</v>
      </c>
      <c r="S39" s="23"/>
      <c r="T39" s="23">
        <v>126</v>
      </c>
      <c r="U39" s="23">
        <v>122</v>
      </c>
      <c r="V39" s="23">
        <v>86</v>
      </c>
      <c r="W39" s="23">
        <v>20</v>
      </c>
      <c r="X39" s="23">
        <v>17</v>
      </c>
      <c r="Y39" s="37">
        <v>4.4000000000000004</v>
      </c>
      <c r="Z39" s="23" t="s">
        <v>4</v>
      </c>
      <c r="AA39" s="23"/>
      <c r="AB39" s="23" t="s">
        <v>8</v>
      </c>
      <c r="AC39" s="23" t="s">
        <v>537</v>
      </c>
      <c r="AD39" s="23" t="s">
        <v>8</v>
      </c>
      <c r="AE39" s="59" t="s">
        <v>538</v>
      </c>
      <c r="AF39" s="23"/>
      <c r="AG39" s="23"/>
      <c r="AH39" s="23" t="s">
        <v>539</v>
      </c>
      <c r="AI39" s="62" t="s">
        <v>218</v>
      </c>
      <c r="AJ39" s="62" t="s">
        <v>540</v>
      </c>
      <c r="AK39" s="63">
        <v>46182</v>
      </c>
      <c r="AL39" s="46" t="str">
        <f t="shared" ref="AL39:AL40" ca="1" si="8">IF((AK39+90)&lt;TODAY(),"เลยกำหนด",IF((AK39+90)-TODAY()&lt;=30,"ใกล้ถึง","ยังไม่ถึง"))</f>
        <v>ใกล้ถึง</v>
      </c>
      <c r="AM39" s="47">
        <f t="shared" ref="AM39:AM40" ca="1" si="9">MAX(0, (AK39+90) - TODAY())</f>
        <v>21</v>
      </c>
      <c r="AN39" s="30" t="str">
        <f t="shared" ca="1" si="1"/>
        <v>ยังไม่หมด</v>
      </c>
      <c r="AO39" s="47">
        <f t="shared" ca="1" si="2"/>
        <v>283</v>
      </c>
      <c r="AP39" s="47"/>
    </row>
    <row r="40" spans="1:42" ht="15.75" customHeight="1">
      <c r="A40" s="23" t="s">
        <v>541</v>
      </c>
      <c r="B40" s="23" t="s">
        <v>542</v>
      </c>
      <c r="C40" s="23" t="s">
        <v>543</v>
      </c>
      <c r="D40" s="23" t="s">
        <v>64</v>
      </c>
      <c r="E40" s="23" t="s">
        <v>23</v>
      </c>
      <c r="F40" s="26" t="s">
        <v>544</v>
      </c>
      <c r="G40" s="23" t="s">
        <v>134</v>
      </c>
      <c r="H40" s="28">
        <v>30830</v>
      </c>
      <c r="I40" s="23">
        <f t="shared" ca="1" si="0"/>
        <v>42</v>
      </c>
      <c r="J40" s="23" t="s">
        <v>3</v>
      </c>
      <c r="K40" s="28">
        <v>46064</v>
      </c>
      <c r="L40" s="31">
        <v>168.6</v>
      </c>
      <c r="M40" s="31">
        <v>72.45</v>
      </c>
      <c r="N40" s="31">
        <f t="shared" si="3"/>
        <v>25.487265865427236</v>
      </c>
      <c r="O40" s="114">
        <v>145</v>
      </c>
      <c r="P40" s="23">
        <v>76</v>
      </c>
      <c r="Q40" s="31">
        <v>42.8</v>
      </c>
      <c r="R40" s="23" t="s">
        <v>4</v>
      </c>
      <c r="S40" s="23"/>
      <c r="T40" s="23">
        <v>100</v>
      </c>
      <c r="U40" s="23">
        <v>181</v>
      </c>
      <c r="V40" s="23">
        <v>83</v>
      </c>
      <c r="W40" s="23">
        <v>29</v>
      </c>
      <c r="X40" s="23">
        <v>27</v>
      </c>
      <c r="Y40" s="128">
        <v>10.199999999999999</v>
      </c>
      <c r="Z40" s="23" t="s">
        <v>4</v>
      </c>
      <c r="AA40" s="23"/>
      <c r="AB40" s="23" t="s">
        <v>4</v>
      </c>
      <c r="AC40" s="23"/>
      <c r="AD40" s="23" t="s">
        <v>8</v>
      </c>
      <c r="AE40" s="23" t="s">
        <v>545</v>
      </c>
      <c r="AF40" s="23" t="s">
        <v>4</v>
      </c>
      <c r="AG40" s="23"/>
      <c r="AH40" s="23" t="s">
        <v>546</v>
      </c>
      <c r="AI40" s="56" t="s">
        <v>218</v>
      </c>
      <c r="AJ40" s="62" t="s">
        <v>547</v>
      </c>
      <c r="AK40" s="63">
        <v>46190</v>
      </c>
      <c r="AL40" s="46" t="str">
        <f t="shared" ca="1" si="8"/>
        <v>ใกล้ถึง</v>
      </c>
      <c r="AM40" s="47">
        <f t="shared" ca="1" si="9"/>
        <v>29</v>
      </c>
      <c r="AN40" s="30" t="str">
        <f t="shared" ca="1" si="1"/>
        <v>ยังไม่หมด</v>
      </c>
      <c r="AO40" s="47">
        <f t="shared" ca="1" si="2"/>
        <v>177</v>
      </c>
      <c r="AP40" s="47"/>
    </row>
    <row r="41" spans="1:42" ht="15.75" customHeight="1">
      <c r="A41" s="50" t="s">
        <v>548</v>
      </c>
      <c r="B41" s="50" t="s">
        <v>549</v>
      </c>
      <c r="C41" s="50" t="s">
        <v>550</v>
      </c>
      <c r="D41" s="50" t="s">
        <v>64</v>
      </c>
      <c r="E41" s="50" t="s">
        <v>23</v>
      </c>
      <c r="F41" s="51" t="s">
        <v>544</v>
      </c>
      <c r="G41" s="50" t="s">
        <v>134</v>
      </c>
      <c r="H41" s="52">
        <v>27955</v>
      </c>
      <c r="I41" s="50">
        <f t="shared" ca="1" si="0"/>
        <v>50</v>
      </c>
      <c r="J41" s="50" t="s">
        <v>3</v>
      </c>
      <c r="K41" s="52">
        <v>46170</v>
      </c>
      <c r="L41" s="53">
        <v>176.5</v>
      </c>
      <c r="M41" s="53">
        <v>82.2</v>
      </c>
      <c r="N41" s="53">
        <f t="shared" si="3"/>
        <v>26.386537088011295</v>
      </c>
      <c r="O41" s="50">
        <v>130</v>
      </c>
      <c r="P41" s="50">
        <v>92</v>
      </c>
      <c r="Q41" s="53">
        <v>46.6</v>
      </c>
      <c r="R41" s="50" t="s">
        <v>4</v>
      </c>
      <c r="S41" s="50"/>
      <c r="T41" s="50">
        <v>107</v>
      </c>
      <c r="U41" s="50">
        <v>88</v>
      </c>
      <c r="V41" s="50">
        <v>47</v>
      </c>
      <c r="W41" s="50">
        <v>17</v>
      </c>
      <c r="X41" s="50">
        <v>22</v>
      </c>
      <c r="Y41" s="54">
        <v>6.2</v>
      </c>
      <c r="Z41" s="50" t="s">
        <v>4</v>
      </c>
      <c r="AA41" s="50"/>
      <c r="AB41" s="50" t="s">
        <v>4</v>
      </c>
      <c r="AC41" s="50"/>
      <c r="AD41" s="50" t="s">
        <v>4</v>
      </c>
      <c r="AE41" s="50"/>
      <c r="AF41" s="50"/>
      <c r="AG41" s="50"/>
      <c r="AH41" s="50"/>
      <c r="AI41" s="50" t="s">
        <v>137</v>
      </c>
      <c r="AJ41" s="50" t="s">
        <v>254</v>
      </c>
      <c r="AK41" s="25">
        <v>46177</v>
      </c>
      <c r="AL41" s="25"/>
      <c r="AM41" s="27"/>
      <c r="AN41" s="30" t="str">
        <f t="shared" ca="1" si="1"/>
        <v>ยังไม่หมด</v>
      </c>
      <c r="AO41" s="47">
        <f t="shared" ca="1" si="2"/>
        <v>283</v>
      </c>
      <c r="AP41" s="47"/>
    </row>
    <row r="42" spans="1:42" ht="15.75" customHeight="1">
      <c r="A42" s="23" t="s">
        <v>551</v>
      </c>
      <c r="B42" s="23" t="s">
        <v>552</v>
      </c>
      <c r="C42" s="23" t="s">
        <v>553</v>
      </c>
      <c r="D42" s="23" t="s">
        <v>64</v>
      </c>
      <c r="E42" s="23" t="s">
        <v>23</v>
      </c>
      <c r="F42" s="26" t="s">
        <v>544</v>
      </c>
      <c r="G42" s="23" t="s">
        <v>134</v>
      </c>
      <c r="H42" s="28">
        <v>27181</v>
      </c>
      <c r="I42" s="23">
        <f t="shared" ca="1" si="0"/>
        <v>52</v>
      </c>
      <c r="J42" s="23" t="s">
        <v>19</v>
      </c>
      <c r="K42" s="28">
        <v>46239</v>
      </c>
      <c r="L42" s="31">
        <v>176</v>
      </c>
      <c r="M42" s="31">
        <v>75</v>
      </c>
      <c r="N42" s="31">
        <f t="shared" si="3"/>
        <v>24.212293388429753</v>
      </c>
      <c r="O42" s="23">
        <v>135</v>
      </c>
      <c r="P42" s="23">
        <v>85</v>
      </c>
      <c r="Q42" s="31">
        <v>42</v>
      </c>
      <c r="R42" s="23" t="s">
        <v>4</v>
      </c>
      <c r="S42" s="23"/>
      <c r="T42" s="23">
        <v>123</v>
      </c>
      <c r="U42" s="23">
        <v>98</v>
      </c>
      <c r="V42" s="23">
        <v>53</v>
      </c>
      <c r="W42" s="23">
        <v>18</v>
      </c>
      <c r="X42" s="23">
        <v>14</v>
      </c>
      <c r="Y42" s="37">
        <v>5</v>
      </c>
      <c r="Z42" s="23" t="s">
        <v>8</v>
      </c>
      <c r="AA42" s="23" t="s">
        <v>135</v>
      </c>
      <c r="AB42" s="23" t="s">
        <v>4</v>
      </c>
      <c r="AC42" s="23"/>
      <c r="AD42" s="23" t="s">
        <v>8</v>
      </c>
      <c r="AE42" s="23" t="s">
        <v>230</v>
      </c>
      <c r="AF42" s="23"/>
      <c r="AG42" s="23"/>
      <c r="AH42" s="23" t="s">
        <v>554</v>
      </c>
      <c r="AI42" s="23" t="s">
        <v>154</v>
      </c>
      <c r="AJ42" s="23" t="s">
        <v>555</v>
      </c>
      <c r="AK42" s="58">
        <v>46240</v>
      </c>
      <c r="AL42" s="46"/>
      <c r="AM42" s="47"/>
      <c r="AN42" s="30" t="str">
        <f t="shared" ca="1" si="1"/>
        <v>ยังไม่หมด</v>
      </c>
      <c r="AO42" s="47">
        <f t="shared" ca="1" si="2"/>
        <v>352</v>
      </c>
      <c r="AP42" s="47"/>
    </row>
    <row r="43" spans="1:42" ht="15.75" customHeight="1">
      <c r="A43" s="50" t="s">
        <v>556</v>
      </c>
      <c r="B43" s="50" t="s">
        <v>337</v>
      </c>
      <c r="C43" s="50" t="s">
        <v>557</v>
      </c>
      <c r="D43" s="50" t="s">
        <v>64</v>
      </c>
      <c r="E43" s="50" t="s">
        <v>23</v>
      </c>
      <c r="F43" s="51" t="s">
        <v>544</v>
      </c>
      <c r="G43" s="50" t="s">
        <v>134</v>
      </c>
      <c r="H43" s="52">
        <v>29299</v>
      </c>
      <c r="I43" s="50">
        <f t="shared" ca="1" si="0"/>
        <v>46</v>
      </c>
      <c r="J43" s="50" t="s">
        <v>3</v>
      </c>
      <c r="K43" s="52">
        <v>46197</v>
      </c>
      <c r="L43" s="53">
        <v>170</v>
      </c>
      <c r="M43" s="53">
        <v>63.2</v>
      </c>
      <c r="N43" s="53">
        <f t="shared" si="3"/>
        <v>21.868512110726648</v>
      </c>
      <c r="O43" s="50">
        <v>122</v>
      </c>
      <c r="P43" s="50">
        <v>79</v>
      </c>
      <c r="Q43" s="53">
        <v>48</v>
      </c>
      <c r="R43" s="50" t="s">
        <v>4</v>
      </c>
      <c r="S43" s="50"/>
      <c r="T43" s="50">
        <v>99</v>
      </c>
      <c r="U43" s="50">
        <v>147</v>
      </c>
      <c r="V43" s="50">
        <v>126</v>
      </c>
      <c r="W43" s="50">
        <v>24</v>
      </c>
      <c r="X43" s="50">
        <v>21</v>
      </c>
      <c r="Y43" s="54">
        <v>6.5</v>
      </c>
      <c r="Z43" s="50" t="s">
        <v>8</v>
      </c>
      <c r="AA43" s="50" t="s">
        <v>135</v>
      </c>
      <c r="AB43" s="50" t="s">
        <v>4</v>
      </c>
      <c r="AC43" s="50"/>
      <c r="AD43" s="50" t="s">
        <v>4</v>
      </c>
      <c r="AE43" s="50"/>
      <c r="AF43" s="50" t="s">
        <v>4</v>
      </c>
      <c r="AG43" s="50"/>
      <c r="AH43" s="50"/>
      <c r="AI43" s="50" t="s">
        <v>137</v>
      </c>
      <c r="AJ43" s="50" t="s">
        <v>231</v>
      </c>
      <c r="AK43" s="25">
        <v>46202</v>
      </c>
      <c r="AL43" s="25"/>
      <c r="AM43" s="27"/>
      <c r="AN43" s="30" t="str">
        <f t="shared" ca="1" si="1"/>
        <v>ยังไม่หมด</v>
      </c>
      <c r="AO43" s="47">
        <f t="shared" ca="1" si="2"/>
        <v>310</v>
      </c>
      <c r="AP43" s="47"/>
    </row>
    <row r="44" spans="1:42" ht="15.75" customHeight="1">
      <c r="A44" s="23" t="s">
        <v>558</v>
      </c>
      <c r="B44" s="23" t="s">
        <v>559</v>
      </c>
      <c r="C44" s="23" t="s">
        <v>560</v>
      </c>
      <c r="D44" s="23" t="s">
        <v>64</v>
      </c>
      <c r="E44" s="23" t="s">
        <v>23</v>
      </c>
      <c r="F44" s="129" t="s">
        <v>260</v>
      </c>
      <c r="G44" s="23" t="s">
        <v>134</v>
      </c>
      <c r="H44" s="28">
        <v>27918</v>
      </c>
      <c r="I44" s="23">
        <f t="shared" ca="1" si="0"/>
        <v>50</v>
      </c>
      <c r="J44" s="23" t="s">
        <v>19</v>
      </c>
      <c r="K44" s="28">
        <v>46214</v>
      </c>
      <c r="L44" s="31">
        <v>175</v>
      </c>
      <c r="M44" s="31">
        <v>72.5</v>
      </c>
      <c r="N44" s="31">
        <f t="shared" si="3"/>
        <v>23.673469387755102</v>
      </c>
      <c r="O44" s="23">
        <v>128</v>
      </c>
      <c r="P44" s="23">
        <v>78</v>
      </c>
      <c r="Q44" s="31">
        <v>43</v>
      </c>
      <c r="R44" s="59" t="s">
        <v>4</v>
      </c>
      <c r="S44" s="23"/>
      <c r="T44" s="23">
        <v>163</v>
      </c>
      <c r="U44" s="23">
        <v>181</v>
      </c>
      <c r="V44" s="23">
        <v>46</v>
      </c>
      <c r="W44" s="23">
        <v>23</v>
      </c>
      <c r="X44" s="23">
        <v>28</v>
      </c>
      <c r="Y44" s="37">
        <v>7</v>
      </c>
      <c r="Z44" s="23" t="s">
        <v>4</v>
      </c>
      <c r="AA44" s="23"/>
      <c r="AB44" s="23" t="s">
        <v>4</v>
      </c>
      <c r="AC44" s="23"/>
      <c r="AD44" s="23" t="s">
        <v>4</v>
      </c>
      <c r="AE44" s="23"/>
      <c r="AF44" s="23"/>
      <c r="AG44" s="23"/>
      <c r="AH44" s="23" t="s">
        <v>561</v>
      </c>
      <c r="AI44" s="56" t="s">
        <v>218</v>
      </c>
      <c r="AJ44" s="62" t="s">
        <v>562</v>
      </c>
      <c r="AK44" s="63">
        <v>46218</v>
      </c>
      <c r="AL44" s="46" t="str">
        <f ca="1">IF((AK44+90)&lt;TODAY(),"เลยกำหนด",IF((AK44+90)-TODAY()&lt;=30,"ใกล้ถึง","ยังไม่ถึง"))</f>
        <v>ยังไม่ถึง</v>
      </c>
      <c r="AM44" s="47">
        <f ca="1">MAX(0, (AK44+90) - TODAY())</f>
        <v>57</v>
      </c>
      <c r="AN44" s="48" t="str">
        <f t="shared" ca="1" si="1"/>
        <v>ยังไม่หมด</v>
      </c>
      <c r="AO44" s="47">
        <f t="shared" ca="1" si="2"/>
        <v>327</v>
      </c>
      <c r="AP44" s="47"/>
    </row>
    <row r="45" spans="1:42" ht="15.75" customHeight="1">
      <c r="A45" s="34" t="s">
        <v>563</v>
      </c>
      <c r="B45" s="34" t="s">
        <v>564</v>
      </c>
      <c r="C45" s="34" t="s">
        <v>565</v>
      </c>
      <c r="D45" s="34" t="s">
        <v>64</v>
      </c>
      <c r="E45" s="34" t="s">
        <v>23</v>
      </c>
      <c r="F45" s="129" t="s">
        <v>260</v>
      </c>
      <c r="G45" s="34" t="s">
        <v>134</v>
      </c>
      <c r="H45" s="91">
        <v>26500</v>
      </c>
      <c r="I45" s="34">
        <f t="shared" ca="1" si="0"/>
        <v>54</v>
      </c>
      <c r="J45" s="34" t="s">
        <v>3</v>
      </c>
      <c r="K45" s="91">
        <v>46190</v>
      </c>
      <c r="L45" s="45">
        <v>158</v>
      </c>
      <c r="M45" s="45">
        <v>64.7</v>
      </c>
      <c r="N45" s="45">
        <f t="shared" si="3"/>
        <v>25.917320942156703</v>
      </c>
      <c r="O45" s="107">
        <v>125</v>
      </c>
      <c r="P45" s="107">
        <v>60</v>
      </c>
      <c r="Q45" s="45">
        <v>35</v>
      </c>
      <c r="R45" s="34" t="s">
        <v>4</v>
      </c>
      <c r="S45" s="34"/>
      <c r="T45" s="34">
        <v>74</v>
      </c>
      <c r="U45" s="34">
        <v>54</v>
      </c>
      <c r="V45" s="34">
        <v>179</v>
      </c>
      <c r="W45" s="34">
        <v>26</v>
      </c>
      <c r="X45" s="34">
        <v>20</v>
      </c>
      <c r="Y45" s="120">
        <v>8.1</v>
      </c>
      <c r="Z45" s="34" t="s">
        <v>8</v>
      </c>
      <c r="AA45" s="34" t="s">
        <v>135</v>
      </c>
      <c r="AB45" s="34" t="s">
        <v>4</v>
      </c>
      <c r="AC45" s="34"/>
      <c r="AD45" s="34" t="s">
        <v>8</v>
      </c>
      <c r="AE45" s="34" t="s">
        <v>566</v>
      </c>
      <c r="AF45" s="34" t="s">
        <v>4</v>
      </c>
      <c r="AG45" s="34"/>
      <c r="AH45" s="34" t="s">
        <v>567</v>
      </c>
      <c r="AI45" s="34" t="s">
        <v>568</v>
      </c>
      <c r="AJ45" s="34" t="s">
        <v>569</v>
      </c>
      <c r="AK45" s="49">
        <v>46237</v>
      </c>
      <c r="AL45" s="58"/>
      <c r="AM45" s="27"/>
      <c r="AN45" s="130" t="str">
        <f t="shared" ca="1" si="1"/>
        <v>ยังไม่หมด</v>
      </c>
      <c r="AO45" s="131">
        <f t="shared" ca="1" si="2"/>
        <v>303</v>
      </c>
      <c r="AP45" s="131"/>
    </row>
    <row r="46" spans="1:42" ht="15.75" customHeight="1">
      <c r="A46" s="23" t="s">
        <v>570</v>
      </c>
      <c r="B46" s="23" t="s">
        <v>571</v>
      </c>
      <c r="C46" s="23" t="s">
        <v>572</v>
      </c>
      <c r="D46" s="23" t="s">
        <v>64</v>
      </c>
      <c r="E46" s="23" t="s">
        <v>23</v>
      </c>
      <c r="F46" s="129" t="s">
        <v>260</v>
      </c>
      <c r="G46" s="23" t="s">
        <v>134</v>
      </c>
      <c r="H46" s="28">
        <v>26960</v>
      </c>
      <c r="I46" s="23">
        <f t="shared" ca="1" si="0"/>
        <v>53</v>
      </c>
      <c r="J46" s="23" t="s">
        <v>7</v>
      </c>
      <c r="K46" s="28">
        <v>46128</v>
      </c>
      <c r="L46" s="31">
        <v>168</v>
      </c>
      <c r="M46" s="31">
        <v>83.4</v>
      </c>
      <c r="N46" s="31">
        <f t="shared" si="3"/>
        <v>29.549319727891163</v>
      </c>
      <c r="O46" s="23">
        <v>131</v>
      </c>
      <c r="P46" s="23">
        <v>80</v>
      </c>
      <c r="Q46" s="31">
        <v>45</v>
      </c>
      <c r="R46" s="23" t="s">
        <v>8</v>
      </c>
      <c r="S46" s="23" t="s">
        <v>573</v>
      </c>
      <c r="T46" s="23">
        <v>152</v>
      </c>
      <c r="U46" s="23">
        <v>89</v>
      </c>
      <c r="V46" s="23">
        <v>88</v>
      </c>
      <c r="W46" s="23">
        <v>38</v>
      </c>
      <c r="X46" s="23">
        <v>46</v>
      </c>
      <c r="Y46" s="37">
        <v>7</v>
      </c>
      <c r="Z46" s="23" t="s">
        <v>4</v>
      </c>
      <c r="AA46" s="23"/>
      <c r="AB46" s="23" t="s">
        <v>4</v>
      </c>
      <c r="AC46" s="23"/>
      <c r="AD46" s="23" t="s">
        <v>8</v>
      </c>
      <c r="AE46" s="23" t="s">
        <v>450</v>
      </c>
      <c r="AF46" s="23"/>
      <c r="AG46" s="23"/>
      <c r="AH46" s="23" t="s">
        <v>574</v>
      </c>
      <c r="AI46" s="62" t="s">
        <v>218</v>
      </c>
      <c r="AJ46" s="62" t="s">
        <v>575</v>
      </c>
      <c r="AK46" s="63">
        <v>46240</v>
      </c>
      <c r="AL46" s="46"/>
      <c r="AM46" s="47"/>
      <c r="AN46" s="30" t="str">
        <f t="shared" ca="1" si="1"/>
        <v>ยังไม่หมด</v>
      </c>
      <c r="AO46" s="47">
        <f t="shared" ca="1" si="2"/>
        <v>241</v>
      </c>
      <c r="AP46" s="47"/>
    </row>
    <row r="47" spans="1:42" ht="15.75" customHeight="1">
      <c r="A47" s="50" t="s">
        <v>576</v>
      </c>
      <c r="B47" s="50" t="s">
        <v>577</v>
      </c>
      <c r="C47" s="50" t="s">
        <v>578</v>
      </c>
      <c r="D47" s="50" t="s">
        <v>64</v>
      </c>
      <c r="E47" s="50" t="s">
        <v>23</v>
      </c>
      <c r="F47" s="51" t="s">
        <v>260</v>
      </c>
      <c r="G47" s="50" t="s">
        <v>134</v>
      </c>
      <c r="H47" s="52">
        <v>29539</v>
      </c>
      <c r="I47" s="50">
        <f t="shared" ca="1" si="0"/>
        <v>46</v>
      </c>
      <c r="J47" s="50" t="s">
        <v>24</v>
      </c>
      <c r="K47" s="52">
        <v>46135</v>
      </c>
      <c r="L47" s="53">
        <v>157</v>
      </c>
      <c r="M47" s="53">
        <v>66.599999999999994</v>
      </c>
      <c r="N47" s="53">
        <f t="shared" si="3"/>
        <v>27.019351697837639</v>
      </c>
      <c r="O47" s="50">
        <v>122</v>
      </c>
      <c r="P47" s="50">
        <v>81</v>
      </c>
      <c r="Q47" s="53">
        <v>38.6</v>
      </c>
      <c r="R47" s="50" t="s">
        <v>8</v>
      </c>
      <c r="S47" s="6" t="s">
        <v>579</v>
      </c>
      <c r="T47" s="50">
        <v>106</v>
      </c>
      <c r="U47" s="50">
        <v>77</v>
      </c>
      <c r="V47" s="50">
        <v>171</v>
      </c>
      <c r="W47" s="50">
        <v>27</v>
      </c>
      <c r="X47" s="50">
        <v>23</v>
      </c>
      <c r="Y47" s="54">
        <v>6.1</v>
      </c>
      <c r="Z47" s="50" t="s">
        <v>4</v>
      </c>
      <c r="AA47" s="50"/>
      <c r="AB47" s="50" t="s">
        <v>4</v>
      </c>
      <c r="AC47" s="50"/>
      <c r="AD47" s="50" t="s">
        <v>8</v>
      </c>
      <c r="AE47" s="50" t="s">
        <v>580</v>
      </c>
      <c r="AF47" s="50"/>
      <c r="AG47" s="50"/>
      <c r="AH47" s="50" t="s">
        <v>581</v>
      </c>
      <c r="AI47" s="50" t="s">
        <v>137</v>
      </c>
      <c r="AJ47" s="50" t="s">
        <v>254</v>
      </c>
      <c r="AK47" s="25">
        <v>46147</v>
      </c>
      <c r="AL47" s="55"/>
      <c r="AM47" s="47"/>
      <c r="AN47" s="30" t="str">
        <f t="shared" ca="1" si="1"/>
        <v>ยังไม่หมด</v>
      </c>
      <c r="AO47" s="47">
        <f t="shared" ca="1" si="2"/>
        <v>248</v>
      </c>
      <c r="AP47" s="47"/>
    </row>
    <row r="48" spans="1:42" ht="15.75" customHeight="1">
      <c r="A48" s="50" t="s">
        <v>582</v>
      </c>
      <c r="B48" s="50" t="s">
        <v>583</v>
      </c>
      <c r="C48" s="50" t="s">
        <v>584</v>
      </c>
      <c r="D48" s="50" t="s">
        <v>64</v>
      </c>
      <c r="E48" s="50" t="s">
        <v>23</v>
      </c>
      <c r="F48" s="51" t="s">
        <v>585</v>
      </c>
      <c r="G48" s="50" t="s">
        <v>134</v>
      </c>
      <c r="H48" s="52">
        <v>28456</v>
      </c>
      <c r="I48" s="50">
        <f t="shared" ca="1" si="0"/>
        <v>49</v>
      </c>
      <c r="J48" s="50" t="s">
        <v>86</v>
      </c>
      <c r="K48" s="52">
        <v>46099</v>
      </c>
      <c r="L48" s="53">
        <v>178.5</v>
      </c>
      <c r="M48" s="53">
        <v>57.6</v>
      </c>
      <c r="N48" s="53">
        <f t="shared" si="3"/>
        <v>18.077819363039332</v>
      </c>
      <c r="O48" s="50">
        <v>120</v>
      </c>
      <c r="P48" s="50">
        <v>72</v>
      </c>
      <c r="Q48" s="53">
        <v>42</v>
      </c>
      <c r="R48" s="50" t="s">
        <v>4</v>
      </c>
      <c r="S48" s="50"/>
      <c r="T48" s="50">
        <v>87</v>
      </c>
      <c r="U48" s="50">
        <v>137</v>
      </c>
      <c r="V48" s="50">
        <v>72</v>
      </c>
      <c r="W48" s="50">
        <v>24</v>
      </c>
      <c r="X48" s="50">
        <v>21</v>
      </c>
      <c r="Y48" s="54">
        <v>6.7</v>
      </c>
      <c r="Z48" s="50" t="s">
        <v>4</v>
      </c>
      <c r="AA48" s="50"/>
      <c r="AB48" s="50" t="s">
        <v>4</v>
      </c>
      <c r="AC48" s="50"/>
      <c r="AD48" s="50" t="s">
        <v>4</v>
      </c>
      <c r="AE48" s="50"/>
      <c r="AF48" s="50"/>
      <c r="AG48" s="50"/>
      <c r="AH48" s="50" t="s">
        <v>586</v>
      </c>
      <c r="AI48" s="50" t="s">
        <v>137</v>
      </c>
      <c r="AJ48" s="50" t="s">
        <v>231</v>
      </c>
      <c r="AK48" s="25">
        <v>46104</v>
      </c>
      <c r="AL48" s="25"/>
      <c r="AM48" s="27"/>
      <c r="AN48" s="30" t="str">
        <f t="shared" ca="1" si="1"/>
        <v>ยังไม่หมด</v>
      </c>
      <c r="AO48" s="47">
        <f t="shared" ca="1" si="2"/>
        <v>212</v>
      </c>
      <c r="AP48" s="47"/>
    </row>
    <row r="49" spans="1:42" ht="15.75" customHeight="1">
      <c r="A49" s="50" t="s">
        <v>587</v>
      </c>
      <c r="B49" s="50" t="s">
        <v>588</v>
      </c>
      <c r="C49" s="50" t="s">
        <v>589</v>
      </c>
      <c r="D49" s="50" t="s">
        <v>64</v>
      </c>
      <c r="E49" s="50" t="s">
        <v>23</v>
      </c>
      <c r="F49" s="51" t="s">
        <v>585</v>
      </c>
      <c r="G49" s="50" t="s">
        <v>134</v>
      </c>
      <c r="H49" s="52">
        <v>28072</v>
      </c>
      <c r="I49" s="50">
        <f t="shared" ca="1" si="0"/>
        <v>50</v>
      </c>
      <c r="J49" s="50" t="s">
        <v>3</v>
      </c>
      <c r="K49" s="52">
        <v>46148</v>
      </c>
      <c r="L49" s="53">
        <v>164</v>
      </c>
      <c r="M49" s="53">
        <v>77.400000000000006</v>
      </c>
      <c r="N49" s="53">
        <f t="shared" si="3"/>
        <v>28.777513384889943</v>
      </c>
      <c r="O49" s="50">
        <v>122</v>
      </c>
      <c r="P49" s="50">
        <v>77</v>
      </c>
      <c r="Q49" s="53">
        <v>42</v>
      </c>
      <c r="R49" s="50" t="s">
        <v>4</v>
      </c>
      <c r="S49" s="50"/>
      <c r="T49" s="50">
        <v>107</v>
      </c>
      <c r="U49" s="50">
        <v>138</v>
      </c>
      <c r="V49" s="50">
        <v>68</v>
      </c>
      <c r="W49" s="50">
        <v>17</v>
      </c>
      <c r="X49" s="50">
        <v>12</v>
      </c>
      <c r="Y49" s="54">
        <v>3.5</v>
      </c>
      <c r="Z49" s="50" t="s">
        <v>4</v>
      </c>
      <c r="AA49" s="50"/>
      <c r="AB49" s="50" t="s">
        <v>4</v>
      </c>
      <c r="AC49" s="50"/>
      <c r="AD49" s="50" t="s">
        <v>4</v>
      </c>
      <c r="AE49" s="50"/>
      <c r="AF49" s="50"/>
      <c r="AG49" s="50"/>
      <c r="AH49" s="50"/>
      <c r="AI49" s="50" t="s">
        <v>137</v>
      </c>
      <c r="AJ49" s="50" t="s">
        <v>461</v>
      </c>
      <c r="AK49" s="25">
        <v>46156</v>
      </c>
      <c r="AL49" s="25"/>
      <c r="AM49" s="27"/>
      <c r="AN49" s="30" t="str">
        <f t="shared" ca="1" si="1"/>
        <v>ยังไม่หมด</v>
      </c>
      <c r="AO49" s="47">
        <f t="shared" ca="1" si="2"/>
        <v>261</v>
      </c>
      <c r="AP49" s="47"/>
    </row>
    <row r="50" spans="1:42" ht="15.75" customHeight="1">
      <c r="A50" s="50" t="s">
        <v>590</v>
      </c>
      <c r="B50" s="50" t="s">
        <v>591</v>
      </c>
      <c r="C50" s="50" t="s">
        <v>592</v>
      </c>
      <c r="D50" s="50" t="s">
        <v>64</v>
      </c>
      <c r="E50" s="50" t="s">
        <v>23</v>
      </c>
      <c r="F50" s="51" t="s">
        <v>585</v>
      </c>
      <c r="G50" s="50" t="s">
        <v>134</v>
      </c>
      <c r="H50" s="52">
        <v>30439</v>
      </c>
      <c r="I50" s="50">
        <f t="shared" ca="1" si="0"/>
        <v>43</v>
      </c>
      <c r="J50" s="50" t="s">
        <v>24</v>
      </c>
      <c r="K50" s="52">
        <v>45931</v>
      </c>
      <c r="L50" s="53">
        <v>163.19999999999999</v>
      </c>
      <c r="M50" s="53">
        <v>69</v>
      </c>
      <c r="N50" s="53">
        <f t="shared" si="3"/>
        <v>25.906502306805081</v>
      </c>
      <c r="O50" s="50">
        <v>120</v>
      </c>
      <c r="P50" s="50">
        <v>81</v>
      </c>
      <c r="Q50" s="53">
        <v>43.2</v>
      </c>
      <c r="R50" s="50" t="s">
        <v>4</v>
      </c>
      <c r="S50" s="50"/>
      <c r="T50" s="50">
        <v>85</v>
      </c>
      <c r="U50" s="76">
        <v>91</v>
      </c>
      <c r="V50" s="50">
        <v>96</v>
      </c>
      <c r="W50" s="50">
        <v>20</v>
      </c>
      <c r="X50" s="50">
        <v>17</v>
      </c>
      <c r="Y50" s="54">
        <v>6.3</v>
      </c>
      <c r="Z50" s="50" t="s">
        <v>4</v>
      </c>
      <c r="AA50" s="50"/>
      <c r="AB50" s="50" t="s">
        <v>4</v>
      </c>
      <c r="AC50" s="50"/>
      <c r="AD50" s="50" t="s">
        <v>8</v>
      </c>
      <c r="AE50" s="50" t="s">
        <v>593</v>
      </c>
      <c r="AF50" s="50"/>
      <c r="AG50" s="50"/>
      <c r="AH50" s="50" t="s">
        <v>594</v>
      </c>
      <c r="AI50" s="50" t="s">
        <v>137</v>
      </c>
      <c r="AJ50" s="50" t="s">
        <v>595</v>
      </c>
      <c r="AK50" s="25">
        <v>46050</v>
      </c>
      <c r="AL50" s="132"/>
      <c r="AM50" s="27"/>
      <c r="AN50" s="30" t="str">
        <f t="shared" ca="1" si="1"/>
        <v>ใกล้หมด 3 เดือน</v>
      </c>
      <c r="AO50" s="47">
        <f t="shared" ca="1" si="2"/>
        <v>44</v>
      </c>
      <c r="AP50" s="47"/>
    </row>
    <row r="51" spans="1:42" ht="15.75" customHeight="1">
      <c r="A51" s="23" t="s">
        <v>596</v>
      </c>
      <c r="B51" s="23" t="s">
        <v>597</v>
      </c>
      <c r="C51" s="23" t="s">
        <v>598</v>
      </c>
      <c r="D51" s="23" t="s">
        <v>64</v>
      </c>
      <c r="E51" s="23" t="s">
        <v>23</v>
      </c>
      <c r="F51" s="26" t="s">
        <v>585</v>
      </c>
      <c r="G51" s="23" t="s">
        <v>134</v>
      </c>
      <c r="H51" s="28">
        <v>29101</v>
      </c>
      <c r="I51" s="23">
        <f t="shared" ca="1" si="0"/>
        <v>47</v>
      </c>
      <c r="J51" s="23" t="s">
        <v>3</v>
      </c>
      <c r="K51" s="28">
        <v>46178</v>
      </c>
      <c r="L51" s="31">
        <v>164</v>
      </c>
      <c r="M51" s="31">
        <v>61.2</v>
      </c>
      <c r="N51" s="31">
        <f t="shared" si="3"/>
        <v>22.754312908982747</v>
      </c>
      <c r="O51" s="23">
        <v>127</v>
      </c>
      <c r="P51" s="23">
        <v>85</v>
      </c>
      <c r="Q51" s="31">
        <v>45.7</v>
      </c>
      <c r="R51" s="23" t="s">
        <v>4</v>
      </c>
      <c r="S51" s="23"/>
      <c r="T51" s="23">
        <v>118</v>
      </c>
      <c r="U51" s="23">
        <v>180</v>
      </c>
      <c r="V51" s="23">
        <v>180</v>
      </c>
      <c r="W51" s="23">
        <v>27</v>
      </c>
      <c r="X51" s="23">
        <v>33</v>
      </c>
      <c r="Y51" s="37">
        <v>4.7</v>
      </c>
      <c r="Z51" s="23" t="s">
        <v>4</v>
      </c>
      <c r="AA51" s="23"/>
      <c r="AB51" s="23" t="s">
        <v>4</v>
      </c>
      <c r="AC51" s="23"/>
      <c r="AD51" s="23" t="s">
        <v>8</v>
      </c>
      <c r="AE51" s="23" t="s">
        <v>403</v>
      </c>
      <c r="AF51" s="23"/>
      <c r="AG51" s="23"/>
      <c r="AH51" s="23" t="s">
        <v>599</v>
      </c>
      <c r="AI51" s="23" t="s">
        <v>154</v>
      </c>
      <c r="AJ51" s="23" t="s">
        <v>600</v>
      </c>
      <c r="AK51" s="58">
        <v>46184</v>
      </c>
      <c r="AL51" s="46" t="str">
        <f ca="1">IF((AK51+90)&lt;TODAY(),"เลยกำหนด",IF((AK51+90)-TODAY()&lt;=30,"ใกล้ถึง","ยังไม่ถึง"))</f>
        <v>ใกล้ถึง</v>
      </c>
      <c r="AM51" s="47">
        <f ca="1">MAX(0, (AK51+90) - TODAY())</f>
        <v>23</v>
      </c>
      <c r="AN51" s="30" t="str">
        <f t="shared" ca="1" si="1"/>
        <v>ยังไม่หมด</v>
      </c>
      <c r="AO51" s="47">
        <f t="shared" ca="1" si="2"/>
        <v>291</v>
      </c>
      <c r="AP51" s="47"/>
    </row>
    <row r="52" spans="1:42" ht="15.75" customHeight="1">
      <c r="A52" s="133" t="s">
        <v>601</v>
      </c>
      <c r="B52" s="50" t="s">
        <v>549</v>
      </c>
      <c r="C52" s="50" t="s">
        <v>602</v>
      </c>
      <c r="D52" s="50" t="s">
        <v>64</v>
      </c>
      <c r="E52" s="50" t="s">
        <v>23</v>
      </c>
      <c r="F52" s="51" t="s">
        <v>585</v>
      </c>
      <c r="G52" s="50" t="s">
        <v>134</v>
      </c>
      <c r="H52" s="52">
        <v>31837</v>
      </c>
      <c r="I52" s="50">
        <f t="shared" ca="1" si="0"/>
        <v>39</v>
      </c>
      <c r="J52" s="50" t="s">
        <v>3</v>
      </c>
      <c r="K52" s="134">
        <v>45919</v>
      </c>
      <c r="L52" s="53">
        <v>172</v>
      </c>
      <c r="M52" s="53">
        <v>57.2</v>
      </c>
      <c r="N52" s="53">
        <f t="shared" si="3"/>
        <v>19.334775554353708</v>
      </c>
      <c r="O52" s="50">
        <v>127</v>
      </c>
      <c r="P52" s="50">
        <v>78</v>
      </c>
      <c r="Q52" s="53">
        <v>45.1</v>
      </c>
      <c r="R52" s="50" t="s">
        <v>4</v>
      </c>
      <c r="S52" s="50"/>
      <c r="T52" s="50">
        <v>99</v>
      </c>
      <c r="U52" s="50">
        <v>107</v>
      </c>
      <c r="V52" s="50">
        <v>78</v>
      </c>
      <c r="W52" s="50">
        <v>20</v>
      </c>
      <c r="X52" s="50">
        <v>23</v>
      </c>
      <c r="Y52" s="54">
        <v>5.5</v>
      </c>
      <c r="Z52" s="50" t="s">
        <v>4</v>
      </c>
      <c r="AA52" s="50"/>
      <c r="AB52" s="50" t="s">
        <v>4</v>
      </c>
      <c r="AC52" s="50"/>
      <c r="AD52" s="50" t="s">
        <v>4</v>
      </c>
      <c r="AE52" s="50"/>
      <c r="AF52" s="50"/>
      <c r="AG52" s="50" t="s">
        <v>603</v>
      </c>
      <c r="AH52" s="50"/>
      <c r="AI52" s="50" t="s">
        <v>137</v>
      </c>
      <c r="AJ52" s="50" t="s">
        <v>231</v>
      </c>
      <c r="AK52" s="25">
        <v>45932</v>
      </c>
      <c r="AL52" s="74" t="s">
        <v>604</v>
      </c>
      <c r="AM52" s="27"/>
      <c r="AN52" s="30" t="str">
        <f t="shared" ca="1" si="1"/>
        <v>ใกล้หมด 3 เดือน</v>
      </c>
      <c r="AO52" s="47">
        <f t="shared" ca="1" si="2"/>
        <v>32</v>
      </c>
      <c r="AP52" s="47"/>
    </row>
    <row r="53" spans="1:42" ht="15.75" customHeight="1">
      <c r="A53" s="6" t="s">
        <v>605</v>
      </c>
      <c r="B53" s="6" t="s">
        <v>606</v>
      </c>
      <c r="C53" s="6" t="s">
        <v>607</v>
      </c>
      <c r="D53" s="6" t="s">
        <v>64</v>
      </c>
      <c r="E53" s="6" t="s">
        <v>23</v>
      </c>
      <c r="F53" s="100" t="s">
        <v>585</v>
      </c>
      <c r="G53" s="6" t="s">
        <v>134</v>
      </c>
      <c r="H53" s="101">
        <v>29270</v>
      </c>
      <c r="I53" s="6">
        <f t="shared" ca="1" si="0"/>
        <v>46</v>
      </c>
      <c r="J53" s="6" t="s">
        <v>3</v>
      </c>
      <c r="K53" s="101">
        <v>45994</v>
      </c>
      <c r="L53" s="20">
        <v>172</v>
      </c>
      <c r="M53" s="20">
        <v>81.7</v>
      </c>
      <c r="N53" s="20">
        <f t="shared" si="3"/>
        <v>27.616279069767447</v>
      </c>
      <c r="O53" s="6">
        <v>122</v>
      </c>
      <c r="P53" s="6">
        <v>80</v>
      </c>
      <c r="Q53" s="20">
        <v>44</v>
      </c>
      <c r="R53" s="6" t="s">
        <v>4</v>
      </c>
      <c r="S53" s="6"/>
      <c r="T53" s="6">
        <v>90</v>
      </c>
      <c r="U53" s="6">
        <v>151</v>
      </c>
      <c r="V53" s="6">
        <v>52</v>
      </c>
      <c r="W53" s="6">
        <v>30</v>
      </c>
      <c r="X53" s="6">
        <v>44</v>
      </c>
      <c r="Y53" s="102">
        <v>6.1</v>
      </c>
      <c r="Z53" s="6" t="s">
        <v>4</v>
      </c>
      <c r="AA53" s="6"/>
      <c r="AB53" s="6" t="s">
        <v>4</v>
      </c>
      <c r="AC53" s="6"/>
      <c r="AD53" s="6" t="s">
        <v>4</v>
      </c>
      <c r="AE53" s="6"/>
      <c r="AF53" s="6"/>
      <c r="AG53" s="6"/>
      <c r="AH53" s="6"/>
      <c r="AI53" s="50" t="s">
        <v>137</v>
      </c>
      <c r="AJ53" s="6" t="s">
        <v>608</v>
      </c>
      <c r="AK53" s="135">
        <v>45881</v>
      </c>
      <c r="AL53" s="136"/>
      <c r="AM53" s="27"/>
      <c r="AN53" s="30" t="str">
        <f t="shared" ca="1" si="1"/>
        <v>ยังไม่หมด</v>
      </c>
      <c r="AO53" s="47">
        <f t="shared" ca="1" si="2"/>
        <v>107</v>
      </c>
      <c r="AP53" s="47"/>
    </row>
    <row r="54" spans="1:42" ht="15.75" customHeight="1">
      <c r="A54" s="50" t="s">
        <v>609</v>
      </c>
      <c r="B54" s="50" t="s">
        <v>610</v>
      </c>
      <c r="C54" s="50" t="s">
        <v>611</v>
      </c>
      <c r="D54" s="50" t="s">
        <v>64</v>
      </c>
      <c r="E54" s="50" t="s">
        <v>23</v>
      </c>
      <c r="F54" s="51" t="s">
        <v>585</v>
      </c>
      <c r="G54" s="50" t="s">
        <v>134</v>
      </c>
      <c r="H54" s="52">
        <v>27890</v>
      </c>
      <c r="I54" s="50">
        <f t="shared" ca="1" si="0"/>
        <v>50</v>
      </c>
      <c r="J54" s="50" t="s">
        <v>3</v>
      </c>
      <c r="K54" s="52">
        <v>46189</v>
      </c>
      <c r="L54" s="53">
        <v>171.3</v>
      </c>
      <c r="M54" s="53">
        <v>69.150000000000006</v>
      </c>
      <c r="N54" s="53">
        <f t="shared" si="3"/>
        <v>23.565543392804383</v>
      </c>
      <c r="O54" s="50">
        <v>130</v>
      </c>
      <c r="P54" s="50">
        <v>65</v>
      </c>
      <c r="Q54" s="53">
        <v>41.3</v>
      </c>
      <c r="R54" s="50" t="s">
        <v>4</v>
      </c>
      <c r="S54" s="50"/>
      <c r="T54" s="74">
        <v>84</v>
      </c>
      <c r="U54" s="50">
        <v>117</v>
      </c>
      <c r="V54" s="50">
        <v>63</v>
      </c>
      <c r="W54" s="50">
        <v>29</v>
      </c>
      <c r="X54" s="50">
        <v>20</v>
      </c>
      <c r="Y54" s="54">
        <v>3.7</v>
      </c>
      <c r="Z54" s="50" t="s">
        <v>8</v>
      </c>
      <c r="AA54" s="50" t="s">
        <v>135</v>
      </c>
      <c r="AB54" s="50" t="s">
        <v>4</v>
      </c>
      <c r="AC54" s="50"/>
      <c r="AD54" s="50" t="s">
        <v>4</v>
      </c>
      <c r="AE54" s="50"/>
      <c r="AF54" s="50" t="s">
        <v>4</v>
      </c>
      <c r="AG54" s="50"/>
      <c r="AH54" s="76"/>
      <c r="AI54" s="50" t="s">
        <v>137</v>
      </c>
      <c r="AJ54" s="82" t="s">
        <v>231</v>
      </c>
      <c r="AK54" s="25">
        <v>46193</v>
      </c>
      <c r="AL54" s="25"/>
      <c r="AM54" s="27"/>
      <c r="AN54" s="48" t="str">
        <f t="shared" ca="1" si="1"/>
        <v>ยังไม่หมด</v>
      </c>
      <c r="AO54" s="47">
        <f t="shared" ca="1" si="2"/>
        <v>302</v>
      </c>
      <c r="AP54" s="47"/>
    </row>
    <row r="55" spans="1:42" ht="15.75" customHeight="1">
      <c r="A55" s="64" t="s">
        <v>612</v>
      </c>
      <c r="B55" s="64" t="s">
        <v>613</v>
      </c>
      <c r="C55" s="64" t="s">
        <v>614</v>
      </c>
      <c r="D55" s="64" t="s">
        <v>64</v>
      </c>
      <c r="E55" s="64" t="s">
        <v>23</v>
      </c>
      <c r="F55" s="65" t="s">
        <v>585</v>
      </c>
      <c r="G55" s="64" t="s">
        <v>134</v>
      </c>
      <c r="H55" s="66">
        <v>27164</v>
      </c>
      <c r="I55" s="64">
        <f t="shared" ca="1" si="0"/>
        <v>52</v>
      </c>
      <c r="J55" s="64" t="s">
        <v>3</v>
      </c>
      <c r="K55" s="66">
        <v>46225</v>
      </c>
      <c r="L55" s="69">
        <v>158</v>
      </c>
      <c r="M55" s="69">
        <v>55</v>
      </c>
      <c r="N55" s="69">
        <f t="shared" si="3"/>
        <v>22.031725684986377</v>
      </c>
      <c r="O55" s="64">
        <v>130</v>
      </c>
      <c r="P55" s="64">
        <v>84</v>
      </c>
      <c r="Q55" s="69">
        <v>41</v>
      </c>
      <c r="R55" s="64" t="s">
        <v>4</v>
      </c>
      <c r="S55" s="64"/>
      <c r="T55" s="64">
        <v>92</v>
      </c>
      <c r="U55" s="64">
        <v>139</v>
      </c>
      <c r="V55" s="64">
        <v>165</v>
      </c>
      <c r="W55" s="64">
        <v>17</v>
      </c>
      <c r="X55" s="64">
        <v>10</v>
      </c>
      <c r="Y55" s="70">
        <v>5.3</v>
      </c>
      <c r="Z55" s="64" t="s">
        <v>8</v>
      </c>
      <c r="AA55" s="64"/>
      <c r="AB55" s="64" t="s">
        <v>4</v>
      </c>
      <c r="AC55" s="64"/>
      <c r="AD55" s="64" t="s">
        <v>8</v>
      </c>
      <c r="AE55" s="64" t="s">
        <v>615</v>
      </c>
      <c r="AF55" s="64" t="s">
        <v>4</v>
      </c>
      <c r="AG55" s="64"/>
      <c r="AH55" s="64" t="s">
        <v>616</v>
      </c>
      <c r="AI55" s="64" t="s">
        <v>242</v>
      </c>
      <c r="AJ55" s="64" t="s">
        <v>617</v>
      </c>
      <c r="AK55" s="71">
        <v>46245</v>
      </c>
      <c r="AL55" s="71"/>
      <c r="AM55" s="27"/>
      <c r="AN55" s="30" t="str">
        <f t="shared" ca="1" si="1"/>
        <v>ยังไม่หมด</v>
      </c>
      <c r="AO55" s="47">
        <f t="shared" ca="1" si="2"/>
        <v>338</v>
      </c>
      <c r="AP55" s="47"/>
    </row>
    <row r="56" spans="1:42" ht="15.75" customHeight="1">
      <c r="A56" s="50" t="s">
        <v>618</v>
      </c>
      <c r="B56" s="50" t="s">
        <v>233</v>
      </c>
      <c r="C56" s="50" t="s">
        <v>619</v>
      </c>
      <c r="D56" s="50" t="s">
        <v>64</v>
      </c>
      <c r="E56" s="50" t="s">
        <v>23</v>
      </c>
      <c r="F56" s="51" t="s">
        <v>238</v>
      </c>
      <c r="G56" s="50" t="s">
        <v>134</v>
      </c>
      <c r="H56" s="52">
        <v>27620</v>
      </c>
      <c r="I56" s="50">
        <f t="shared" ca="1" si="0"/>
        <v>51</v>
      </c>
      <c r="J56" s="50" t="s">
        <v>3</v>
      </c>
      <c r="K56" s="101">
        <v>46006</v>
      </c>
      <c r="L56" s="53">
        <v>173</v>
      </c>
      <c r="M56" s="53">
        <v>78.8</v>
      </c>
      <c r="N56" s="53">
        <f t="shared" si="3"/>
        <v>26.328978582645593</v>
      </c>
      <c r="O56" s="50">
        <v>121</v>
      </c>
      <c r="P56" s="50">
        <v>80</v>
      </c>
      <c r="Q56" s="53">
        <v>48</v>
      </c>
      <c r="R56" s="50" t="s">
        <v>8</v>
      </c>
      <c r="S56" s="50" t="s">
        <v>620</v>
      </c>
      <c r="T56" s="50">
        <v>104</v>
      </c>
      <c r="U56" s="50">
        <v>126</v>
      </c>
      <c r="V56" s="50">
        <v>89</v>
      </c>
      <c r="W56" s="50">
        <v>26</v>
      </c>
      <c r="X56" s="50">
        <v>30</v>
      </c>
      <c r="Y56" s="54">
        <v>7.9</v>
      </c>
      <c r="Z56" s="50" t="s">
        <v>4</v>
      </c>
      <c r="AA56" s="50"/>
      <c r="AB56" s="50" t="s">
        <v>4</v>
      </c>
      <c r="AC56" s="50"/>
      <c r="AD56" s="50" t="s">
        <v>4</v>
      </c>
      <c r="AE56" s="50"/>
      <c r="AF56" s="50"/>
      <c r="AG56" s="50"/>
      <c r="AH56" s="50"/>
      <c r="AI56" s="6" t="s">
        <v>137</v>
      </c>
      <c r="AJ56" s="6" t="s">
        <v>621</v>
      </c>
      <c r="AK56" s="24">
        <v>46010</v>
      </c>
      <c r="AL56" s="25"/>
      <c r="AM56" s="27"/>
      <c r="AN56" s="30" t="str">
        <f t="shared" ca="1" si="1"/>
        <v>ยังไม่หมด</v>
      </c>
      <c r="AO56" s="47">
        <f t="shared" ca="1" si="2"/>
        <v>119</v>
      </c>
      <c r="AP56" s="47"/>
    </row>
    <row r="57" spans="1:42" ht="15.75" customHeight="1">
      <c r="A57" s="133" t="s">
        <v>622</v>
      </c>
      <c r="B57" s="50" t="s">
        <v>623</v>
      </c>
      <c r="C57" s="50" t="s">
        <v>624</v>
      </c>
      <c r="D57" s="50" t="s">
        <v>64</v>
      </c>
      <c r="E57" s="50" t="s">
        <v>23</v>
      </c>
      <c r="F57" s="51" t="s">
        <v>585</v>
      </c>
      <c r="G57" s="50" t="s">
        <v>134</v>
      </c>
      <c r="H57" s="52">
        <v>29345</v>
      </c>
      <c r="I57" s="50">
        <f t="shared" ca="1" si="0"/>
        <v>46</v>
      </c>
      <c r="J57" s="50" t="s">
        <v>24</v>
      </c>
      <c r="K57" s="137">
        <v>45919</v>
      </c>
      <c r="L57" s="53">
        <v>170</v>
      </c>
      <c r="M57" s="53">
        <v>86</v>
      </c>
      <c r="N57" s="53">
        <f t="shared" si="3"/>
        <v>29.757785467128031</v>
      </c>
      <c r="O57" s="50">
        <v>134</v>
      </c>
      <c r="P57" s="50">
        <v>89</v>
      </c>
      <c r="Q57" s="53">
        <v>42</v>
      </c>
      <c r="R57" s="50" t="s">
        <v>4</v>
      </c>
      <c r="S57" s="50"/>
      <c r="T57" s="74">
        <v>114</v>
      </c>
      <c r="U57" s="50">
        <v>101</v>
      </c>
      <c r="V57" s="50">
        <v>75</v>
      </c>
      <c r="W57" s="50">
        <v>21</v>
      </c>
      <c r="X57" s="50">
        <v>28</v>
      </c>
      <c r="Y57" s="54">
        <v>4.2</v>
      </c>
      <c r="Z57" s="50" t="s">
        <v>4</v>
      </c>
      <c r="AA57" s="50"/>
      <c r="AB57" s="50" t="s">
        <v>4</v>
      </c>
      <c r="AC57" s="50"/>
      <c r="AD57" s="50" t="s">
        <v>4</v>
      </c>
      <c r="AE57" s="50"/>
      <c r="AF57" s="50"/>
      <c r="AG57" s="50"/>
      <c r="AH57" s="50"/>
      <c r="AI57" s="50" t="s">
        <v>137</v>
      </c>
      <c r="AJ57" s="50" t="s">
        <v>625</v>
      </c>
      <c r="AK57" s="25">
        <v>45944</v>
      </c>
      <c r="AL57" s="25"/>
      <c r="AM57" s="27"/>
      <c r="AN57" s="30" t="str">
        <f t="shared" ca="1" si="1"/>
        <v>ใกล้หมด 3 เดือน</v>
      </c>
      <c r="AO57" s="47">
        <f t="shared" ca="1" si="2"/>
        <v>32</v>
      </c>
      <c r="AP57" s="47"/>
    </row>
    <row r="58" spans="1:42" ht="15.75" customHeight="1">
      <c r="A58" s="50" t="s">
        <v>626</v>
      </c>
      <c r="B58" s="50" t="s">
        <v>627</v>
      </c>
      <c r="C58" s="50" t="s">
        <v>628</v>
      </c>
      <c r="D58" s="50" t="s">
        <v>64</v>
      </c>
      <c r="E58" s="50" t="s">
        <v>23</v>
      </c>
      <c r="F58" s="51" t="s">
        <v>629</v>
      </c>
      <c r="G58" s="50" t="s">
        <v>134</v>
      </c>
      <c r="H58" s="52">
        <v>32477</v>
      </c>
      <c r="I58" s="50">
        <f t="shared" ca="1" si="0"/>
        <v>38</v>
      </c>
      <c r="J58" s="50" t="s">
        <v>3</v>
      </c>
      <c r="K58" s="52">
        <v>45996</v>
      </c>
      <c r="L58" s="53">
        <v>178</v>
      </c>
      <c r="M58" s="53">
        <v>83.4</v>
      </c>
      <c r="N58" s="53">
        <f t="shared" si="3"/>
        <v>26.322434036106554</v>
      </c>
      <c r="O58" s="50">
        <v>118</v>
      </c>
      <c r="P58" s="50">
        <v>74</v>
      </c>
      <c r="Q58" s="53">
        <v>42</v>
      </c>
      <c r="R58" s="50" t="s">
        <v>4</v>
      </c>
      <c r="S58" s="50"/>
      <c r="T58" s="50">
        <v>100</v>
      </c>
      <c r="U58" s="50">
        <v>132</v>
      </c>
      <c r="V58" s="50">
        <v>70</v>
      </c>
      <c r="W58" s="50">
        <v>20</v>
      </c>
      <c r="X58" s="50">
        <v>14</v>
      </c>
      <c r="Y58" s="54">
        <v>6.8</v>
      </c>
      <c r="Z58" s="50" t="s">
        <v>8</v>
      </c>
      <c r="AA58" s="50" t="s">
        <v>135</v>
      </c>
      <c r="AB58" s="50" t="s">
        <v>4</v>
      </c>
      <c r="AC58" s="50"/>
      <c r="AD58" s="50" t="s">
        <v>4</v>
      </c>
      <c r="AE58" s="50"/>
      <c r="AF58" s="50"/>
      <c r="AG58" s="50"/>
      <c r="AH58" s="50"/>
      <c r="AI58" s="50" t="s">
        <v>137</v>
      </c>
      <c r="AJ58" s="82" t="s">
        <v>139</v>
      </c>
      <c r="AK58" s="138">
        <v>46001</v>
      </c>
      <c r="AL58" s="138"/>
      <c r="AM58" s="27"/>
      <c r="AN58" s="30" t="str">
        <f t="shared" ca="1" si="1"/>
        <v>ยังไม่หมด</v>
      </c>
      <c r="AO58" s="47">
        <f t="shared" ca="1" si="2"/>
        <v>109</v>
      </c>
      <c r="AP58" s="47"/>
    </row>
    <row r="59" spans="1:42" ht="15.75" customHeight="1">
      <c r="A59" s="34" t="s">
        <v>630</v>
      </c>
      <c r="B59" s="34" t="s">
        <v>631</v>
      </c>
      <c r="C59" s="34" t="s">
        <v>632</v>
      </c>
      <c r="D59" s="34" t="s">
        <v>64</v>
      </c>
      <c r="E59" s="34" t="s">
        <v>23</v>
      </c>
      <c r="F59" s="26" t="s">
        <v>629</v>
      </c>
      <c r="G59" s="34" t="s">
        <v>134</v>
      </c>
      <c r="H59" s="91">
        <v>36279</v>
      </c>
      <c r="I59" s="34">
        <f t="shared" ca="1" si="0"/>
        <v>27</v>
      </c>
      <c r="J59" s="34" t="s">
        <v>86</v>
      </c>
      <c r="K59" s="91">
        <v>46191</v>
      </c>
      <c r="L59" s="45">
        <v>174</v>
      </c>
      <c r="M59" s="45">
        <v>101.8</v>
      </c>
      <c r="N59" s="45">
        <f t="shared" si="3"/>
        <v>33.623992601400445</v>
      </c>
      <c r="O59" s="34">
        <v>129</v>
      </c>
      <c r="P59" s="34">
        <v>72</v>
      </c>
      <c r="Q59" s="45">
        <v>48</v>
      </c>
      <c r="R59" s="34" t="s">
        <v>4</v>
      </c>
      <c r="S59" s="34"/>
      <c r="T59" s="34">
        <v>106</v>
      </c>
      <c r="U59" s="34">
        <v>159</v>
      </c>
      <c r="V59" s="34">
        <v>153</v>
      </c>
      <c r="W59" s="34">
        <v>21</v>
      </c>
      <c r="X59" s="34">
        <v>23</v>
      </c>
      <c r="Y59" s="120">
        <v>5.5</v>
      </c>
      <c r="Z59" s="34" t="s">
        <v>4</v>
      </c>
      <c r="AA59" s="34"/>
      <c r="AB59" s="34" t="s">
        <v>4</v>
      </c>
      <c r="AC59" s="34"/>
      <c r="AD59" s="34" t="s">
        <v>4</v>
      </c>
      <c r="AE59" s="34"/>
      <c r="AF59" s="34"/>
      <c r="AG59" s="34"/>
      <c r="AH59" s="34"/>
      <c r="AI59" s="139" t="s">
        <v>218</v>
      </c>
      <c r="AJ59" s="139" t="s">
        <v>633</v>
      </c>
      <c r="AK59" s="140">
        <v>46195</v>
      </c>
      <c r="AL59" s="46" t="str">
        <f ca="1">IF((AK59+90)&lt;TODAY(),"เลยกำหนด",IF((AK59+90)-TODAY()&lt;=30,"ใกล้ถึง","ยังไม่ถึง"))</f>
        <v>ยังไม่ถึง</v>
      </c>
      <c r="AM59" s="47">
        <f ca="1">MAX(0, (AK59+90) - TODAY())</f>
        <v>34</v>
      </c>
      <c r="AN59" s="30" t="str">
        <f t="shared" ca="1" si="1"/>
        <v>ยังไม่หมด</v>
      </c>
      <c r="AO59" s="47">
        <f t="shared" ca="1" si="2"/>
        <v>304</v>
      </c>
      <c r="AP59" s="47"/>
    </row>
    <row r="60" spans="1:42" ht="15.75" customHeight="1">
      <c r="A60" s="50" t="s">
        <v>634</v>
      </c>
      <c r="B60" s="50" t="s">
        <v>635</v>
      </c>
      <c r="C60" s="50" t="s">
        <v>636</v>
      </c>
      <c r="D60" s="50" t="s">
        <v>64</v>
      </c>
      <c r="E60" s="50" t="s">
        <v>23</v>
      </c>
      <c r="F60" s="51" t="s">
        <v>629</v>
      </c>
      <c r="G60" s="50" t="s">
        <v>134</v>
      </c>
      <c r="H60" s="52">
        <v>33432</v>
      </c>
      <c r="I60" s="50">
        <f t="shared" ca="1" si="0"/>
        <v>35</v>
      </c>
      <c r="J60" s="50" t="s">
        <v>3</v>
      </c>
      <c r="K60" s="52">
        <v>46154</v>
      </c>
      <c r="L60" s="53">
        <v>169</v>
      </c>
      <c r="M60" s="53">
        <v>81.3</v>
      </c>
      <c r="N60" s="53">
        <f t="shared" si="3"/>
        <v>28.465389867301568</v>
      </c>
      <c r="O60" s="50">
        <v>132</v>
      </c>
      <c r="P60" s="50">
        <v>76</v>
      </c>
      <c r="Q60" s="53">
        <v>47.8</v>
      </c>
      <c r="R60" s="50" t="s">
        <v>4</v>
      </c>
      <c r="S60" s="50"/>
      <c r="T60" s="74">
        <v>109</v>
      </c>
      <c r="U60" s="50">
        <v>46</v>
      </c>
      <c r="V60" s="50">
        <v>67</v>
      </c>
      <c r="W60" s="50">
        <v>20</v>
      </c>
      <c r="X60" s="50">
        <v>26</v>
      </c>
      <c r="Y60" s="75">
        <v>7.6</v>
      </c>
      <c r="Z60" s="50" t="s">
        <v>4</v>
      </c>
      <c r="AA60" s="50"/>
      <c r="AB60" s="50" t="s">
        <v>4</v>
      </c>
      <c r="AC60" s="50"/>
      <c r="AD60" s="50" t="s">
        <v>8</v>
      </c>
      <c r="AE60" s="50" t="s">
        <v>637</v>
      </c>
      <c r="AF60" s="50"/>
      <c r="AG60" s="50"/>
      <c r="AH60" s="50"/>
      <c r="AI60" s="50" t="s">
        <v>137</v>
      </c>
      <c r="AJ60" s="50" t="s">
        <v>638</v>
      </c>
      <c r="AK60" s="138">
        <v>46160</v>
      </c>
      <c r="AL60" s="138"/>
      <c r="AM60" s="27"/>
      <c r="AN60" s="30" t="str">
        <f t="shared" ca="1" si="1"/>
        <v>ยังไม่หมด</v>
      </c>
      <c r="AO60" s="47">
        <f t="shared" ca="1" si="2"/>
        <v>267</v>
      </c>
      <c r="AP60" s="47"/>
    </row>
    <row r="61" spans="1:42" ht="15.75" customHeight="1">
      <c r="A61" s="50" t="s">
        <v>639</v>
      </c>
      <c r="B61" s="50" t="s">
        <v>640</v>
      </c>
      <c r="C61" s="50" t="s">
        <v>641</v>
      </c>
      <c r="D61" s="50" t="s">
        <v>64</v>
      </c>
      <c r="E61" s="50" t="s">
        <v>23</v>
      </c>
      <c r="F61" s="51" t="s">
        <v>629</v>
      </c>
      <c r="G61" s="50" t="s">
        <v>134</v>
      </c>
      <c r="H61" s="52">
        <v>33829</v>
      </c>
      <c r="I61" s="50">
        <f t="shared" ca="1" si="0"/>
        <v>34</v>
      </c>
      <c r="J61" s="50" t="s">
        <v>3</v>
      </c>
      <c r="K61" s="52">
        <v>46216</v>
      </c>
      <c r="L61" s="53">
        <v>179.5</v>
      </c>
      <c r="M61" s="53">
        <v>71.5</v>
      </c>
      <c r="N61" s="53">
        <f t="shared" si="3"/>
        <v>22.191013415476291</v>
      </c>
      <c r="O61" s="50">
        <v>107</v>
      </c>
      <c r="P61" s="50">
        <v>83</v>
      </c>
      <c r="Q61" s="53">
        <v>44</v>
      </c>
      <c r="R61" s="50" t="s">
        <v>4</v>
      </c>
      <c r="S61" s="50"/>
      <c r="T61" s="50">
        <v>97</v>
      </c>
      <c r="U61" s="50">
        <v>113</v>
      </c>
      <c r="V61" s="50">
        <v>85</v>
      </c>
      <c r="W61" s="50">
        <v>25</v>
      </c>
      <c r="X61" s="50">
        <v>27</v>
      </c>
      <c r="Y61" s="54">
        <v>5.2</v>
      </c>
      <c r="Z61" s="50" t="s">
        <v>8</v>
      </c>
      <c r="AA61" s="50" t="s">
        <v>135</v>
      </c>
      <c r="AB61" s="50" t="s">
        <v>4</v>
      </c>
      <c r="AC61" s="50"/>
      <c r="AD61" s="50" t="s">
        <v>4</v>
      </c>
      <c r="AE61" s="50"/>
      <c r="AF61" s="50"/>
      <c r="AG61" s="50"/>
      <c r="AH61" s="50"/>
      <c r="AI61" s="50" t="s">
        <v>137</v>
      </c>
      <c r="AJ61" s="50" t="s">
        <v>231</v>
      </c>
      <c r="AK61" s="138">
        <v>46224</v>
      </c>
      <c r="AL61" s="138"/>
      <c r="AM61" s="27"/>
      <c r="AN61" s="48" t="str">
        <f t="shared" ca="1" si="1"/>
        <v>ยังไม่หมด</v>
      </c>
      <c r="AO61" s="47">
        <f t="shared" ca="1" si="2"/>
        <v>329</v>
      </c>
      <c r="AP61" s="141"/>
    </row>
    <row r="62" spans="1:42" ht="15.75" customHeight="1">
      <c r="A62" s="23" t="s">
        <v>642</v>
      </c>
      <c r="B62" s="23" t="s">
        <v>643</v>
      </c>
      <c r="C62" s="23" t="s">
        <v>644</v>
      </c>
      <c r="D62" s="23" t="s">
        <v>64</v>
      </c>
      <c r="E62" s="23" t="s">
        <v>23</v>
      </c>
      <c r="F62" s="26" t="s">
        <v>629</v>
      </c>
      <c r="G62" s="23" t="s">
        <v>134</v>
      </c>
      <c r="H62" s="28">
        <v>33735</v>
      </c>
      <c r="I62" s="23">
        <f t="shared" ca="1" si="0"/>
        <v>34</v>
      </c>
      <c r="J62" s="23" t="s">
        <v>3</v>
      </c>
      <c r="K62" s="28">
        <v>46177</v>
      </c>
      <c r="L62" s="31">
        <v>165</v>
      </c>
      <c r="M62" s="31">
        <v>75.099999999999994</v>
      </c>
      <c r="N62" s="31">
        <f t="shared" si="3"/>
        <v>27.584940312213032</v>
      </c>
      <c r="O62" s="23">
        <v>128</v>
      </c>
      <c r="P62" s="23">
        <v>60</v>
      </c>
      <c r="Q62" s="31">
        <v>45.4</v>
      </c>
      <c r="R62" s="23" t="s">
        <v>4</v>
      </c>
      <c r="S62" s="23"/>
      <c r="T62" s="59">
        <v>99</v>
      </c>
      <c r="U62" s="59">
        <v>206</v>
      </c>
      <c r="V62" s="23">
        <v>87</v>
      </c>
      <c r="W62" s="23">
        <v>23</v>
      </c>
      <c r="X62" s="23">
        <v>24</v>
      </c>
      <c r="Y62" s="37">
        <v>6.6</v>
      </c>
      <c r="Z62" s="23" t="s">
        <v>14</v>
      </c>
      <c r="AA62" s="23" t="s">
        <v>645</v>
      </c>
      <c r="AB62" s="23" t="s">
        <v>4</v>
      </c>
      <c r="AC62" s="23"/>
      <c r="AD62" s="23" t="s">
        <v>8</v>
      </c>
      <c r="AE62" s="23" t="s">
        <v>646</v>
      </c>
      <c r="AF62" s="23"/>
      <c r="AG62" s="23"/>
      <c r="AH62" s="23" t="s">
        <v>647</v>
      </c>
      <c r="AI62" s="62" t="s">
        <v>218</v>
      </c>
      <c r="AJ62" s="62" t="s">
        <v>648</v>
      </c>
      <c r="AK62" s="142">
        <v>46227</v>
      </c>
      <c r="AL62" s="46" t="str">
        <f ca="1">IF((AK62+90)&lt;TODAY(),"เลยกำหนด",IF((AK62+90)-TODAY()&lt;=30,"ใกล้ถึง","ยังไม่ถึง"))</f>
        <v>ยังไม่ถึง</v>
      </c>
      <c r="AM62" s="47">
        <f ca="1">MAX(0, (AK62+90) - TODAY())</f>
        <v>66</v>
      </c>
      <c r="AN62" s="30" t="str">
        <f t="shared" ca="1" si="1"/>
        <v>ยังไม่หมด</v>
      </c>
      <c r="AO62" s="47">
        <f t="shared" ca="1" si="2"/>
        <v>290</v>
      </c>
      <c r="AP62" s="47"/>
    </row>
    <row r="63" spans="1:42" ht="15.75" customHeight="1">
      <c r="A63" s="23" t="s">
        <v>649</v>
      </c>
      <c r="B63" s="23" t="s">
        <v>650</v>
      </c>
      <c r="C63" s="23" t="s">
        <v>651</v>
      </c>
      <c r="D63" s="23" t="s">
        <v>64</v>
      </c>
      <c r="E63" s="23" t="s">
        <v>23</v>
      </c>
      <c r="F63" s="26" t="s">
        <v>629</v>
      </c>
      <c r="G63" s="23" t="s">
        <v>134</v>
      </c>
      <c r="H63" s="28">
        <v>28816</v>
      </c>
      <c r="I63" s="23">
        <f t="shared" ca="1" si="0"/>
        <v>48</v>
      </c>
      <c r="J63" s="143" t="s">
        <v>19</v>
      </c>
      <c r="K63" s="28">
        <v>46024</v>
      </c>
      <c r="L63" s="31">
        <v>170</v>
      </c>
      <c r="M63" s="31">
        <v>91</v>
      </c>
      <c r="N63" s="31">
        <f t="shared" si="3"/>
        <v>31.487889273356405</v>
      </c>
      <c r="O63" s="23">
        <v>110</v>
      </c>
      <c r="P63" s="23">
        <v>70</v>
      </c>
      <c r="Q63" s="31">
        <v>46.8</v>
      </c>
      <c r="R63" s="23" t="s">
        <v>4</v>
      </c>
      <c r="S63" s="23"/>
      <c r="T63" s="59">
        <v>139</v>
      </c>
      <c r="U63" s="59">
        <v>68</v>
      </c>
      <c r="V63" s="144">
        <v>70</v>
      </c>
      <c r="W63" s="144">
        <v>27</v>
      </c>
      <c r="X63" s="144">
        <v>47</v>
      </c>
      <c r="Y63" s="37">
        <v>5.2</v>
      </c>
      <c r="Z63" s="23" t="s">
        <v>4</v>
      </c>
      <c r="AA63" s="23"/>
      <c r="AB63" s="23" t="s">
        <v>4</v>
      </c>
      <c r="AC63" s="23"/>
      <c r="AD63" s="23" t="s">
        <v>8</v>
      </c>
      <c r="AE63" s="59" t="s">
        <v>652</v>
      </c>
      <c r="AF63" s="23"/>
      <c r="AG63" s="23"/>
      <c r="AH63" s="23" t="s">
        <v>653</v>
      </c>
      <c r="AI63" s="23" t="s">
        <v>154</v>
      </c>
      <c r="AJ63" s="23" t="s">
        <v>654</v>
      </c>
      <c r="AK63" s="58">
        <v>46209</v>
      </c>
      <c r="AL63" s="46"/>
      <c r="AM63" s="47"/>
      <c r="AN63" s="30" t="str">
        <f t="shared" ca="1" si="1"/>
        <v>ยังไม่หมด</v>
      </c>
      <c r="AO63" s="47">
        <f t="shared" ca="1" si="2"/>
        <v>137</v>
      </c>
      <c r="AP63" s="47"/>
    </row>
    <row r="64" spans="1:42" ht="15.75" customHeight="1">
      <c r="A64" s="23" t="s">
        <v>655</v>
      </c>
      <c r="B64" s="23" t="s">
        <v>656</v>
      </c>
      <c r="C64" s="23" t="s">
        <v>657</v>
      </c>
      <c r="D64" s="23" t="s">
        <v>64</v>
      </c>
      <c r="E64" s="23" t="s">
        <v>23</v>
      </c>
      <c r="F64" s="26" t="s">
        <v>629</v>
      </c>
      <c r="G64" s="23" t="s">
        <v>134</v>
      </c>
      <c r="H64" s="28">
        <v>28108</v>
      </c>
      <c r="I64" s="23">
        <f t="shared" ca="1" si="0"/>
        <v>50</v>
      </c>
      <c r="J64" s="23" t="s">
        <v>19</v>
      </c>
      <c r="K64" s="28">
        <v>46218</v>
      </c>
      <c r="L64" s="123">
        <v>174</v>
      </c>
      <c r="M64" s="123">
        <v>92.4</v>
      </c>
      <c r="N64" s="31">
        <f t="shared" si="3"/>
        <v>30.519223147047168</v>
      </c>
      <c r="O64" s="59">
        <v>135</v>
      </c>
      <c r="P64" s="59">
        <v>89</v>
      </c>
      <c r="Q64" s="31">
        <v>45</v>
      </c>
      <c r="R64" s="23" t="s">
        <v>8</v>
      </c>
      <c r="S64" s="23" t="s">
        <v>658</v>
      </c>
      <c r="T64" s="23">
        <v>106</v>
      </c>
      <c r="U64" s="23">
        <v>36</v>
      </c>
      <c r="V64" s="23">
        <v>87</v>
      </c>
      <c r="W64" s="23">
        <v>37</v>
      </c>
      <c r="X64" s="23">
        <v>38</v>
      </c>
      <c r="Y64" s="37">
        <v>5.9</v>
      </c>
      <c r="Z64" s="23" t="s">
        <v>8</v>
      </c>
      <c r="AA64" s="114" t="s">
        <v>135</v>
      </c>
      <c r="AB64" s="23" t="s">
        <v>4</v>
      </c>
      <c r="AC64" s="23"/>
      <c r="AD64" s="23" t="s">
        <v>4</v>
      </c>
      <c r="AE64" s="23"/>
      <c r="AF64" s="23" t="s">
        <v>4</v>
      </c>
      <c r="AG64" s="23"/>
      <c r="AH64" s="23"/>
      <c r="AI64" s="23" t="s">
        <v>154</v>
      </c>
      <c r="AJ64" s="23" t="s">
        <v>659</v>
      </c>
      <c r="AK64" s="58">
        <v>46224</v>
      </c>
      <c r="AL64" s="46" t="str">
        <f ca="1">IF((AK64+90)&lt;TODAY(),"เลยกำหนด",IF((AK64+90)-TODAY()&lt;=30,"ใกล้ถึง","ยังไม่ถึง"))</f>
        <v>ยังไม่ถึง</v>
      </c>
      <c r="AM64" s="47">
        <f ca="1">MAX(0, (AK64+90) - TODAY())</f>
        <v>63</v>
      </c>
      <c r="AN64" s="30" t="str">
        <f t="shared" ca="1" si="1"/>
        <v>ยังไม่หมด</v>
      </c>
      <c r="AO64" s="47">
        <f t="shared" ca="1" si="2"/>
        <v>331</v>
      </c>
      <c r="AP64" s="47"/>
    </row>
    <row r="65" spans="1:42" ht="15.75" customHeight="1">
      <c r="A65" s="50" t="s">
        <v>660</v>
      </c>
      <c r="B65" s="50" t="s">
        <v>661</v>
      </c>
      <c r="C65" s="50" t="s">
        <v>662</v>
      </c>
      <c r="D65" s="50" t="s">
        <v>64</v>
      </c>
      <c r="E65" s="50" t="s">
        <v>23</v>
      </c>
      <c r="F65" s="51" t="s">
        <v>629</v>
      </c>
      <c r="G65" s="50" t="s">
        <v>134</v>
      </c>
      <c r="H65" s="52">
        <v>34932</v>
      </c>
      <c r="I65" s="50">
        <f t="shared" ca="1" si="0"/>
        <v>31</v>
      </c>
      <c r="J65" s="50" t="s">
        <v>3</v>
      </c>
      <c r="K65" s="52">
        <v>46029</v>
      </c>
      <c r="L65" s="116">
        <v>172.8</v>
      </c>
      <c r="M65" s="116">
        <v>60.8</v>
      </c>
      <c r="N65" s="53">
        <f t="shared" si="3"/>
        <v>20.361796982167348</v>
      </c>
      <c r="O65" s="50">
        <v>136</v>
      </c>
      <c r="P65" s="50">
        <v>64</v>
      </c>
      <c r="Q65" s="53">
        <v>43.8</v>
      </c>
      <c r="R65" s="50" t="s">
        <v>4</v>
      </c>
      <c r="S65" s="50"/>
      <c r="T65" s="50">
        <v>91</v>
      </c>
      <c r="U65" s="50">
        <v>133</v>
      </c>
      <c r="V65" s="50">
        <v>78</v>
      </c>
      <c r="W65" s="50">
        <v>29</v>
      </c>
      <c r="X65" s="50">
        <v>19</v>
      </c>
      <c r="Y65" s="54">
        <v>7.5</v>
      </c>
      <c r="Z65" s="50" t="s">
        <v>14</v>
      </c>
      <c r="AA65" s="50" t="s">
        <v>645</v>
      </c>
      <c r="AB65" s="50" t="s">
        <v>4</v>
      </c>
      <c r="AC65" s="50"/>
      <c r="AD65" s="50" t="s">
        <v>4</v>
      </c>
      <c r="AE65" s="50"/>
      <c r="AF65" s="50"/>
      <c r="AG65" s="50"/>
      <c r="AH65" s="50"/>
      <c r="AI65" s="50" t="s">
        <v>137</v>
      </c>
      <c r="AJ65" s="50" t="s">
        <v>241</v>
      </c>
      <c r="AK65" s="25">
        <v>46036</v>
      </c>
      <c r="AL65" s="25"/>
      <c r="AM65" s="27"/>
      <c r="AN65" s="30" t="str">
        <f t="shared" ca="1" si="1"/>
        <v>ยังไม่หมด</v>
      </c>
      <c r="AO65" s="47">
        <f t="shared" ca="1" si="2"/>
        <v>142</v>
      </c>
      <c r="AP65" s="47"/>
    </row>
    <row r="66" spans="1:42" ht="15.75" customHeight="1">
      <c r="A66" s="6" t="s">
        <v>663</v>
      </c>
      <c r="B66" s="6" t="s">
        <v>664</v>
      </c>
      <c r="C66" s="6" t="s">
        <v>665</v>
      </c>
      <c r="D66" s="6" t="s">
        <v>64</v>
      </c>
      <c r="E66" s="6" t="s">
        <v>23</v>
      </c>
      <c r="F66" s="100" t="s">
        <v>666</v>
      </c>
      <c r="G66" s="6" t="s">
        <v>666</v>
      </c>
      <c r="H66" s="101">
        <v>32429</v>
      </c>
      <c r="I66" s="6">
        <f t="shared" ca="1" si="0"/>
        <v>38</v>
      </c>
      <c r="J66" s="6" t="s">
        <v>3</v>
      </c>
      <c r="K66" s="101">
        <v>46135</v>
      </c>
      <c r="L66" s="20">
        <v>178</v>
      </c>
      <c r="M66" s="20">
        <v>83</v>
      </c>
      <c r="N66" s="20">
        <f t="shared" si="3"/>
        <v>26.196187350082059</v>
      </c>
      <c r="O66" s="6">
        <v>137</v>
      </c>
      <c r="P66" s="6">
        <v>88</v>
      </c>
      <c r="Q66" s="20">
        <v>43</v>
      </c>
      <c r="R66" s="6" t="s">
        <v>8</v>
      </c>
      <c r="S66" s="50" t="s">
        <v>667</v>
      </c>
      <c r="T66" s="6">
        <v>88</v>
      </c>
      <c r="U66" s="6">
        <v>92</v>
      </c>
      <c r="V66" s="6">
        <v>69</v>
      </c>
      <c r="W66" s="21">
        <v>34</v>
      </c>
      <c r="X66" s="21">
        <v>45</v>
      </c>
      <c r="Y66" s="145">
        <v>7.4</v>
      </c>
      <c r="Z66" s="6" t="s">
        <v>4</v>
      </c>
      <c r="AA66" s="6"/>
      <c r="AB66" s="6" t="s">
        <v>4</v>
      </c>
      <c r="AC66" s="6"/>
      <c r="AD66" s="6" t="s">
        <v>8</v>
      </c>
      <c r="AE66" s="6" t="s">
        <v>297</v>
      </c>
      <c r="AF66" s="6"/>
      <c r="AG66" s="6"/>
      <c r="AH66" s="6" t="s">
        <v>668</v>
      </c>
      <c r="AI66" s="6" t="s">
        <v>137</v>
      </c>
      <c r="AJ66" s="6" t="s">
        <v>621</v>
      </c>
      <c r="AK66" s="24">
        <v>46199</v>
      </c>
      <c r="AL66" s="55"/>
      <c r="AM66" s="47"/>
      <c r="AN66" s="30" t="str">
        <f t="shared" ca="1" si="1"/>
        <v>ยังไม่หมด</v>
      </c>
      <c r="AO66" s="47">
        <f t="shared" ca="1" si="2"/>
        <v>248</v>
      </c>
      <c r="AP66" s="47"/>
    </row>
    <row r="67" spans="1:42" ht="15.75" customHeight="1">
      <c r="A67" s="23" t="s">
        <v>669</v>
      </c>
      <c r="B67" s="23" t="s">
        <v>670</v>
      </c>
      <c r="C67" s="23" t="s">
        <v>671</v>
      </c>
      <c r="D67" s="23" t="s">
        <v>64</v>
      </c>
      <c r="E67" s="23" t="s">
        <v>23</v>
      </c>
      <c r="F67" s="90" t="s">
        <v>666</v>
      </c>
      <c r="G67" s="34" t="s">
        <v>666</v>
      </c>
      <c r="H67" s="28">
        <v>30684</v>
      </c>
      <c r="I67" s="23">
        <f t="shared" ca="1" si="0"/>
        <v>42</v>
      </c>
      <c r="J67" s="23" t="s">
        <v>3</v>
      </c>
      <c r="K67" s="28">
        <v>46017</v>
      </c>
      <c r="L67" s="31">
        <v>169</v>
      </c>
      <c r="M67" s="31">
        <v>64.2</v>
      </c>
      <c r="N67" s="31">
        <f t="shared" si="3"/>
        <v>22.478204544658805</v>
      </c>
      <c r="O67" s="23">
        <v>136</v>
      </c>
      <c r="P67" s="23">
        <v>84</v>
      </c>
      <c r="Q67" s="31">
        <v>41</v>
      </c>
      <c r="R67" s="23" t="s">
        <v>4</v>
      </c>
      <c r="S67" s="23"/>
      <c r="T67" s="23">
        <v>84</v>
      </c>
      <c r="U67" s="23">
        <v>116</v>
      </c>
      <c r="V67" s="23">
        <v>47</v>
      </c>
      <c r="W67" s="23">
        <v>32</v>
      </c>
      <c r="X67" s="23">
        <v>72</v>
      </c>
      <c r="Y67" s="37">
        <v>6.4</v>
      </c>
      <c r="Z67" s="23" t="s">
        <v>4</v>
      </c>
      <c r="AA67" s="23"/>
      <c r="AB67" s="23" t="s">
        <v>4</v>
      </c>
      <c r="AC67" s="23"/>
      <c r="AD67" s="23" t="s">
        <v>4</v>
      </c>
      <c r="AE67" s="23"/>
      <c r="AF67" s="23" t="s">
        <v>4</v>
      </c>
      <c r="AG67" s="23"/>
      <c r="AH67" s="23" t="s">
        <v>672</v>
      </c>
      <c r="AI67" s="23" t="s">
        <v>154</v>
      </c>
      <c r="AJ67" s="23" t="s">
        <v>673</v>
      </c>
      <c r="AK67" s="58">
        <v>46211</v>
      </c>
      <c r="AL67" s="46" t="str">
        <f ca="1">IF((AK67+90)&lt;TODAY(),"เลยกำหนด",IF((AK67+90)-TODAY()&lt;=30,"ใกล้ถึง","ยังไม่ถึง"))</f>
        <v>ยังไม่ถึง</v>
      </c>
      <c r="AM67" s="47">
        <f ca="1">MAX(0, (AK67+90) - TODAY())</f>
        <v>50</v>
      </c>
      <c r="AN67" s="30" t="str">
        <f t="shared" ca="1" si="1"/>
        <v>ยังไม่หมด</v>
      </c>
      <c r="AO67" s="47">
        <f t="shared" ca="1" si="2"/>
        <v>130</v>
      </c>
      <c r="AP67" s="47"/>
    </row>
    <row r="68" spans="1:42" ht="15.75" customHeight="1">
      <c r="A68" s="6" t="s">
        <v>674</v>
      </c>
      <c r="B68" s="6" t="s">
        <v>675</v>
      </c>
      <c r="C68" s="6" t="s">
        <v>676</v>
      </c>
      <c r="D68" s="6" t="s">
        <v>64</v>
      </c>
      <c r="E68" s="6" t="s">
        <v>23</v>
      </c>
      <c r="F68" s="100" t="s">
        <v>677</v>
      </c>
      <c r="G68" s="6" t="s">
        <v>678</v>
      </c>
      <c r="H68" s="101">
        <v>32904</v>
      </c>
      <c r="I68" s="6">
        <f t="shared" ca="1" si="0"/>
        <v>36</v>
      </c>
      <c r="J68" s="6" t="s">
        <v>3</v>
      </c>
      <c r="K68" s="101">
        <v>46149</v>
      </c>
      <c r="L68" s="20">
        <v>163.1</v>
      </c>
      <c r="M68" s="20">
        <v>78.5</v>
      </c>
      <c r="N68" s="20">
        <f t="shared" si="3"/>
        <v>29.509492094651414</v>
      </c>
      <c r="O68" s="6">
        <v>114</v>
      </c>
      <c r="P68" s="6">
        <v>73</v>
      </c>
      <c r="Q68" s="20">
        <v>44.5</v>
      </c>
      <c r="R68" s="6" t="s">
        <v>4</v>
      </c>
      <c r="S68" s="6"/>
      <c r="T68" s="6">
        <v>95</v>
      </c>
      <c r="U68" s="6">
        <v>87</v>
      </c>
      <c r="V68" s="6">
        <v>90</v>
      </c>
      <c r="W68" s="6">
        <v>32</v>
      </c>
      <c r="X68" s="6">
        <v>11</v>
      </c>
      <c r="Y68" s="102">
        <v>6.1</v>
      </c>
      <c r="Z68" s="6" t="s">
        <v>4</v>
      </c>
      <c r="AA68" s="6"/>
      <c r="AB68" s="6" t="s">
        <v>4</v>
      </c>
      <c r="AC68" s="6"/>
      <c r="AD68" s="6" t="s">
        <v>4</v>
      </c>
      <c r="AE68" s="6"/>
      <c r="AF68" s="6" t="s">
        <v>4</v>
      </c>
      <c r="AG68" s="6"/>
      <c r="AH68" s="6" t="s">
        <v>679</v>
      </c>
      <c r="AI68" s="6" t="s">
        <v>137</v>
      </c>
      <c r="AJ68" s="6" t="s">
        <v>680</v>
      </c>
      <c r="AK68" s="24">
        <v>46190</v>
      </c>
      <c r="AL68" s="97"/>
      <c r="AM68" s="47"/>
      <c r="AN68" s="30" t="str">
        <f t="shared" ca="1" si="1"/>
        <v>ยังไม่หมด</v>
      </c>
      <c r="AO68" s="47">
        <f t="shared" ca="1" si="2"/>
        <v>262</v>
      </c>
      <c r="AP68" s="47"/>
    </row>
    <row r="69" spans="1:42" ht="15.75" customHeight="1">
      <c r="A69" s="50" t="s">
        <v>681</v>
      </c>
      <c r="B69" s="50" t="s">
        <v>682</v>
      </c>
      <c r="C69" s="50" t="s">
        <v>683</v>
      </c>
      <c r="D69" s="50" t="s">
        <v>64</v>
      </c>
      <c r="E69" s="50" t="s">
        <v>23</v>
      </c>
      <c r="F69" s="51" t="s">
        <v>677</v>
      </c>
      <c r="G69" s="50" t="s">
        <v>678</v>
      </c>
      <c r="H69" s="52">
        <v>35134</v>
      </c>
      <c r="I69" s="50">
        <f t="shared" ca="1" si="0"/>
        <v>30</v>
      </c>
      <c r="J69" s="50" t="s">
        <v>3</v>
      </c>
      <c r="K69" s="52">
        <v>45968</v>
      </c>
      <c r="L69" s="53">
        <v>167.8</v>
      </c>
      <c r="M69" s="53">
        <v>70.2</v>
      </c>
      <c r="N69" s="53">
        <f t="shared" si="3"/>
        <v>24.931775014525773</v>
      </c>
      <c r="O69" s="50">
        <v>122</v>
      </c>
      <c r="P69" s="50">
        <v>70</v>
      </c>
      <c r="Q69" s="53">
        <v>37.799999999999997</v>
      </c>
      <c r="R69" s="50" t="s">
        <v>4</v>
      </c>
      <c r="S69" s="50"/>
      <c r="T69" s="50">
        <v>89</v>
      </c>
      <c r="U69" s="50">
        <v>126</v>
      </c>
      <c r="V69" s="50">
        <v>58</v>
      </c>
      <c r="W69" s="50">
        <v>24</v>
      </c>
      <c r="X69" s="50">
        <v>30</v>
      </c>
      <c r="Y69" s="54">
        <v>5.8</v>
      </c>
      <c r="Z69" s="50" t="s">
        <v>4</v>
      </c>
      <c r="AA69" s="50"/>
      <c r="AB69" s="50" t="s">
        <v>4</v>
      </c>
      <c r="AC69" s="50"/>
      <c r="AD69" s="50" t="s">
        <v>4</v>
      </c>
      <c r="AE69" s="50"/>
      <c r="AF69" s="50"/>
      <c r="AG69" s="50"/>
      <c r="AH69" s="50"/>
      <c r="AI69" s="50" t="s">
        <v>137</v>
      </c>
      <c r="AJ69" s="50" t="s">
        <v>231</v>
      </c>
      <c r="AK69" s="25">
        <v>45975</v>
      </c>
      <c r="AL69" s="25"/>
      <c r="AM69" s="27"/>
      <c r="AN69" s="30" t="str">
        <f t="shared" ca="1" si="1"/>
        <v>ใกล้หมด 3 เดือน</v>
      </c>
      <c r="AO69" s="47">
        <f t="shared" ca="1" si="2"/>
        <v>81</v>
      </c>
      <c r="AP69" s="47"/>
    </row>
    <row r="70" spans="1:42" ht="15.75" customHeight="1">
      <c r="A70" s="50" t="s">
        <v>684</v>
      </c>
      <c r="B70" s="50" t="s">
        <v>685</v>
      </c>
      <c r="C70" s="50" t="s">
        <v>686</v>
      </c>
      <c r="D70" s="50" t="s">
        <v>64</v>
      </c>
      <c r="E70" s="50" t="s">
        <v>23</v>
      </c>
      <c r="F70" s="51" t="s">
        <v>687</v>
      </c>
      <c r="G70" s="50" t="s">
        <v>678</v>
      </c>
      <c r="H70" s="52">
        <v>32835</v>
      </c>
      <c r="I70" s="50">
        <f t="shared" ca="1" si="0"/>
        <v>37</v>
      </c>
      <c r="J70" s="50" t="s">
        <v>3</v>
      </c>
      <c r="K70" s="52">
        <v>46149</v>
      </c>
      <c r="L70" s="53">
        <v>171</v>
      </c>
      <c r="M70" s="53">
        <v>79.3</v>
      </c>
      <c r="N70" s="53">
        <f t="shared" si="3"/>
        <v>27.119455558975414</v>
      </c>
      <c r="O70" s="50">
        <v>127</v>
      </c>
      <c r="P70" s="50">
        <v>74</v>
      </c>
      <c r="Q70" s="53">
        <v>42.4</v>
      </c>
      <c r="R70" s="50" t="s">
        <v>4</v>
      </c>
      <c r="S70" s="50"/>
      <c r="T70" s="50">
        <v>91</v>
      </c>
      <c r="U70" s="50">
        <v>154</v>
      </c>
      <c r="V70" s="50">
        <v>109</v>
      </c>
      <c r="W70" s="50">
        <v>14</v>
      </c>
      <c r="X70" s="50">
        <v>18</v>
      </c>
      <c r="Y70" s="54">
        <v>6.5</v>
      </c>
      <c r="Z70" s="50" t="s">
        <v>4</v>
      </c>
      <c r="AA70" s="50"/>
      <c r="AB70" s="50" t="s">
        <v>4</v>
      </c>
      <c r="AC70" s="50"/>
      <c r="AD70" s="50" t="s">
        <v>4</v>
      </c>
      <c r="AE70" s="50"/>
      <c r="AF70" s="50"/>
      <c r="AG70" s="50"/>
      <c r="AH70" s="50"/>
      <c r="AI70" s="50" t="s">
        <v>137</v>
      </c>
      <c r="AJ70" s="50" t="s">
        <v>254</v>
      </c>
      <c r="AK70" s="25">
        <v>46156</v>
      </c>
      <c r="AL70" s="74"/>
      <c r="AM70" s="27"/>
      <c r="AN70" s="30" t="str">
        <f t="shared" ca="1" si="1"/>
        <v>ยังไม่หมด</v>
      </c>
      <c r="AO70" s="47">
        <f t="shared" ca="1" si="2"/>
        <v>262</v>
      </c>
      <c r="AP70" s="47"/>
    </row>
    <row r="71" spans="1:42" ht="15.75" customHeight="1">
      <c r="A71" s="50" t="s">
        <v>688</v>
      </c>
      <c r="B71" s="50" t="s">
        <v>689</v>
      </c>
      <c r="C71" s="50" t="s">
        <v>690</v>
      </c>
      <c r="D71" s="50" t="s">
        <v>64</v>
      </c>
      <c r="E71" s="50" t="s">
        <v>23</v>
      </c>
      <c r="F71" s="51" t="s">
        <v>687</v>
      </c>
      <c r="G71" s="50" t="s">
        <v>678</v>
      </c>
      <c r="H71" s="52">
        <v>28890</v>
      </c>
      <c r="I71" s="50">
        <f t="shared" ca="1" si="0"/>
        <v>47</v>
      </c>
      <c r="J71" s="50" t="s">
        <v>24</v>
      </c>
      <c r="K71" s="52">
        <v>45924</v>
      </c>
      <c r="L71" s="53">
        <v>181.6</v>
      </c>
      <c r="M71" s="53">
        <v>89.2</v>
      </c>
      <c r="N71" s="53">
        <f t="shared" si="3"/>
        <v>27.047875953346658</v>
      </c>
      <c r="O71" s="50">
        <v>123</v>
      </c>
      <c r="P71" s="50">
        <v>72</v>
      </c>
      <c r="Q71" s="53">
        <v>45</v>
      </c>
      <c r="R71" s="50" t="s">
        <v>4</v>
      </c>
      <c r="S71" s="50"/>
      <c r="T71" s="50">
        <v>98</v>
      </c>
      <c r="U71" s="50">
        <v>155</v>
      </c>
      <c r="V71" s="50">
        <v>148</v>
      </c>
      <c r="W71" s="50">
        <v>27</v>
      </c>
      <c r="X71" s="50">
        <v>40</v>
      </c>
      <c r="Y71" s="54">
        <v>6.1</v>
      </c>
      <c r="Z71" s="50" t="s">
        <v>4</v>
      </c>
      <c r="AA71" s="50"/>
      <c r="AB71" s="50" t="s">
        <v>4</v>
      </c>
      <c r="AC71" s="50"/>
      <c r="AD71" s="50" t="s">
        <v>8</v>
      </c>
      <c r="AE71" s="50" t="s">
        <v>691</v>
      </c>
      <c r="AF71" s="50" t="s">
        <v>4</v>
      </c>
      <c r="AG71" s="50"/>
      <c r="AH71" s="50"/>
      <c r="AI71" s="50" t="s">
        <v>137</v>
      </c>
      <c r="AJ71" s="50" t="s">
        <v>692</v>
      </c>
      <c r="AK71" s="25">
        <v>45932</v>
      </c>
      <c r="AL71" s="25"/>
      <c r="AM71" s="27"/>
      <c r="AN71" s="30" t="str">
        <f t="shared" ca="1" si="1"/>
        <v>ใกล้หมด 3 เดือน</v>
      </c>
      <c r="AO71" s="47">
        <f t="shared" ca="1" si="2"/>
        <v>37</v>
      </c>
      <c r="AP71" s="47"/>
    </row>
    <row r="72" spans="1:42" ht="15.75" customHeight="1">
      <c r="A72" s="23" t="s">
        <v>693</v>
      </c>
      <c r="B72" s="23" t="s">
        <v>694</v>
      </c>
      <c r="C72" s="23" t="s">
        <v>695</v>
      </c>
      <c r="D72" s="23" t="s">
        <v>64</v>
      </c>
      <c r="E72" s="23" t="s">
        <v>23</v>
      </c>
      <c r="F72" s="26" t="s">
        <v>687</v>
      </c>
      <c r="G72" s="23" t="s">
        <v>134</v>
      </c>
      <c r="H72" s="28">
        <v>27934</v>
      </c>
      <c r="I72" s="23">
        <f t="shared" ca="1" si="0"/>
        <v>50</v>
      </c>
      <c r="J72" s="23" t="s">
        <v>19</v>
      </c>
      <c r="K72" s="28">
        <v>45882</v>
      </c>
      <c r="L72" s="146">
        <v>166.3</v>
      </c>
      <c r="M72" s="147">
        <v>89.9</v>
      </c>
      <c r="N72" s="146">
        <f t="shared" si="3"/>
        <v>32.506872907528241</v>
      </c>
      <c r="O72" s="23">
        <v>132</v>
      </c>
      <c r="P72" s="23">
        <v>71</v>
      </c>
      <c r="Q72" s="146">
        <v>45.9</v>
      </c>
      <c r="R72" s="23" t="s">
        <v>4</v>
      </c>
      <c r="S72" s="23"/>
      <c r="T72" s="59">
        <v>95</v>
      </c>
      <c r="U72" s="80">
        <v>91</v>
      </c>
      <c r="V72" s="80">
        <v>67</v>
      </c>
      <c r="W72" s="23">
        <v>23</v>
      </c>
      <c r="X72" s="23">
        <v>23</v>
      </c>
      <c r="Y72" s="37">
        <v>4.7</v>
      </c>
      <c r="Z72" s="23" t="s">
        <v>8</v>
      </c>
      <c r="AA72" s="23" t="s">
        <v>135</v>
      </c>
      <c r="AB72" s="23" t="s">
        <v>4</v>
      </c>
      <c r="AC72" s="23"/>
      <c r="AD72" s="23" t="s">
        <v>8</v>
      </c>
      <c r="AE72" s="23" t="s">
        <v>696</v>
      </c>
      <c r="AF72" s="23" t="s">
        <v>4</v>
      </c>
      <c r="AG72" s="23"/>
      <c r="AH72" s="23" t="s">
        <v>697</v>
      </c>
      <c r="AI72" s="34" t="s">
        <v>154</v>
      </c>
      <c r="AJ72" s="34" t="s">
        <v>698</v>
      </c>
      <c r="AK72" s="58">
        <v>46204</v>
      </c>
      <c r="AL72" s="46"/>
      <c r="AM72" s="47"/>
      <c r="AN72" s="48" t="str">
        <f t="shared" ca="1" si="1"/>
        <v>หมดอายุ</v>
      </c>
      <c r="AO72" s="47">
        <f t="shared" ca="1" si="2"/>
        <v>0</v>
      </c>
      <c r="AP72" s="47"/>
    </row>
    <row r="73" spans="1:42" ht="15.75" customHeight="1">
      <c r="A73" s="50" t="s">
        <v>699</v>
      </c>
      <c r="B73" s="50" t="s">
        <v>700</v>
      </c>
      <c r="C73" s="50" t="s">
        <v>701</v>
      </c>
      <c r="D73" s="50" t="s">
        <v>64</v>
      </c>
      <c r="E73" s="50" t="s">
        <v>23</v>
      </c>
      <c r="F73" s="51" t="s">
        <v>687</v>
      </c>
      <c r="G73" s="50" t="s">
        <v>678</v>
      </c>
      <c r="H73" s="52">
        <v>31805</v>
      </c>
      <c r="I73" s="50">
        <f t="shared" ca="1" si="0"/>
        <v>39</v>
      </c>
      <c r="J73" s="50" t="s">
        <v>3</v>
      </c>
      <c r="K73" s="52">
        <v>46182</v>
      </c>
      <c r="L73" s="53">
        <v>172</v>
      </c>
      <c r="M73" s="53">
        <v>68.900000000000006</v>
      </c>
      <c r="N73" s="53">
        <f t="shared" si="3"/>
        <v>23.289616008653329</v>
      </c>
      <c r="O73" s="50">
        <v>120</v>
      </c>
      <c r="P73" s="50">
        <v>75</v>
      </c>
      <c r="Q73" s="53">
        <v>42</v>
      </c>
      <c r="R73" s="50" t="s">
        <v>4</v>
      </c>
      <c r="S73" s="50"/>
      <c r="T73" s="50">
        <v>91</v>
      </c>
      <c r="U73" s="50">
        <v>119</v>
      </c>
      <c r="V73" s="50">
        <v>74</v>
      </c>
      <c r="W73" s="50">
        <v>23</v>
      </c>
      <c r="X73" s="50">
        <v>17</v>
      </c>
      <c r="Y73" s="54">
        <v>5.3</v>
      </c>
      <c r="Z73" s="50" t="s">
        <v>4</v>
      </c>
      <c r="AA73" s="50"/>
      <c r="AB73" s="50" t="s">
        <v>4</v>
      </c>
      <c r="AC73" s="50"/>
      <c r="AD73" s="50" t="s">
        <v>4</v>
      </c>
      <c r="AE73" s="50"/>
      <c r="AF73" s="50"/>
      <c r="AG73" s="50"/>
      <c r="AH73" s="50"/>
      <c r="AI73" s="50" t="s">
        <v>137</v>
      </c>
      <c r="AJ73" s="50" t="s">
        <v>231</v>
      </c>
      <c r="AK73" s="25">
        <v>46226</v>
      </c>
      <c r="AL73" s="74"/>
      <c r="AM73" s="27"/>
      <c r="AN73" s="48" t="str">
        <f t="shared" ca="1" si="1"/>
        <v>ยังไม่หมด</v>
      </c>
      <c r="AO73" s="47">
        <f t="shared" ca="1" si="2"/>
        <v>295</v>
      </c>
      <c r="AP73" s="47"/>
    </row>
    <row r="74" spans="1:42" ht="15.75" customHeight="1">
      <c r="A74" s="50" t="s">
        <v>702</v>
      </c>
      <c r="B74" s="50" t="s">
        <v>703</v>
      </c>
      <c r="C74" s="50" t="s">
        <v>704</v>
      </c>
      <c r="D74" s="50" t="s">
        <v>64</v>
      </c>
      <c r="E74" s="50" t="s">
        <v>23</v>
      </c>
      <c r="F74" s="51" t="s">
        <v>705</v>
      </c>
      <c r="G74" s="50" t="s">
        <v>678</v>
      </c>
      <c r="H74" s="52">
        <v>35539</v>
      </c>
      <c r="I74" s="50">
        <f t="shared" ca="1" si="0"/>
        <v>29</v>
      </c>
      <c r="J74" s="50" t="s">
        <v>3</v>
      </c>
      <c r="K74" s="52">
        <v>46091</v>
      </c>
      <c r="L74" s="53">
        <v>169.8</v>
      </c>
      <c r="M74" s="53">
        <v>72.900000000000006</v>
      </c>
      <c r="N74" s="53">
        <f t="shared" si="3"/>
        <v>25.284371137109961</v>
      </c>
      <c r="O74" s="50">
        <v>129</v>
      </c>
      <c r="P74" s="50">
        <v>82</v>
      </c>
      <c r="Q74" s="53">
        <v>45.3</v>
      </c>
      <c r="R74" s="50" t="s">
        <v>4</v>
      </c>
      <c r="S74" s="50"/>
      <c r="T74" s="50">
        <v>85</v>
      </c>
      <c r="U74" s="50">
        <v>131</v>
      </c>
      <c r="V74" s="50">
        <v>117</v>
      </c>
      <c r="W74" s="50">
        <v>18</v>
      </c>
      <c r="X74" s="50">
        <v>18</v>
      </c>
      <c r="Y74" s="54">
        <v>5.8</v>
      </c>
      <c r="Z74" s="50" t="s">
        <v>4</v>
      </c>
      <c r="AA74" s="50"/>
      <c r="AB74" s="50" t="s">
        <v>4</v>
      </c>
      <c r="AC74" s="50"/>
      <c r="AD74" s="50" t="s">
        <v>8</v>
      </c>
      <c r="AE74" s="50" t="s">
        <v>706</v>
      </c>
      <c r="AF74" s="50"/>
      <c r="AG74" s="50"/>
      <c r="AH74" s="50" t="s">
        <v>707</v>
      </c>
      <c r="AI74" s="50" t="s">
        <v>137</v>
      </c>
      <c r="AJ74" s="50" t="s">
        <v>708</v>
      </c>
      <c r="AK74" s="25">
        <v>46094</v>
      </c>
      <c r="AL74" s="25"/>
      <c r="AM74" s="27"/>
      <c r="AN74" s="30" t="str">
        <f t="shared" ca="1" si="1"/>
        <v>ยังไม่หมด</v>
      </c>
      <c r="AO74" s="47">
        <f t="shared" ca="1" si="2"/>
        <v>204</v>
      </c>
      <c r="AP74" s="47"/>
    </row>
    <row r="75" spans="1:42" ht="15.75" customHeight="1">
      <c r="A75" s="50" t="s">
        <v>709</v>
      </c>
      <c r="B75" s="50" t="s">
        <v>710</v>
      </c>
      <c r="C75" s="50" t="s">
        <v>711</v>
      </c>
      <c r="D75" s="50" t="s">
        <v>64</v>
      </c>
      <c r="E75" s="50" t="s">
        <v>23</v>
      </c>
      <c r="F75" s="51" t="s">
        <v>687</v>
      </c>
      <c r="G75" s="50" t="s">
        <v>678</v>
      </c>
      <c r="H75" s="52">
        <v>29451</v>
      </c>
      <c r="I75" s="50">
        <f t="shared" ca="1" si="0"/>
        <v>46</v>
      </c>
      <c r="J75" s="50" t="s">
        <v>3</v>
      </c>
      <c r="K75" s="52">
        <v>46095</v>
      </c>
      <c r="L75" s="53">
        <v>181.5</v>
      </c>
      <c r="M75" s="53">
        <v>81.3</v>
      </c>
      <c r="N75" s="53">
        <f t="shared" si="3"/>
        <v>24.679552853857889</v>
      </c>
      <c r="O75" s="50">
        <v>124</v>
      </c>
      <c r="P75" s="50">
        <v>88</v>
      </c>
      <c r="Q75" s="53">
        <v>40</v>
      </c>
      <c r="R75" s="50" t="s">
        <v>4</v>
      </c>
      <c r="S75" s="50"/>
      <c r="T75" s="50">
        <v>115</v>
      </c>
      <c r="U75" s="76">
        <v>110</v>
      </c>
      <c r="V75" s="50">
        <v>56</v>
      </c>
      <c r="W75" s="50">
        <v>25</v>
      </c>
      <c r="X75" s="50">
        <v>21</v>
      </c>
      <c r="Y75" s="54">
        <v>7</v>
      </c>
      <c r="Z75" s="50" t="s">
        <v>4</v>
      </c>
      <c r="AA75" s="50"/>
      <c r="AB75" s="50" t="s">
        <v>4</v>
      </c>
      <c r="AC75" s="50"/>
      <c r="AD75" s="50" t="s">
        <v>4</v>
      </c>
      <c r="AE75" s="50"/>
      <c r="AF75" s="50"/>
      <c r="AG75" s="50"/>
      <c r="AH75" s="50" t="s">
        <v>712</v>
      </c>
      <c r="AI75" s="50" t="s">
        <v>137</v>
      </c>
      <c r="AJ75" s="50" t="s">
        <v>713</v>
      </c>
      <c r="AK75" s="25">
        <v>46134</v>
      </c>
      <c r="AL75" s="55"/>
      <c r="AM75" s="47"/>
      <c r="AN75" s="30" t="str">
        <f t="shared" ca="1" si="1"/>
        <v>ยังไม่หมด</v>
      </c>
      <c r="AO75" s="47">
        <f t="shared" ca="1" si="2"/>
        <v>208</v>
      </c>
      <c r="AP75" s="47"/>
    </row>
    <row r="76" spans="1:42" ht="15.75" customHeight="1">
      <c r="A76" s="23" t="s">
        <v>714</v>
      </c>
      <c r="B76" s="23" t="s">
        <v>715</v>
      </c>
      <c r="C76" s="23" t="s">
        <v>716</v>
      </c>
      <c r="D76" s="23" t="s">
        <v>64</v>
      </c>
      <c r="E76" s="23" t="s">
        <v>23</v>
      </c>
      <c r="F76" s="90" t="s">
        <v>677</v>
      </c>
      <c r="G76" s="23" t="s">
        <v>678</v>
      </c>
      <c r="H76" s="28">
        <v>34966</v>
      </c>
      <c r="I76" s="23">
        <f t="shared" ca="1" si="0"/>
        <v>31</v>
      </c>
      <c r="J76" s="23" t="s">
        <v>3</v>
      </c>
      <c r="K76" s="148">
        <v>46083</v>
      </c>
      <c r="L76" s="149">
        <v>163.4</v>
      </c>
      <c r="M76" s="149">
        <v>76.099999999999994</v>
      </c>
      <c r="N76" s="31">
        <f t="shared" si="3"/>
        <v>28.502342360698073</v>
      </c>
      <c r="O76" s="29">
        <v>124</v>
      </c>
      <c r="P76" s="29">
        <v>56</v>
      </c>
      <c r="Q76" s="149">
        <v>44.3</v>
      </c>
      <c r="R76" s="23" t="s">
        <v>4</v>
      </c>
      <c r="S76" s="23"/>
      <c r="T76" s="29">
        <v>90</v>
      </c>
      <c r="U76" s="150">
        <v>127</v>
      </c>
      <c r="V76" s="150">
        <v>94</v>
      </c>
      <c r="W76" s="150">
        <v>48</v>
      </c>
      <c r="X76" s="150">
        <v>110</v>
      </c>
      <c r="Y76" s="151">
        <v>6.4</v>
      </c>
      <c r="Z76" s="23" t="s">
        <v>4</v>
      </c>
      <c r="AA76" s="23"/>
      <c r="AB76" s="23" t="s">
        <v>4</v>
      </c>
      <c r="AC76" s="23"/>
      <c r="AD76" s="23" t="s">
        <v>8</v>
      </c>
      <c r="AE76" s="23" t="s">
        <v>717</v>
      </c>
      <c r="AF76" s="23"/>
      <c r="AG76" s="23"/>
      <c r="AH76" s="80" t="s">
        <v>718</v>
      </c>
      <c r="AI76" s="62" t="s">
        <v>719</v>
      </c>
      <c r="AJ76" s="56" t="s">
        <v>720</v>
      </c>
      <c r="AK76" s="63">
        <v>46230</v>
      </c>
      <c r="AL76" s="77"/>
      <c r="AM76" s="47"/>
      <c r="AN76" s="30" t="str">
        <f t="shared" ca="1" si="1"/>
        <v>ยังไม่หมด</v>
      </c>
      <c r="AO76" s="47">
        <f t="shared" ca="1" si="2"/>
        <v>196</v>
      </c>
      <c r="AP76" s="47"/>
    </row>
    <row r="77" spans="1:42" ht="15.75" customHeight="1">
      <c r="A77" s="50" t="s">
        <v>721</v>
      </c>
      <c r="B77" s="50" t="s">
        <v>722</v>
      </c>
      <c r="C77" s="50" t="s">
        <v>723</v>
      </c>
      <c r="D77" s="50" t="s">
        <v>64</v>
      </c>
      <c r="E77" s="50" t="s">
        <v>23</v>
      </c>
      <c r="F77" s="51" t="s">
        <v>687</v>
      </c>
      <c r="G77" s="50" t="s">
        <v>678</v>
      </c>
      <c r="H77" s="52">
        <v>31434</v>
      </c>
      <c r="I77" s="50">
        <f t="shared" ca="1" si="0"/>
        <v>40</v>
      </c>
      <c r="J77" s="50" t="s">
        <v>3</v>
      </c>
      <c r="K77" s="52">
        <v>46157</v>
      </c>
      <c r="L77" s="53">
        <v>177</v>
      </c>
      <c r="M77" s="53">
        <v>79.3</v>
      </c>
      <c r="N77" s="53">
        <f t="shared" si="3"/>
        <v>25.312011235596408</v>
      </c>
      <c r="O77" s="50">
        <v>134</v>
      </c>
      <c r="P77" s="50">
        <v>87</v>
      </c>
      <c r="Q77" s="53">
        <v>47.8</v>
      </c>
      <c r="R77" s="50" t="s">
        <v>4</v>
      </c>
      <c r="S77" s="50"/>
      <c r="T77" s="74">
        <v>113</v>
      </c>
      <c r="U77" s="50">
        <v>111</v>
      </c>
      <c r="V77" s="50">
        <v>100</v>
      </c>
      <c r="W77" s="76">
        <v>36</v>
      </c>
      <c r="X77" s="76">
        <v>41</v>
      </c>
      <c r="Y77" s="75">
        <v>8.1</v>
      </c>
      <c r="Z77" s="50" t="s">
        <v>4</v>
      </c>
      <c r="AA77" s="50"/>
      <c r="AB77" s="50" t="s">
        <v>4</v>
      </c>
      <c r="AC77" s="50"/>
      <c r="AD77" s="50" t="s">
        <v>4</v>
      </c>
      <c r="AE77" s="50"/>
      <c r="AF77" s="50" t="s">
        <v>4</v>
      </c>
      <c r="AG77" s="50"/>
      <c r="AH77" s="50"/>
      <c r="AI77" s="6" t="s">
        <v>137</v>
      </c>
      <c r="AJ77" s="50" t="s">
        <v>724</v>
      </c>
      <c r="AK77" s="25">
        <v>46167</v>
      </c>
      <c r="AL77" s="25"/>
      <c r="AM77" s="27"/>
      <c r="AN77" s="30" t="str">
        <f t="shared" ca="1" si="1"/>
        <v>ยังไม่หมด</v>
      </c>
      <c r="AO77" s="47">
        <f t="shared" ca="1" si="2"/>
        <v>270</v>
      </c>
      <c r="AP77" s="47"/>
    </row>
    <row r="78" spans="1:42" ht="15.75" customHeight="1">
      <c r="A78" s="50" t="s">
        <v>725</v>
      </c>
      <c r="B78" s="50" t="s">
        <v>726</v>
      </c>
      <c r="C78" s="50" t="s">
        <v>727</v>
      </c>
      <c r="D78" s="50" t="s">
        <v>64</v>
      </c>
      <c r="E78" s="50" t="s">
        <v>23</v>
      </c>
      <c r="F78" s="51" t="s">
        <v>687</v>
      </c>
      <c r="G78" s="50" t="s">
        <v>678</v>
      </c>
      <c r="H78" s="52">
        <v>29161</v>
      </c>
      <c r="I78" s="50">
        <f t="shared" ca="1" si="0"/>
        <v>47</v>
      </c>
      <c r="J78" s="50" t="s">
        <v>3</v>
      </c>
      <c r="K78" s="52">
        <v>46219</v>
      </c>
      <c r="L78" s="53">
        <v>160.19999999999999</v>
      </c>
      <c r="M78" s="53">
        <v>63.6</v>
      </c>
      <c r="N78" s="53">
        <f t="shared" si="3"/>
        <v>24.781756886289148</v>
      </c>
      <c r="O78" s="50">
        <v>109</v>
      </c>
      <c r="P78" s="50">
        <v>80</v>
      </c>
      <c r="Q78" s="53">
        <v>42.2</v>
      </c>
      <c r="R78" s="50" t="s">
        <v>4</v>
      </c>
      <c r="S78" s="50"/>
      <c r="T78" s="50">
        <v>96</v>
      </c>
      <c r="U78" s="50">
        <v>155</v>
      </c>
      <c r="V78" s="50">
        <v>134</v>
      </c>
      <c r="W78" s="50">
        <v>24</v>
      </c>
      <c r="X78" s="50">
        <v>34</v>
      </c>
      <c r="Y78" s="54">
        <v>5.5</v>
      </c>
      <c r="Z78" s="50" t="s">
        <v>4</v>
      </c>
      <c r="AA78" s="50"/>
      <c r="AB78" s="50" t="s">
        <v>4</v>
      </c>
      <c r="AC78" s="50"/>
      <c r="AD78" s="50" t="s">
        <v>4</v>
      </c>
      <c r="AE78" s="50"/>
      <c r="AF78" s="50"/>
      <c r="AG78" s="50"/>
      <c r="AH78" s="50"/>
      <c r="AI78" s="50" t="s">
        <v>137</v>
      </c>
      <c r="AJ78" s="50" t="s">
        <v>231</v>
      </c>
      <c r="AK78" s="25">
        <v>46220</v>
      </c>
      <c r="AL78" s="25"/>
      <c r="AM78" s="27"/>
      <c r="AN78" s="48" t="str">
        <f t="shared" ca="1" si="1"/>
        <v>ยังไม่หมด</v>
      </c>
      <c r="AO78" s="47">
        <f t="shared" ca="1" si="2"/>
        <v>332</v>
      </c>
      <c r="AP78" s="47"/>
    </row>
    <row r="79" spans="1:42" ht="15.75" customHeight="1">
      <c r="A79" s="50" t="s">
        <v>728</v>
      </c>
      <c r="B79" s="50" t="s">
        <v>729</v>
      </c>
      <c r="C79" s="50" t="s">
        <v>730</v>
      </c>
      <c r="D79" s="50" t="s">
        <v>64</v>
      </c>
      <c r="E79" s="50" t="s">
        <v>23</v>
      </c>
      <c r="F79" s="51" t="s">
        <v>687</v>
      </c>
      <c r="G79" s="50" t="s">
        <v>678</v>
      </c>
      <c r="H79" s="52">
        <v>28229</v>
      </c>
      <c r="I79" s="50">
        <f t="shared" ca="1" si="0"/>
        <v>49</v>
      </c>
      <c r="J79" s="50" t="s">
        <v>24</v>
      </c>
      <c r="K79" s="52">
        <v>46011</v>
      </c>
      <c r="L79" s="53">
        <v>178</v>
      </c>
      <c r="M79" s="53">
        <v>71.2</v>
      </c>
      <c r="N79" s="53">
        <f t="shared" si="3"/>
        <v>22.471910112359552</v>
      </c>
      <c r="O79" s="50">
        <v>111</v>
      </c>
      <c r="P79" s="50">
        <v>70</v>
      </c>
      <c r="Q79" s="53">
        <v>43</v>
      </c>
      <c r="R79" s="50" t="s">
        <v>8</v>
      </c>
      <c r="S79" s="97" t="s">
        <v>620</v>
      </c>
      <c r="T79" s="74">
        <v>101</v>
      </c>
      <c r="U79" s="76">
        <v>78</v>
      </c>
      <c r="V79" s="76">
        <v>83</v>
      </c>
      <c r="W79" s="50">
        <v>29</v>
      </c>
      <c r="X79" s="50">
        <v>39</v>
      </c>
      <c r="Y79" s="54">
        <v>7.3</v>
      </c>
      <c r="Z79" s="50" t="s">
        <v>4</v>
      </c>
      <c r="AA79" s="97"/>
      <c r="AB79" s="50" t="s">
        <v>4</v>
      </c>
      <c r="AC79" s="97"/>
      <c r="AD79" s="50" t="s">
        <v>4</v>
      </c>
      <c r="AE79" s="97"/>
      <c r="AF79" s="50" t="s">
        <v>4</v>
      </c>
      <c r="AG79" s="97"/>
      <c r="AH79" s="50"/>
      <c r="AI79" s="50" t="s">
        <v>137</v>
      </c>
      <c r="AJ79" s="50" t="s">
        <v>731</v>
      </c>
      <c r="AK79" s="25">
        <v>45665</v>
      </c>
      <c r="AL79" s="25"/>
      <c r="AM79" s="27"/>
      <c r="AN79" s="30" t="str">
        <f t="shared" ca="1" si="1"/>
        <v>ยังไม่หมด</v>
      </c>
      <c r="AO79" s="47">
        <f t="shared" ca="1" si="2"/>
        <v>124</v>
      </c>
      <c r="AP79" s="47"/>
    </row>
    <row r="80" spans="1:42" ht="17.25" customHeight="1">
      <c r="A80" s="104" t="s">
        <v>732</v>
      </c>
      <c r="B80" s="104" t="s">
        <v>733</v>
      </c>
      <c r="C80" s="104" t="s">
        <v>734</v>
      </c>
      <c r="D80" s="104" t="s">
        <v>64</v>
      </c>
      <c r="E80" s="104" t="s">
        <v>23</v>
      </c>
      <c r="F80" s="152" t="s">
        <v>677</v>
      </c>
      <c r="G80" s="104" t="s">
        <v>678</v>
      </c>
      <c r="H80" s="153">
        <v>31638</v>
      </c>
      <c r="I80" s="104">
        <f t="shared" ca="1" si="0"/>
        <v>40</v>
      </c>
      <c r="J80" s="104" t="s">
        <v>3</v>
      </c>
      <c r="K80" s="153">
        <v>46091</v>
      </c>
      <c r="L80" s="154">
        <v>167.4</v>
      </c>
      <c r="M80" s="154">
        <v>63.95</v>
      </c>
      <c r="N80" s="154">
        <f t="shared" si="3"/>
        <v>22.820735716253498</v>
      </c>
      <c r="O80" s="104">
        <v>110</v>
      </c>
      <c r="P80" s="104">
        <v>72</v>
      </c>
      <c r="Q80" s="154">
        <v>44.6</v>
      </c>
      <c r="R80" s="104" t="s">
        <v>4</v>
      </c>
      <c r="S80" s="155"/>
      <c r="T80" s="155">
        <v>103</v>
      </c>
      <c r="U80" s="155">
        <v>202</v>
      </c>
      <c r="V80" s="155">
        <v>189</v>
      </c>
      <c r="W80" s="155">
        <v>18</v>
      </c>
      <c r="X80" s="155">
        <v>18</v>
      </c>
      <c r="Y80" s="156">
        <v>7.2</v>
      </c>
      <c r="Z80" s="104" t="s">
        <v>4</v>
      </c>
      <c r="AA80" s="155"/>
      <c r="AB80" s="104" t="s">
        <v>4</v>
      </c>
      <c r="AC80" s="155"/>
      <c r="AD80" s="104" t="s">
        <v>4</v>
      </c>
      <c r="AE80" s="155"/>
      <c r="AF80" s="155"/>
      <c r="AG80" s="155"/>
      <c r="AH80" s="155" t="s">
        <v>735</v>
      </c>
      <c r="AI80" s="155" t="s">
        <v>736</v>
      </c>
      <c r="AJ80" s="155" t="s">
        <v>737</v>
      </c>
      <c r="AK80" s="157">
        <v>46226</v>
      </c>
      <c r="AL80" s="158"/>
      <c r="AM80" s="27"/>
      <c r="AN80" s="30"/>
      <c r="AO80" s="30"/>
      <c r="AP80" s="30"/>
    </row>
    <row r="81" spans="1:42" ht="15" customHeight="1">
      <c r="A81" s="50" t="s">
        <v>738</v>
      </c>
      <c r="B81" s="50" t="s">
        <v>739</v>
      </c>
      <c r="C81" s="50" t="s">
        <v>740</v>
      </c>
      <c r="D81" s="50" t="s">
        <v>64</v>
      </c>
      <c r="E81" s="50" t="s">
        <v>23</v>
      </c>
      <c r="F81" s="51" t="s">
        <v>741</v>
      </c>
      <c r="G81" s="50" t="s">
        <v>134</v>
      </c>
      <c r="H81" s="52">
        <v>30272</v>
      </c>
      <c r="I81" s="50">
        <f t="shared" ca="1" si="0"/>
        <v>44</v>
      </c>
      <c r="J81" s="50" t="s">
        <v>3</v>
      </c>
      <c r="K81" s="159">
        <v>46071</v>
      </c>
      <c r="L81" s="160">
        <v>170</v>
      </c>
      <c r="M81" s="160">
        <v>76</v>
      </c>
      <c r="N81" s="53">
        <f t="shared" si="3"/>
        <v>26.297577854671282</v>
      </c>
      <c r="O81" s="73">
        <v>117</v>
      </c>
      <c r="P81" s="73">
        <v>81</v>
      </c>
      <c r="Q81" s="160">
        <v>43.2</v>
      </c>
      <c r="R81" s="50" t="s">
        <v>4</v>
      </c>
      <c r="S81" s="50"/>
      <c r="T81" s="73">
        <v>97</v>
      </c>
      <c r="U81" s="73">
        <v>73</v>
      </c>
      <c r="V81" s="73">
        <v>102</v>
      </c>
      <c r="W81" s="73">
        <v>32</v>
      </c>
      <c r="X81" s="73">
        <v>40</v>
      </c>
      <c r="Y81" s="161">
        <v>7.5</v>
      </c>
      <c r="Z81" s="50" t="s">
        <v>4</v>
      </c>
      <c r="AA81" s="50"/>
      <c r="AB81" s="73" t="s">
        <v>4</v>
      </c>
      <c r="AC81" s="50"/>
      <c r="AD81" s="50" t="s">
        <v>8</v>
      </c>
      <c r="AE81" s="73" t="s">
        <v>742</v>
      </c>
      <c r="AF81" s="50"/>
      <c r="AG81" s="50"/>
      <c r="AH81" s="73" t="s">
        <v>743</v>
      </c>
      <c r="AI81" s="50" t="s">
        <v>137</v>
      </c>
      <c r="AJ81" s="73" t="s">
        <v>744</v>
      </c>
      <c r="AK81" s="25">
        <v>46202</v>
      </c>
      <c r="AL81" s="55"/>
      <c r="AM81" s="47"/>
      <c r="AN81" s="30" t="str">
        <f t="shared" ref="AN81:AN163" ca="1" si="10">IF(K81+364&lt;TODAY(),
 "หมดอายุ",
 IF(K81+365-TODAY()&lt;=30,
  "ใกล้หมดอายุ 1 เดือน",
  IF(K81+365-TODAY()&lt;=90,
   "ใกล้หมด 3 เดือน",
   "ยังไม่หมด"
  )
 )
)</f>
        <v>ยังไม่หมด</v>
      </c>
      <c r="AO81" s="47">
        <f t="shared" ref="AO81:AO163" ca="1" si="11">MAX(0, (K81+364) - TODAY())</f>
        <v>184</v>
      </c>
      <c r="AP81" s="47"/>
    </row>
    <row r="82" spans="1:42" ht="15.75" customHeight="1">
      <c r="A82" s="23" t="s">
        <v>745</v>
      </c>
      <c r="B82" s="23" t="s">
        <v>746</v>
      </c>
      <c r="C82" s="23" t="s">
        <v>747</v>
      </c>
      <c r="D82" s="23" t="s">
        <v>64</v>
      </c>
      <c r="E82" s="23" t="s">
        <v>23</v>
      </c>
      <c r="F82" s="26" t="s">
        <v>741</v>
      </c>
      <c r="G82" s="23" t="s">
        <v>134</v>
      </c>
      <c r="H82" s="28">
        <v>33166</v>
      </c>
      <c r="I82" s="23">
        <f t="shared" ca="1" si="0"/>
        <v>36</v>
      </c>
      <c r="J82" s="23" t="s">
        <v>748</v>
      </c>
      <c r="K82" s="28">
        <v>46056</v>
      </c>
      <c r="L82" s="31">
        <v>186</v>
      </c>
      <c r="M82" s="31">
        <v>106.4</v>
      </c>
      <c r="N82" s="31">
        <f t="shared" si="3"/>
        <v>30.755000578101512</v>
      </c>
      <c r="O82" s="23">
        <v>138</v>
      </c>
      <c r="P82" s="23">
        <v>88</v>
      </c>
      <c r="Q82" s="31">
        <v>39.200000000000003</v>
      </c>
      <c r="R82" s="23" t="s">
        <v>8</v>
      </c>
      <c r="S82" s="23" t="s">
        <v>749</v>
      </c>
      <c r="T82" s="23">
        <v>90</v>
      </c>
      <c r="U82" s="23">
        <v>123</v>
      </c>
      <c r="V82" s="23">
        <v>90</v>
      </c>
      <c r="W82" s="23">
        <v>24</v>
      </c>
      <c r="X82" s="23">
        <v>23</v>
      </c>
      <c r="Y82" s="37">
        <v>6.3</v>
      </c>
      <c r="Z82" s="23" t="s">
        <v>4</v>
      </c>
      <c r="AA82" s="23"/>
      <c r="AB82" s="23" t="s">
        <v>4</v>
      </c>
      <c r="AC82" s="23"/>
      <c r="AD82" s="23" t="s">
        <v>8</v>
      </c>
      <c r="AE82" s="23" t="s">
        <v>750</v>
      </c>
      <c r="AF82" s="23"/>
      <c r="AG82" s="23"/>
      <c r="AH82" s="23" t="s">
        <v>751</v>
      </c>
      <c r="AI82" s="23" t="s">
        <v>154</v>
      </c>
      <c r="AJ82" s="23" t="s">
        <v>380</v>
      </c>
      <c r="AK82" s="58">
        <v>46098</v>
      </c>
      <c r="AL82" s="46" t="str">
        <f ca="1">IF((AK82+180)&lt;TODAY(),"เลยกำหนด",IF((AK82+180)-TODAY()&lt;=30,"ใกล้ถึง","ยังไม่ถึง"))</f>
        <v>ใกล้ถึง</v>
      </c>
      <c r="AM82" s="47">
        <f ca="1">MAX(0, (AK82+180) - TODAY())</f>
        <v>27</v>
      </c>
      <c r="AN82" s="30" t="str">
        <f t="shared" ca="1" si="10"/>
        <v>ยังไม่หมด</v>
      </c>
      <c r="AO82" s="47">
        <f t="shared" ca="1" si="11"/>
        <v>169</v>
      </c>
      <c r="AP82" s="47"/>
    </row>
    <row r="83" spans="1:42" ht="15.75" customHeight="1">
      <c r="A83" s="23" t="s">
        <v>752</v>
      </c>
      <c r="B83" s="23" t="s">
        <v>753</v>
      </c>
      <c r="C83" s="23" t="s">
        <v>754</v>
      </c>
      <c r="D83" s="23" t="s">
        <v>64</v>
      </c>
      <c r="E83" s="23" t="s">
        <v>23</v>
      </c>
      <c r="F83" s="26" t="s">
        <v>325</v>
      </c>
      <c r="G83" s="23" t="s">
        <v>328</v>
      </c>
      <c r="H83" s="28">
        <v>29823</v>
      </c>
      <c r="I83" s="23">
        <f t="shared" ca="1" si="0"/>
        <v>45</v>
      </c>
      <c r="J83" s="23" t="s">
        <v>7</v>
      </c>
      <c r="K83" s="28">
        <v>46160</v>
      </c>
      <c r="L83" s="31">
        <v>176</v>
      </c>
      <c r="M83" s="31">
        <v>78.650000000000006</v>
      </c>
      <c r="N83" s="31">
        <f t="shared" si="3"/>
        <v>25.390625000000004</v>
      </c>
      <c r="O83" s="23">
        <v>123</v>
      </c>
      <c r="P83" s="23">
        <v>70</v>
      </c>
      <c r="Q83" s="31">
        <v>47.6</v>
      </c>
      <c r="R83" s="23" t="s">
        <v>4</v>
      </c>
      <c r="S83" s="23"/>
      <c r="T83" s="23">
        <v>97</v>
      </c>
      <c r="U83" s="23">
        <v>211</v>
      </c>
      <c r="V83" s="23">
        <v>202</v>
      </c>
      <c r="W83" s="23">
        <v>15</v>
      </c>
      <c r="X83" s="23">
        <v>15</v>
      </c>
      <c r="Y83" s="37">
        <v>7.3</v>
      </c>
      <c r="Z83" s="23" t="s">
        <v>4</v>
      </c>
      <c r="AA83" s="23"/>
      <c r="AB83" s="23" t="s">
        <v>4</v>
      </c>
      <c r="AC83" s="23"/>
      <c r="AD83" s="23" t="s">
        <v>8</v>
      </c>
      <c r="AE83" s="23" t="s">
        <v>755</v>
      </c>
      <c r="AF83" s="23"/>
      <c r="AG83" s="23"/>
      <c r="AH83" s="23" t="s">
        <v>756</v>
      </c>
      <c r="AI83" s="62" t="s">
        <v>218</v>
      </c>
      <c r="AJ83" s="62" t="s">
        <v>757</v>
      </c>
      <c r="AK83" s="63">
        <v>46170</v>
      </c>
      <c r="AL83" s="46" t="str">
        <f ca="1">IF((AK83+90)&lt;TODAY(),"เลยกำหนด",IF((AK83+90)-TODAY()&lt;=30,"ใกล้ถึง","ยังไม่ถึง"))</f>
        <v>ใกล้ถึง</v>
      </c>
      <c r="AM83" s="47">
        <f ca="1">MAX(0, (AK83+90) - TODAY())</f>
        <v>9</v>
      </c>
      <c r="AN83" s="30" t="str">
        <f t="shared" ca="1" si="10"/>
        <v>ยังไม่หมด</v>
      </c>
      <c r="AO83" s="47">
        <f t="shared" ca="1" si="11"/>
        <v>273</v>
      </c>
      <c r="AP83" s="47"/>
    </row>
    <row r="84" spans="1:42" ht="15.75" customHeight="1">
      <c r="A84" s="50" t="s">
        <v>758</v>
      </c>
      <c r="B84" s="50" t="s">
        <v>759</v>
      </c>
      <c r="C84" s="50" t="s">
        <v>760</v>
      </c>
      <c r="D84" s="50" t="s">
        <v>64</v>
      </c>
      <c r="E84" s="50" t="s">
        <v>23</v>
      </c>
      <c r="F84" s="51" t="s">
        <v>325</v>
      </c>
      <c r="G84" s="50" t="s">
        <v>328</v>
      </c>
      <c r="H84" s="52">
        <v>29758</v>
      </c>
      <c r="I84" s="50">
        <f t="shared" ca="1" si="0"/>
        <v>45</v>
      </c>
      <c r="J84" s="50" t="s">
        <v>3</v>
      </c>
      <c r="K84" s="52">
        <v>46220</v>
      </c>
      <c r="L84" s="53">
        <v>164</v>
      </c>
      <c r="M84" s="53">
        <v>72.099999999999994</v>
      </c>
      <c r="N84" s="53">
        <f t="shared" si="3"/>
        <v>26.806960142772152</v>
      </c>
      <c r="O84" s="50">
        <v>122</v>
      </c>
      <c r="P84" s="50">
        <v>72</v>
      </c>
      <c r="Q84" s="53">
        <v>46.8</v>
      </c>
      <c r="R84" s="50" t="s">
        <v>4</v>
      </c>
      <c r="S84" s="50"/>
      <c r="T84" s="74">
        <v>107</v>
      </c>
      <c r="U84" s="50">
        <v>138</v>
      </c>
      <c r="V84" s="76">
        <v>105</v>
      </c>
      <c r="W84" s="50">
        <v>32</v>
      </c>
      <c r="X84" s="50">
        <v>28</v>
      </c>
      <c r="Y84" s="118">
        <v>7</v>
      </c>
      <c r="Z84" s="50" t="s">
        <v>4</v>
      </c>
      <c r="AA84" s="50"/>
      <c r="AB84" s="50" t="s">
        <v>8</v>
      </c>
      <c r="AC84" s="50" t="s">
        <v>135</v>
      </c>
      <c r="AD84" s="50" t="s">
        <v>8</v>
      </c>
      <c r="AE84" s="50" t="s">
        <v>761</v>
      </c>
      <c r="AF84" s="50"/>
      <c r="AG84" s="50"/>
      <c r="AH84" s="50" t="s">
        <v>762</v>
      </c>
      <c r="AI84" s="50" t="s">
        <v>137</v>
      </c>
      <c r="AJ84" s="50" t="s">
        <v>139</v>
      </c>
      <c r="AK84" s="25">
        <v>46220</v>
      </c>
      <c r="AL84" s="25"/>
      <c r="AM84" s="27"/>
      <c r="AN84" s="30" t="str">
        <f t="shared" ca="1" si="10"/>
        <v>ยังไม่หมด</v>
      </c>
      <c r="AO84" s="47">
        <f t="shared" ca="1" si="11"/>
        <v>333</v>
      </c>
      <c r="AP84" s="47"/>
    </row>
    <row r="85" spans="1:42" ht="15.75" customHeight="1">
      <c r="A85" s="23" t="s">
        <v>763</v>
      </c>
      <c r="B85" s="23" t="s">
        <v>764</v>
      </c>
      <c r="C85" s="23" t="s">
        <v>765</v>
      </c>
      <c r="D85" s="23" t="s">
        <v>64</v>
      </c>
      <c r="E85" s="23" t="s">
        <v>23</v>
      </c>
      <c r="F85" s="26" t="s">
        <v>325</v>
      </c>
      <c r="G85" s="23" t="s">
        <v>328</v>
      </c>
      <c r="H85" s="28">
        <v>30052</v>
      </c>
      <c r="I85" s="23">
        <f t="shared" ca="1" si="0"/>
        <v>44</v>
      </c>
      <c r="J85" s="23" t="s">
        <v>3</v>
      </c>
      <c r="K85" s="28">
        <v>46169</v>
      </c>
      <c r="L85" s="31">
        <v>173.7</v>
      </c>
      <c r="M85" s="31">
        <v>73.45</v>
      </c>
      <c r="N85" s="31">
        <f t="shared" si="3"/>
        <v>24.344012549512478</v>
      </c>
      <c r="O85" s="23">
        <v>133</v>
      </c>
      <c r="P85" s="23">
        <v>79</v>
      </c>
      <c r="Q85" s="31">
        <v>44</v>
      </c>
      <c r="R85" s="23" t="s">
        <v>4</v>
      </c>
      <c r="S85" s="23"/>
      <c r="T85" s="23">
        <v>106</v>
      </c>
      <c r="U85" s="23">
        <v>67</v>
      </c>
      <c r="V85" s="23">
        <v>65</v>
      </c>
      <c r="W85" s="23">
        <v>43</v>
      </c>
      <c r="X85" s="23">
        <v>65</v>
      </c>
      <c r="Y85" s="37">
        <v>3.6</v>
      </c>
      <c r="Z85" s="23" t="s">
        <v>4</v>
      </c>
      <c r="AA85" s="23"/>
      <c r="AB85" s="23" t="s">
        <v>4</v>
      </c>
      <c r="AC85" s="23"/>
      <c r="AD85" s="23" t="s">
        <v>4</v>
      </c>
      <c r="AE85" s="23"/>
      <c r="AF85" s="23"/>
      <c r="AG85" s="23"/>
      <c r="AH85" s="23"/>
      <c r="AI85" s="23" t="s">
        <v>154</v>
      </c>
      <c r="AJ85" s="23" t="s">
        <v>766</v>
      </c>
      <c r="AK85" s="58">
        <v>46177</v>
      </c>
      <c r="AL85" s="46" t="str">
        <f ca="1">IF((AK85+90)&lt;TODAY(),"เลยกำหนด",IF((AK85+90)-TODAY()&lt;=30,"ใกล้ถึง","ยังไม่ถึง"))</f>
        <v>ใกล้ถึง</v>
      </c>
      <c r="AM85" s="47">
        <f ca="1">MAX(0, (AK85+90) - TODAY())</f>
        <v>16</v>
      </c>
      <c r="AN85" s="30" t="str">
        <f t="shared" ca="1" si="10"/>
        <v>ยังไม่หมด</v>
      </c>
      <c r="AO85" s="47">
        <f t="shared" ca="1" si="11"/>
        <v>282</v>
      </c>
      <c r="AP85" s="47"/>
    </row>
    <row r="86" spans="1:42" ht="15" customHeight="1">
      <c r="A86" s="50" t="s">
        <v>767</v>
      </c>
      <c r="B86" s="50" t="s">
        <v>768</v>
      </c>
      <c r="C86" s="50" t="s">
        <v>769</v>
      </c>
      <c r="D86" s="50" t="s">
        <v>64</v>
      </c>
      <c r="E86" s="50" t="s">
        <v>23</v>
      </c>
      <c r="F86" s="51" t="s">
        <v>325</v>
      </c>
      <c r="G86" s="50" t="s">
        <v>328</v>
      </c>
      <c r="H86" s="52">
        <v>31683</v>
      </c>
      <c r="I86" s="50">
        <f t="shared" ca="1" si="0"/>
        <v>40</v>
      </c>
      <c r="J86" s="50" t="s">
        <v>3</v>
      </c>
      <c r="K86" s="52">
        <v>46193</v>
      </c>
      <c r="L86" s="53">
        <v>170</v>
      </c>
      <c r="M86" s="53">
        <v>58.7</v>
      </c>
      <c r="N86" s="53">
        <f t="shared" si="3"/>
        <v>20.311418685121112</v>
      </c>
      <c r="O86" s="50">
        <v>125</v>
      </c>
      <c r="P86" s="50">
        <v>85</v>
      </c>
      <c r="Q86" s="53">
        <v>39</v>
      </c>
      <c r="R86" s="50" t="s">
        <v>4</v>
      </c>
      <c r="S86" s="50"/>
      <c r="T86" s="50">
        <v>101</v>
      </c>
      <c r="U86" s="50">
        <v>77</v>
      </c>
      <c r="V86" s="50">
        <v>30</v>
      </c>
      <c r="W86" s="50">
        <v>27</v>
      </c>
      <c r="X86" s="50">
        <v>12</v>
      </c>
      <c r="Y86" s="54">
        <v>4</v>
      </c>
      <c r="Z86" s="50" t="s">
        <v>8</v>
      </c>
      <c r="AA86" s="50" t="s">
        <v>770</v>
      </c>
      <c r="AB86" s="50" t="s">
        <v>4</v>
      </c>
      <c r="AC86" s="50"/>
      <c r="AD86" s="50" t="s">
        <v>4</v>
      </c>
      <c r="AE86" s="50"/>
      <c r="AF86" s="50"/>
      <c r="AG86" s="50"/>
      <c r="AH86" s="50"/>
      <c r="AI86" s="50" t="s">
        <v>137</v>
      </c>
      <c r="AJ86" s="50" t="s">
        <v>231</v>
      </c>
      <c r="AK86" s="25">
        <v>46168</v>
      </c>
      <c r="AL86" s="25"/>
      <c r="AM86" s="27"/>
      <c r="AN86" s="48" t="str">
        <f t="shared" ca="1" si="10"/>
        <v>ยังไม่หมด</v>
      </c>
      <c r="AO86" s="47">
        <f t="shared" ca="1" si="11"/>
        <v>306</v>
      </c>
      <c r="AP86" s="47"/>
    </row>
    <row r="87" spans="1:42" ht="15.75" customHeight="1">
      <c r="A87" s="23" t="s">
        <v>771</v>
      </c>
      <c r="B87" s="23" t="s">
        <v>772</v>
      </c>
      <c r="C87" s="23" t="s">
        <v>773</v>
      </c>
      <c r="D87" s="23" t="s">
        <v>64</v>
      </c>
      <c r="E87" s="23" t="s">
        <v>23</v>
      </c>
      <c r="F87" s="26" t="s">
        <v>325</v>
      </c>
      <c r="G87" s="23" t="s">
        <v>328</v>
      </c>
      <c r="H87" s="28">
        <v>26580</v>
      </c>
      <c r="I87" s="23">
        <f t="shared" ca="1" si="0"/>
        <v>54</v>
      </c>
      <c r="J87" s="23" t="s">
        <v>3</v>
      </c>
      <c r="K87" s="28">
        <v>46237</v>
      </c>
      <c r="L87" s="31">
        <v>164</v>
      </c>
      <c r="M87" s="31">
        <v>59.3</v>
      </c>
      <c r="N87" s="31">
        <f t="shared" si="3"/>
        <v>22.047888161808444</v>
      </c>
      <c r="O87" s="23">
        <v>131</v>
      </c>
      <c r="P87" s="23">
        <v>80</v>
      </c>
      <c r="Q87" s="31">
        <v>39.6</v>
      </c>
      <c r="R87" s="23" t="s">
        <v>4</v>
      </c>
      <c r="S87" s="23"/>
      <c r="T87" s="23">
        <v>96</v>
      </c>
      <c r="U87" s="23">
        <v>114</v>
      </c>
      <c r="V87" s="23">
        <v>48</v>
      </c>
      <c r="W87" s="23">
        <v>25</v>
      </c>
      <c r="X87" s="23">
        <v>17</v>
      </c>
      <c r="Y87" s="37">
        <v>5.4</v>
      </c>
      <c r="Z87" s="23" t="s">
        <v>4</v>
      </c>
      <c r="AA87" s="23"/>
      <c r="AB87" s="23" t="s">
        <v>4</v>
      </c>
      <c r="AC87" s="23"/>
      <c r="AD87" s="23" t="s">
        <v>8</v>
      </c>
      <c r="AE87" s="23" t="s">
        <v>774</v>
      </c>
      <c r="AF87" s="23"/>
      <c r="AG87" s="23"/>
      <c r="AH87" s="23" t="s">
        <v>775</v>
      </c>
      <c r="AI87" s="23" t="s">
        <v>154</v>
      </c>
      <c r="AJ87" s="23" t="s">
        <v>776</v>
      </c>
      <c r="AK87" s="58">
        <v>46240</v>
      </c>
      <c r="AL87" s="46" t="str">
        <f ca="1">IF((AK87+90)&lt;TODAY(),"เลยกำหนด",IF((AK87+90)-TODAY()&lt;=30,"ใกล้ถึง","ยังไม่ถึง"))</f>
        <v>ยังไม่ถึง</v>
      </c>
      <c r="AM87" s="47">
        <f ca="1">MAX(0, (AK87+90) - TODAY())</f>
        <v>79</v>
      </c>
      <c r="AN87" s="30" t="str">
        <f t="shared" ca="1" si="10"/>
        <v>ยังไม่หมด</v>
      </c>
      <c r="AO87" s="47">
        <f t="shared" ca="1" si="11"/>
        <v>350</v>
      </c>
      <c r="AP87" s="47"/>
    </row>
    <row r="88" spans="1:42" ht="15.75" customHeight="1">
      <c r="A88" s="50" t="s">
        <v>777</v>
      </c>
      <c r="B88" s="50" t="s">
        <v>778</v>
      </c>
      <c r="C88" s="50" t="s">
        <v>779</v>
      </c>
      <c r="D88" s="50" t="s">
        <v>64</v>
      </c>
      <c r="E88" s="50" t="s">
        <v>23</v>
      </c>
      <c r="F88" s="51" t="s">
        <v>325</v>
      </c>
      <c r="G88" s="50" t="s">
        <v>328</v>
      </c>
      <c r="H88" s="52">
        <v>32973</v>
      </c>
      <c r="I88" s="50">
        <f t="shared" ca="1" si="0"/>
        <v>36</v>
      </c>
      <c r="J88" s="50" t="s">
        <v>3</v>
      </c>
      <c r="K88" s="52">
        <v>46134</v>
      </c>
      <c r="L88" s="53">
        <v>169</v>
      </c>
      <c r="M88" s="53">
        <v>74.900000000000006</v>
      </c>
      <c r="N88" s="53">
        <f t="shared" si="3"/>
        <v>26.224571968768604</v>
      </c>
      <c r="O88" s="50">
        <v>139</v>
      </c>
      <c r="P88" s="50">
        <v>70</v>
      </c>
      <c r="Q88" s="53">
        <v>45.1</v>
      </c>
      <c r="R88" s="50" t="s">
        <v>4</v>
      </c>
      <c r="S88" s="50"/>
      <c r="T88" s="50">
        <v>89</v>
      </c>
      <c r="U88" s="50">
        <v>122</v>
      </c>
      <c r="V88" s="50">
        <v>85</v>
      </c>
      <c r="W88" s="50">
        <v>22</v>
      </c>
      <c r="X88" s="50">
        <v>20</v>
      </c>
      <c r="Y88" s="54">
        <v>9.8000000000000007</v>
      </c>
      <c r="Z88" s="50" t="s">
        <v>8</v>
      </c>
      <c r="AA88" s="50" t="s">
        <v>780</v>
      </c>
      <c r="AB88" s="50" t="s">
        <v>4</v>
      </c>
      <c r="AC88" s="50"/>
      <c r="AD88" s="50" t="s">
        <v>8</v>
      </c>
      <c r="AE88" s="50" t="s">
        <v>781</v>
      </c>
      <c r="AF88" s="50" t="s">
        <v>4</v>
      </c>
      <c r="AG88" s="50"/>
      <c r="AH88" s="50" t="s">
        <v>782</v>
      </c>
      <c r="AI88" s="50" t="s">
        <v>137</v>
      </c>
      <c r="AJ88" s="50" t="s">
        <v>621</v>
      </c>
      <c r="AK88" s="25">
        <v>46224</v>
      </c>
      <c r="AL88" s="55"/>
      <c r="AM88" s="47"/>
      <c r="AN88" s="30" t="str">
        <f t="shared" ca="1" si="10"/>
        <v>ยังไม่หมด</v>
      </c>
      <c r="AO88" s="47">
        <f t="shared" ca="1" si="11"/>
        <v>247</v>
      </c>
      <c r="AP88" s="47"/>
    </row>
    <row r="89" spans="1:42" ht="15.75" customHeight="1">
      <c r="A89" s="50" t="s">
        <v>783</v>
      </c>
      <c r="B89" s="50" t="s">
        <v>784</v>
      </c>
      <c r="C89" s="50" t="s">
        <v>785</v>
      </c>
      <c r="D89" s="50" t="s">
        <v>64</v>
      </c>
      <c r="E89" s="50" t="s">
        <v>23</v>
      </c>
      <c r="F89" s="100" t="s">
        <v>325</v>
      </c>
      <c r="G89" s="50" t="s">
        <v>328</v>
      </c>
      <c r="H89" s="52">
        <v>30848</v>
      </c>
      <c r="I89" s="50">
        <f t="shared" ca="1" si="0"/>
        <v>42</v>
      </c>
      <c r="J89" s="50" t="s">
        <v>7</v>
      </c>
      <c r="K89" s="52">
        <v>46149</v>
      </c>
      <c r="L89" s="53">
        <v>172</v>
      </c>
      <c r="M89" s="53">
        <v>78.7</v>
      </c>
      <c r="N89" s="53">
        <f t="shared" si="3"/>
        <v>26.602217414818824</v>
      </c>
      <c r="O89" s="50">
        <v>138</v>
      </c>
      <c r="P89" s="50">
        <v>84</v>
      </c>
      <c r="Q89" s="53">
        <v>47</v>
      </c>
      <c r="R89" s="50" t="s">
        <v>4</v>
      </c>
      <c r="S89" s="50"/>
      <c r="T89" s="76">
        <v>135</v>
      </c>
      <c r="U89" s="50">
        <v>177</v>
      </c>
      <c r="V89" s="76">
        <v>100</v>
      </c>
      <c r="W89" s="76">
        <v>20</v>
      </c>
      <c r="X89" s="76">
        <v>28</v>
      </c>
      <c r="Y89" s="54">
        <v>4.2</v>
      </c>
      <c r="Z89" s="50" t="s">
        <v>4</v>
      </c>
      <c r="AA89" s="50" t="s">
        <v>135</v>
      </c>
      <c r="AB89" s="50" t="s">
        <v>4</v>
      </c>
      <c r="AC89" s="50"/>
      <c r="AD89" s="50" t="s">
        <v>8</v>
      </c>
      <c r="AE89" s="50" t="s">
        <v>786</v>
      </c>
      <c r="AF89" s="50"/>
      <c r="AG89" s="50"/>
      <c r="AH89" s="50" t="s">
        <v>787</v>
      </c>
      <c r="AI89" s="82" t="s">
        <v>137</v>
      </c>
      <c r="AJ89" s="50" t="s">
        <v>254</v>
      </c>
      <c r="AK89" s="25">
        <v>46197</v>
      </c>
      <c r="AL89" s="55"/>
      <c r="AM89" s="47"/>
      <c r="AN89" s="30" t="str">
        <f t="shared" ca="1" si="10"/>
        <v>ยังไม่หมด</v>
      </c>
      <c r="AO89" s="47">
        <f t="shared" ca="1" si="11"/>
        <v>262</v>
      </c>
      <c r="AP89" s="47"/>
    </row>
    <row r="90" spans="1:42" ht="15.75" customHeight="1">
      <c r="A90" s="50" t="s">
        <v>788</v>
      </c>
      <c r="B90" s="50" t="s">
        <v>789</v>
      </c>
      <c r="C90" s="50" t="s">
        <v>790</v>
      </c>
      <c r="D90" s="50" t="s">
        <v>64</v>
      </c>
      <c r="E90" s="50" t="s">
        <v>23</v>
      </c>
      <c r="F90" s="100" t="s">
        <v>325</v>
      </c>
      <c r="G90" s="50" t="s">
        <v>328</v>
      </c>
      <c r="H90" s="52">
        <v>33910</v>
      </c>
      <c r="I90" s="50">
        <f t="shared" ca="1" si="0"/>
        <v>34</v>
      </c>
      <c r="J90" s="50" t="s">
        <v>3</v>
      </c>
      <c r="K90" s="52">
        <v>46177</v>
      </c>
      <c r="L90" s="53">
        <v>167</v>
      </c>
      <c r="M90" s="53">
        <v>61.6</v>
      </c>
      <c r="N90" s="53">
        <f t="shared" si="3"/>
        <v>22.087561404137833</v>
      </c>
      <c r="O90" s="50">
        <v>138</v>
      </c>
      <c r="P90" s="50">
        <v>80</v>
      </c>
      <c r="Q90" s="53">
        <v>43.8</v>
      </c>
      <c r="R90" s="50" t="s">
        <v>4</v>
      </c>
      <c r="S90" s="50"/>
      <c r="T90" s="50">
        <v>105</v>
      </c>
      <c r="U90" s="50">
        <v>131</v>
      </c>
      <c r="V90" s="50">
        <v>117</v>
      </c>
      <c r="W90" s="50">
        <v>21</v>
      </c>
      <c r="X90" s="50">
        <v>16</v>
      </c>
      <c r="Y90" s="54">
        <v>6.2</v>
      </c>
      <c r="Z90" s="50" t="s">
        <v>14</v>
      </c>
      <c r="AA90" s="50" t="s">
        <v>645</v>
      </c>
      <c r="AB90" s="50" t="s">
        <v>4</v>
      </c>
      <c r="AC90" s="50"/>
      <c r="AD90" s="50" t="s">
        <v>8</v>
      </c>
      <c r="AE90" s="50" t="s">
        <v>791</v>
      </c>
      <c r="AF90" s="50"/>
      <c r="AG90" s="50"/>
      <c r="AH90" s="50" t="s">
        <v>792</v>
      </c>
      <c r="AI90" s="50" t="s">
        <v>137</v>
      </c>
      <c r="AJ90" s="50" t="s">
        <v>231</v>
      </c>
      <c r="AK90" s="25">
        <v>46187</v>
      </c>
      <c r="AL90" s="25"/>
      <c r="AM90" s="27"/>
      <c r="AN90" s="30" t="str">
        <f t="shared" ca="1" si="10"/>
        <v>ยังไม่หมด</v>
      </c>
      <c r="AO90" s="47">
        <f t="shared" ca="1" si="11"/>
        <v>290</v>
      </c>
      <c r="AP90" s="47"/>
    </row>
    <row r="91" spans="1:42" ht="15.75" customHeight="1">
      <c r="A91" s="133" t="s">
        <v>793</v>
      </c>
      <c r="B91" s="50" t="s">
        <v>794</v>
      </c>
      <c r="C91" s="50" t="s">
        <v>795</v>
      </c>
      <c r="D91" s="50" t="s">
        <v>64</v>
      </c>
      <c r="E91" s="50" t="s">
        <v>23</v>
      </c>
      <c r="F91" s="100" t="s">
        <v>325</v>
      </c>
      <c r="G91" s="50" t="s">
        <v>328</v>
      </c>
      <c r="H91" s="52">
        <v>34647</v>
      </c>
      <c r="I91" s="50">
        <f t="shared" ca="1" si="0"/>
        <v>32</v>
      </c>
      <c r="J91" s="50" t="s">
        <v>24</v>
      </c>
      <c r="K91" s="134">
        <v>45915</v>
      </c>
      <c r="L91" s="53">
        <v>178</v>
      </c>
      <c r="M91" s="53">
        <v>71.3</v>
      </c>
      <c r="N91" s="53">
        <f t="shared" si="3"/>
        <v>22.50347178386567</v>
      </c>
      <c r="O91" s="50">
        <v>128</v>
      </c>
      <c r="P91" s="50">
        <v>89</v>
      </c>
      <c r="Q91" s="53">
        <v>46</v>
      </c>
      <c r="R91" s="50" t="s">
        <v>4</v>
      </c>
      <c r="S91" s="50"/>
      <c r="T91" s="50">
        <v>87</v>
      </c>
      <c r="U91" s="50">
        <v>146</v>
      </c>
      <c r="V91" s="50">
        <v>106</v>
      </c>
      <c r="W91" s="50">
        <v>26</v>
      </c>
      <c r="X91" s="50">
        <v>14</v>
      </c>
      <c r="Y91" s="54">
        <v>6.3</v>
      </c>
      <c r="Z91" s="50" t="s">
        <v>14</v>
      </c>
      <c r="AA91" s="50" t="s">
        <v>645</v>
      </c>
      <c r="AB91" s="50" t="s">
        <v>4</v>
      </c>
      <c r="AC91" s="50"/>
      <c r="AD91" s="50" t="s">
        <v>8</v>
      </c>
      <c r="AE91" s="50" t="s">
        <v>796</v>
      </c>
      <c r="AF91" s="50"/>
      <c r="AG91" s="50"/>
      <c r="AH91" s="6" t="s">
        <v>797</v>
      </c>
      <c r="AI91" s="50" t="s">
        <v>137</v>
      </c>
      <c r="AJ91" s="50" t="s">
        <v>798</v>
      </c>
      <c r="AK91" s="25">
        <v>45944</v>
      </c>
      <c r="AL91" s="74" t="s">
        <v>799</v>
      </c>
      <c r="AM91" s="27"/>
      <c r="AN91" s="30" t="str">
        <f t="shared" ca="1" si="10"/>
        <v>ใกล้หมดอายุ 1 เดือน</v>
      </c>
      <c r="AO91" s="47">
        <f t="shared" ca="1" si="11"/>
        <v>28</v>
      </c>
      <c r="AP91" s="47"/>
    </row>
    <row r="92" spans="1:42" ht="15.75" customHeight="1">
      <c r="A92" s="50" t="s">
        <v>800</v>
      </c>
      <c r="B92" s="50" t="s">
        <v>265</v>
      </c>
      <c r="C92" s="50" t="s">
        <v>801</v>
      </c>
      <c r="D92" s="50" t="s">
        <v>64</v>
      </c>
      <c r="E92" s="50" t="s">
        <v>23</v>
      </c>
      <c r="F92" s="100" t="s">
        <v>325</v>
      </c>
      <c r="G92" s="50" t="s">
        <v>328</v>
      </c>
      <c r="H92" s="52">
        <v>31904</v>
      </c>
      <c r="I92" s="50">
        <f t="shared" ca="1" si="0"/>
        <v>39</v>
      </c>
      <c r="J92" s="50" t="s">
        <v>3</v>
      </c>
      <c r="K92" s="52">
        <v>46168</v>
      </c>
      <c r="L92" s="53">
        <v>168</v>
      </c>
      <c r="M92" s="53">
        <v>78.599999999999994</v>
      </c>
      <c r="N92" s="53">
        <f t="shared" si="3"/>
        <v>27.848639455782315</v>
      </c>
      <c r="O92" s="50">
        <v>124</v>
      </c>
      <c r="P92" s="50">
        <v>88</v>
      </c>
      <c r="Q92" s="53">
        <v>47.2</v>
      </c>
      <c r="R92" s="50" t="s">
        <v>4</v>
      </c>
      <c r="S92" s="50"/>
      <c r="T92" s="50">
        <v>92</v>
      </c>
      <c r="U92" s="50">
        <v>137</v>
      </c>
      <c r="V92" s="50">
        <v>118</v>
      </c>
      <c r="W92" s="50">
        <v>24</v>
      </c>
      <c r="X92" s="50">
        <v>20</v>
      </c>
      <c r="Y92" s="54">
        <v>5.6</v>
      </c>
      <c r="Z92" s="50" t="s">
        <v>8</v>
      </c>
      <c r="AA92" s="50" t="s">
        <v>135</v>
      </c>
      <c r="AB92" s="50" t="s">
        <v>4</v>
      </c>
      <c r="AC92" s="50"/>
      <c r="AD92" s="50" t="s">
        <v>4</v>
      </c>
      <c r="AE92" s="50"/>
      <c r="AF92" s="50" t="s">
        <v>4</v>
      </c>
      <c r="AG92" s="50"/>
      <c r="AH92" s="76"/>
      <c r="AI92" s="50" t="s">
        <v>137</v>
      </c>
      <c r="AJ92" s="50" t="s">
        <v>139</v>
      </c>
      <c r="AK92" s="25">
        <v>46171</v>
      </c>
      <c r="AL92" s="25"/>
      <c r="AM92" s="27"/>
      <c r="AN92" s="30" t="str">
        <f t="shared" ca="1" si="10"/>
        <v>ยังไม่หมด</v>
      </c>
      <c r="AO92" s="47">
        <f t="shared" ca="1" si="11"/>
        <v>281</v>
      </c>
      <c r="AP92" s="47"/>
    </row>
    <row r="93" spans="1:42" ht="15.75" customHeight="1">
      <c r="A93" s="23" t="s">
        <v>802</v>
      </c>
      <c r="B93" s="23" t="s">
        <v>803</v>
      </c>
      <c r="C93" s="23" t="s">
        <v>804</v>
      </c>
      <c r="D93" s="23" t="s">
        <v>64</v>
      </c>
      <c r="E93" s="23" t="s">
        <v>23</v>
      </c>
      <c r="F93" s="90" t="s">
        <v>325</v>
      </c>
      <c r="G93" s="23" t="s">
        <v>328</v>
      </c>
      <c r="H93" s="28">
        <v>34126</v>
      </c>
      <c r="I93" s="23">
        <f t="shared" ca="1" si="0"/>
        <v>33</v>
      </c>
      <c r="J93" s="23" t="s">
        <v>3</v>
      </c>
      <c r="K93" s="28">
        <v>46218</v>
      </c>
      <c r="L93" s="31">
        <v>175</v>
      </c>
      <c r="M93" s="31">
        <v>62.9</v>
      </c>
      <c r="N93" s="31">
        <f t="shared" si="3"/>
        <v>20.538775510204083</v>
      </c>
      <c r="O93" s="23">
        <v>124</v>
      </c>
      <c r="P93" s="23">
        <v>61</v>
      </c>
      <c r="Q93" s="31">
        <v>41.9</v>
      </c>
      <c r="R93" s="23" t="s">
        <v>4</v>
      </c>
      <c r="S93" s="23"/>
      <c r="T93" s="23">
        <v>96</v>
      </c>
      <c r="U93" s="23">
        <v>128</v>
      </c>
      <c r="V93" s="23">
        <v>64</v>
      </c>
      <c r="W93" s="23">
        <v>27</v>
      </c>
      <c r="X93" s="23">
        <v>46</v>
      </c>
      <c r="Y93" s="37">
        <v>6.4</v>
      </c>
      <c r="Z93" s="23" t="s">
        <v>14</v>
      </c>
      <c r="AA93" s="23" t="s">
        <v>645</v>
      </c>
      <c r="AB93" s="23" t="s">
        <v>4</v>
      </c>
      <c r="AC93" s="23"/>
      <c r="AD93" s="23" t="s">
        <v>4</v>
      </c>
      <c r="AE93" s="23"/>
      <c r="AF93" s="23" t="s">
        <v>4</v>
      </c>
      <c r="AG93" s="23"/>
      <c r="AH93" s="23"/>
      <c r="AI93" s="23" t="s">
        <v>154</v>
      </c>
      <c r="AJ93" s="23" t="s">
        <v>805</v>
      </c>
      <c r="AK93" s="58">
        <v>46224</v>
      </c>
      <c r="AL93" s="46" t="str">
        <f ca="1">IF((AK93+90)&lt;TODAY(),"เลยกำหนด",IF((AK93+90)-TODAY()&lt;=30,"ใกล้ถึง","ยังไม่ถึง"))</f>
        <v>ยังไม่ถึง</v>
      </c>
      <c r="AM93" s="47">
        <f ca="1">MAX(0, (AK93+90) - TODAY())</f>
        <v>63</v>
      </c>
      <c r="AN93" s="30" t="str">
        <f t="shared" ca="1" si="10"/>
        <v>ยังไม่หมด</v>
      </c>
      <c r="AO93" s="47">
        <f t="shared" ca="1" si="11"/>
        <v>331</v>
      </c>
      <c r="AP93" s="47"/>
    </row>
    <row r="94" spans="1:42" ht="15.75" customHeight="1">
      <c r="A94" s="23" t="s">
        <v>806</v>
      </c>
      <c r="B94" s="23" t="s">
        <v>807</v>
      </c>
      <c r="C94" s="23" t="s">
        <v>808</v>
      </c>
      <c r="D94" s="23" t="s">
        <v>64</v>
      </c>
      <c r="E94" s="23" t="s">
        <v>23</v>
      </c>
      <c r="F94" s="26" t="s">
        <v>325</v>
      </c>
      <c r="G94" s="23" t="s">
        <v>328</v>
      </c>
      <c r="H94" s="28">
        <v>27013</v>
      </c>
      <c r="I94" s="23">
        <f t="shared" ca="1" si="0"/>
        <v>53</v>
      </c>
      <c r="J94" s="23" t="s">
        <v>3</v>
      </c>
      <c r="K94" s="28">
        <v>46169</v>
      </c>
      <c r="L94" s="31">
        <v>160</v>
      </c>
      <c r="M94" s="31">
        <v>68.8</v>
      </c>
      <c r="N94" s="31">
        <f t="shared" si="3"/>
        <v>26.874999999999993</v>
      </c>
      <c r="O94" s="23">
        <v>128</v>
      </c>
      <c r="P94" s="23">
        <v>80</v>
      </c>
      <c r="Q94" s="31">
        <v>42</v>
      </c>
      <c r="R94" s="23" t="s">
        <v>4</v>
      </c>
      <c r="S94" s="23"/>
      <c r="T94" s="23">
        <v>96</v>
      </c>
      <c r="U94" s="23">
        <v>185</v>
      </c>
      <c r="V94" s="23">
        <v>125</v>
      </c>
      <c r="W94" s="23">
        <v>29</v>
      </c>
      <c r="X94" s="23">
        <v>43</v>
      </c>
      <c r="Y94" s="37">
        <v>8.9</v>
      </c>
      <c r="Z94" s="23" t="s">
        <v>4</v>
      </c>
      <c r="AA94" s="23"/>
      <c r="AB94" s="23" t="s">
        <v>4</v>
      </c>
      <c r="AC94" s="23"/>
      <c r="AD94" s="23" t="s">
        <v>8</v>
      </c>
      <c r="AE94" s="23" t="s">
        <v>809</v>
      </c>
      <c r="AF94" s="23"/>
      <c r="AG94" s="23"/>
      <c r="AH94" s="23" t="s">
        <v>810</v>
      </c>
      <c r="AI94" s="23" t="s">
        <v>154</v>
      </c>
      <c r="AJ94" s="23" t="s">
        <v>811</v>
      </c>
      <c r="AK94" s="58">
        <v>46183</v>
      </c>
      <c r="AL94" s="58"/>
      <c r="AM94" s="27"/>
      <c r="AN94" s="30" t="str">
        <f t="shared" ca="1" si="10"/>
        <v>ยังไม่หมด</v>
      </c>
      <c r="AO94" s="47">
        <f t="shared" ca="1" si="11"/>
        <v>282</v>
      </c>
      <c r="AP94" s="47"/>
    </row>
    <row r="95" spans="1:42" ht="15.75" customHeight="1">
      <c r="A95" s="64" t="s">
        <v>812</v>
      </c>
      <c r="B95" s="64" t="s">
        <v>813</v>
      </c>
      <c r="C95" s="64" t="s">
        <v>814</v>
      </c>
      <c r="D95" s="64" t="s">
        <v>64</v>
      </c>
      <c r="E95" s="64" t="s">
        <v>23</v>
      </c>
      <c r="F95" s="65" t="s">
        <v>325</v>
      </c>
      <c r="G95" s="64" t="s">
        <v>328</v>
      </c>
      <c r="H95" s="66">
        <v>26525</v>
      </c>
      <c r="I95" s="64">
        <f t="shared" ca="1" si="0"/>
        <v>54</v>
      </c>
      <c r="J95" s="64" t="s">
        <v>3</v>
      </c>
      <c r="K95" s="66">
        <v>46191</v>
      </c>
      <c r="L95" s="69">
        <v>169</v>
      </c>
      <c r="M95" s="69">
        <v>75.2</v>
      </c>
      <c r="N95" s="69">
        <f t="shared" si="3"/>
        <v>26.329610307762337</v>
      </c>
      <c r="O95" s="64">
        <v>139</v>
      </c>
      <c r="P95" s="64">
        <v>76</v>
      </c>
      <c r="Q95" s="69">
        <v>38.5</v>
      </c>
      <c r="R95" s="64" t="s">
        <v>4</v>
      </c>
      <c r="S95" s="64"/>
      <c r="T95" s="64">
        <v>109</v>
      </c>
      <c r="U95" s="64">
        <v>82</v>
      </c>
      <c r="V95" s="64">
        <v>69</v>
      </c>
      <c r="W95" s="64">
        <v>22</v>
      </c>
      <c r="X95" s="64">
        <v>17</v>
      </c>
      <c r="Y95" s="70">
        <v>7.3</v>
      </c>
      <c r="Z95" s="64" t="s">
        <v>4</v>
      </c>
      <c r="AA95" s="64"/>
      <c r="AB95" s="64" t="s">
        <v>4</v>
      </c>
      <c r="AC95" s="64"/>
      <c r="AD95" s="64" t="s">
        <v>8</v>
      </c>
      <c r="AE95" s="64" t="s">
        <v>815</v>
      </c>
      <c r="AF95" s="64" t="s">
        <v>4</v>
      </c>
      <c r="AG95" s="64"/>
      <c r="AH95" s="64"/>
      <c r="AI95" s="64" t="s">
        <v>242</v>
      </c>
      <c r="AJ95" s="64" t="s">
        <v>816</v>
      </c>
      <c r="AK95" s="71">
        <v>46226</v>
      </c>
      <c r="AL95" s="64"/>
      <c r="AM95" s="27"/>
      <c r="AN95" s="48" t="str">
        <f t="shared" ca="1" si="10"/>
        <v>ยังไม่หมด</v>
      </c>
      <c r="AO95" s="47">
        <f t="shared" ca="1" si="11"/>
        <v>304</v>
      </c>
      <c r="AP95" s="47"/>
    </row>
    <row r="96" spans="1:42" ht="15.75" customHeight="1">
      <c r="A96" s="50" t="s">
        <v>817</v>
      </c>
      <c r="B96" s="50" t="s">
        <v>818</v>
      </c>
      <c r="C96" s="50" t="s">
        <v>819</v>
      </c>
      <c r="D96" s="50" t="s">
        <v>64</v>
      </c>
      <c r="E96" s="50" t="s">
        <v>23</v>
      </c>
      <c r="F96" s="51" t="s">
        <v>325</v>
      </c>
      <c r="G96" s="50" t="s">
        <v>328</v>
      </c>
      <c r="H96" s="52">
        <v>33259</v>
      </c>
      <c r="I96" s="50">
        <f t="shared" ca="1" si="0"/>
        <v>35</v>
      </c>
      <c r="J96" s="50" t="s">
        <v>3</v>
      </c>
      <c r="K96" s="52">
        <v>46177</v>
      </c>
      <c r="L96" s="53">
        <v>178</v>
      </c>
      <c r="M96" s="53">
        <v>62.4</v>
      </c>
      <c r="N96" s="53">
        <f t="shared" si="3"/>
        <v>19.69448301982073</v>
      </c>
      <c r="O96" s="50">
        <v>107</v>
      </c>
      <c r="P96" s="50">
        <v>60</v>
      </c>
      <c r="Q96" s="53">
        <v>43.8</v>
      </c>
      <c r="R96" s="50" t="s">
        <v>4</v>
      </c>
      <c r="S96" s="50"/>
      <c r="T96" s="50">
        <v>107</v>
      </c>
      <c r="U96" s="50">
        <v>134</v>
      </c>
      <c r="V96" s="50">
        <v>72</v>
      </c>
      <c r="W96" s="50">
        <v>19</v>
      </c>
      <c r="X96" s="50">
        <v>15</v>
      </c>
      <c r="Y96" s="54">
        <v>6</v>
      </c>
      <c r="Z96" s="50" t="s">
        <v>4</v>
      </c>
      <c r="AA96" s="50"/>
      <c r="AB96" s="50" t="s">
        <v>4</v>
      </c>
      <c r="AC96" s="50"/>
      <c r="AD96" s="50" t="s">
        <v>8</v>
      </c>
      <c r="AE96" s="50" t="s">
        <v>820</v>
      </c>
      <c r="AF96" s="50"/>
      <c r="AG96" s="50"/>
      <c r="AH96" s="50" t="s">
        <v>821</v>
      </c>
      <c r="AI96" s="50" t="s">
        <v>137</v>
      </c>
      <c r="AJ96" s="50" t="s">
        <v>231</v>
      </c>
      <c r="AK96" s="25">
        <v>46184</v>
      </c>
      <c r="AL96" s="25"/>
      <c r="AM96" s="27"/>
      <c r="AN96" s="48" t="str">
        <f t="shared" ca="1" si="10"/>
        <v>ยังไม่หมด</v>
      </c>
      <c r="AO96" s="47">
        <f t="shared" ca="1" si="11"/>
        <v>290</v>
      </c>
      <c r="AP96" s="47"/>
    </row>
    <row r="97" spans="1:42" ht="15.75" customHeight="1">
      <c r="A97" s="50" t="s">
        <v>822</v>
      </c>
      <c r="B97" s="50" t="s">
        <v>823</v>
      </c>
      <c r="C97" s="50" t="s">
        <v>824</v>
      </c>
      <c r="D97" s="50" t="s">
        <v>64</v>
      </c>
      <c r="E97" s="50" t="s">
        <v>23</v>
      </c>
      <c r="F97" s="100" t="s">
        <v>325</v>
      </c>
      <c r="G97" s="50" t="s">
        <v>328</v>
      </c>
      <c r="H97" s="52">
        <v>27030</v>
      </c>
      <c r="I97" s="50">
        <f t="shared" ca="1" si="0"/>
        <v>52</v>
      </c>
      <c r="J97" s="50" t="s">
        <v>3</v>
      </c>
      <c r="K97" s="52">
        <v>46220</v>
      </c>
      <c r="L97" s="53">
        <v>168</v>
      </c>
      <c r="M97" s="53">
        <v>61.9</v>
      </c>
      <c r="N97" s="53">
        <f t="shared" si="3"/>
        <v>21.931689342403629</v>
      </c>
      <c r="O97" s="50">
        <v>124</v>
      </c>
      <c r="P97" s="50">
        <v>64</v>
      </c>
      <c r="Q97" s="53">
        <v>45</v>
      </c>
      <c r="R97" s="50" t="s">
        <v>4</v>
      </c>
      <c r="S97" s="50"/>
      <c r="T97" s="50">
        <v>104</v>
      </c>
      <c r="U97" s="50">
        <v>146</v>
      </c>
      <c r="V97" s="50">
        <v>92</v>
      </c>
      <c r="W97" s="50">
        <v>21</v>
      </c>
      <c r="X97" s="50">
        <v>19</v>
      </c>
      <c r="Y97" s="54">
        <v>4.5</v>
      </c>
      <c r="Z97" s="50" t="s">
        <v>4</v>
      </c>
      <c r="AA97" s="50"/>
      <c r="AB97" s="50" t="s">
        <v>4</v>
      </c>
      <c r="AC97" s="50"/>
      <c r="AD97" s="50" t="s">
        <v>8</v>
      </c>
      <c r="AE97" s="50" t="s">
        <v>825</v>
      </c>
      <c r="AF97" s="50"/>
      <c r="AG97" s="50"/>
      <c r="AH97" s="50" t="s">
        <v>826</v>
      </c>
      <c r="AI97" s="50" t="s">
        <v>137</v>
      </c>
      <c r="AJ97" s="50" t="s">
        <v>827</v>
      </c>
      <c r="AK97" s="25">
        <v>46225</v>
      </c>
      <c r="AL97" s="25"/>
      <c r="AM97" s="27"/>
      <c r="AN97" s="48" t="str">
        <f t="shared" ca="1" si="10"/>
        <v>ยังไม่หมด</v>
      </c>
      <c r="AO97" s="47">
        <f t="shared" ca="1" si="11"/>
        <v>333</v>
      </c>
      <c r="AP97" s="47"/>
    </row>
    <row r="98" spans="1:42" ht="15.75" customHeight="1">
      <c r="A98" s="34" t="s">
        <v>828</v>
      </c>
      <c r="B98" s="34" t="s">
        <v>829</v>
      </c>
      <c r="C98" s="34" t="s">
        <v>830</v>
      </c>
      <c r="D98" s="34" t="s">
        <v>64</v>
      </c>
      <c r="E98" s="34" t="s">
        <v>23</v>
      </c>
      <c r="F98" s="90" t="s">
        <v>325</v>
      </c>
      <c r="G98" s="34" t="s">
        <v>328</v>
      </c>
      <c r="H98" s="91">
        <v>30799</v>
      </c>
      <c r="I98" s="34">
        <f t="shared" ca="1" si="0"/>
        <v>42</v>
      </c>
      <c r="J98" s="34" t="s">
        <v>3</v>
      </c>
      <c r="K98" s="91">
        <v>46202</v>
      </c>
      <c r="L98" s="45">
        <v>169</v>
      </c>
      <c r="M98" s="45">
        <v>85.4</v>
      </c>
      <c r="N98" s="45">
        <f t="shared" si="3"/>
        <v>29.90091383354925</v>
      </c>
      <c r="O98" s="34">
        <v>126</v>
      </c>
      <c r="P98" s="34">
        <v>77</v>
      </c>
      <c r="Q98" s="45">
        <v>48.8</v>
      </c>
      <c r="R98" s="34" t="s">
        <v>4</v>
      </c>
      <c r="S98" s="34"/>
      <c r="T98" s="92">
        <v>98</v>
      </c>
      <c r="U98" s="34">
        <v>60</v>
      </c>
      <c r="V98" s="34">
        <v>30</v>
      </c>
      <c r="W98" s="92">
        <v>64</v>
      </c>
      <c r="X98" s="162">
        <v>138</v>
      </c>
      <c r="Y98" s="120">
        <v>6.7</v>
      </c>
      <c r="Z98" s="34" t="s">
        <v>4</v>
      </c>
      <c r="AA98" s="34"/>
      <c r="AB98" s="34" t="s">
        <v>8</v>
      </c>
      <c r="AC98" s="34" t="s">
        <v>831</v>
      </c>
      <c r="AD98" s="34" t="s">
        <v>8</v>
      </c>
      <c r="AE98" s="92" t="s">
        <v>450</v>
      </c>
      <c r="AF98" s="34"/>
      <c r="AG98" s="34"/>
      <c r="AH98" s="34" t="s">
        <v>832</v>
      </c>
      <c r="AI98" s="62" t="s">
        <v>218</v>
      </c>
      <c r="AJ98" s="163" t="s">
        <v>833</v>
      </c>
      <c r="AK98" s="57">
        <v>46206</v>
      </c>
      <c r="AL98" s="46" t="str">
        <f ca="1">IF((AK98+90)&lt;TODAY(),"เลยกำหนด",IF((AK98+90)-TODAY()&lt;=30,"ใกล้ถึง","ยังไม่ถึง"))</f>
        <v>ยังไม่ถึง</v>
      </c>
      <c r="AM98" s="47">
        <f ca="1">MAX(0, (AK98+90) - TODAY())</f>
        <v>45</v>
      </c>
      <c r="AN98" s="30" t="str">
        <f t="shared" ca="1" si="10"/>
        <v>ยังไม่หมด</v>
      </c>
      <c r="AO98" s="47">
        <f t="shared" ca="1" si="11"/>
        <v>315</v>
      </c>
      <c r="AP98" s="47"/>
    </row>
    <row r="99" spans="1:42" ht="15.75" customHeight="1">
      <c r="A99" s="23" t="s">
        <v>834</v>
      </c>
      <c r="B99" s="23" t="s">
        <v>835</v>
      </c>
      <c r="C99" s="23" t="s">
        <v>836</v>
      </c>
      <c r="D99" s="23" t="s">
        <v>64</v>
      </c>
      <c r="E99" s="23" t="s">
        <v>23</v>
      </c>
      <c r="F99" s="26" t="s">
        <v>325</v>
      </c>
      <c r="G99" s="23" t="s">
        <v>328</v>
      </c>
      <c r="H99" s="28">
        <v>26604</v>
      </c>
      <c r="I99" s="23">
        <f t="shared" ca="1" si="0"/>
        <v>54</v>
      </c>
      <c r="J99" s="23" t="s">
        <v>3</v>
      </c>
      <c r="K99" s="91">
        <v>46100</v>
      </c>
      <c r="L99" s="31">
        <v>157.1</v>
      </c>
      <c r="M99" s="31">
        <v>65</v>
      </c>
      <c r="N99" s="31">
        <f t="shared" si="3"/>
        <v>26.336677551142788</v>
      </c>
      <c r="O99" s="23">
        <v>138</v>
      </c>
      <c r="P99" s="23">
        <v>71</v>
      </c>
      <c r="Q99" s="31">
        <v>43</v>
      </c>
      <c r="R99" s="23" t="s">
        <v>8</v>
      </c>
      <c r="S99" s="23" t="s">
        <v>837</v>
      </c>
      <c r="T99" s="23">
        <v>99</v>
      </c>
      <c r="U99" s="23">
        <v>160</v>
      </c>
      <c r="V99" s="23">
        <v>73</v>
      </c>
      <c r="W99" s="59">
        <v>61</v>
      </c>
      <c r="X99" s="59">
        <v>30</v>
      </c>
      <c r="Y99" s="37">
        <v>4.8</v>
      </c>
      <c r="Z99" s="23" t="s">
        <v>4</v>
      </c>
      <c r="AA99" s="23"/>
      <c r="AB99" s="23" t="s">
        <v>4</v>
      </c>
      <c r="AC99" s="23"/>
      <c r="AD99" s="23" t="s">
        <v>8</v>
      </c>
      <c r="AE99" s="23" t="s">
        <v>838</v>
      </c>
      <c r="AF99" s="23"/>
      <c r="AG99" s="23"/>
      <c r="AH99" s="23" t="s">
        <v>839</v>
      </c>
      <c r="AI99" s="23" t="s">
        <v>154</v>
      </c>
      <c r="AJ99" s="23" t="s">
        <v>840</v>
      </c>
      <c r="AK99" s="58">
        <v>46219</v>
      </c>
      <c r="AL99" s="46" t="str">
        <f ca="1">IF((AK99+180)&lt;TODAY(),"เลยกำหนด",IF((AK99+180)-TODAY()&lt;=30,"ใกล้ถึง","ยังไม่ถึง"))</f>
        <v>ยังไม่ถึง</v>
      </c>
      <c r="AM99" s="47">
        <f ca="1">MAX(0, (AK99+180) - TODAY())</f>
        <v>148</v>
      </c>
      <c r="AN99" s="30" t="str">
        <f t="shared" ca="1" si="10"/>
        <v>ยังไม่หมด</v>
      </c>
      <c r="AO99" s="47">
        <f t="shared" ca="1" si="11"/>
        <v>213</v>
      </c>
      <c r="AP99" s="47"/>
    </row>
    <row r="100" spans="1:42" ht="15.75" customHeight="1">
      <c r="A100" s="23" t="s">
        <v>841</v>
      </c>
      <c r="B100" s="23" t="s">
        <v>842</v>
      </c>
      <c r="C100" s="23" t="s">
        <v>843</v>
      </c>
      <c r="D100" s="23" t="s">
        <v>64</v>
      </c>
      <c r="E100" s="23" t="s">
        <v>23</v>
      </c>
      <c r="F100" s="26" t="s">
        <v>325</v>
      </c>
      <c r="G100" s="23" t="s">
        <v>328</v>
      </c>
      <c r="H100" s="28">
        <v>31036</v>
      </c>
      <c r="I100" s="23">
        <f t="shared" ca="1" si="0"/>
        <v>42</v>
      </c>
      <c r="J100" s="23" t="s">
        <v>3</v>
      </c>
      <c r="K100" s="28">
        <v>46219</v>
      </c>
      <c r="L100" s="31">
        <v>160.69999999999999</v>
      </c>
      <c r="M100" s="31">
        <v>59.8</v>
      </c>
      <c r="N100" s="31">
        <f t="shared" si="3"/>
        <v>23.156314025949786</v>
      </c>
      <c r="O100" s="23">
        <v>127</v>
      </c>
      <c r="P100" s="23">
        <v>78</v>
      </c>
      <c r="Q100" s="31">
        <v>48.4</v>
      </c>
      <c r="R100" s="23" t="s">
        <v>4</v>
      </c>
      <c r="S100" s="23"/>
      <c r="T100" s="23">
        <v>94</v>
      </c>
      <c r="U100" s="23">
        <v>229</v>
      </c>
      <c r="V100" s="23">
        <v>82</v>
      </c>
      <c r="W100" s="23">
        <v>19</v>
      </c>
      <c r="X100" s="23">
        <v>19</v>
      </c>
      <c r="Y100" s="37">
        <v>4.9000000000000004</v>
      </c>
      <c r="Z100" s="23" t="s">
        <v>4</v>
      </c>
      <c r="AA100" s="23"/>
      <c r="AB100" s="23" t="s">
        <v>4</v>
      </c>
      <c r="AC100" s="23"/>
      <c r="AD100" s="23" t="s">
        <v>8</v>
      </c>
      <c r="AE100" s="23" t="s">
        <v>450</v>
      </c>
      <c r="AF100" s="23" t="s">
        <v>4</v>
      </c>
      <c r="AG100" s="23"/>
      <c r="AH100" s="23"/>
      <c r="AI100" s="23" t="s">
        <v>218</v>
      </c>
      <c r="AJ100" s="23" t="s">
        <v>844</v>
      </c>
      <c r="AK100" s="58">
        <v>46224</v>
      </c>
      <c r="AL100" s="46" t="str">
        <f t="shared" ref="AL100:AL101" ca="1" si="12">IF((AK100+90)&lt;TODAY(),"เลยกำหนด",IF((AK100+90)-TODAY()&lt;=30,"ใกล้ถึง","ยังไม่ถึง"))</f>
        <v>ยังไม่ถึง</v>
      </c>
      <c r="AM100" s="47">
        <f t="shared" ref="AM100:AM101" ca="1" si="13">MAX(0, (AK100+90) - TODAY())</f>
        <v>63</v>
      </c>
      <c r="AN100" s="30" t="str">
        <f t="shared" ca="1" si="10"/>
        <v>ยังไม่หมด</v>
      </c>
      <c r="AO100" s="47">
        <f t="shared" ca="1" si="11"/>
        <v>332</v>
      </c>
      <c r="AP100" s="47"/>
    </row>
    <row r="101" spans="1:42" ht="15.75" customHeight="1">
      <c r="A101" s="23" t="s">
        <v>845</v>
      </c>
      <c r="B101" s="23" t="s">
        <v>846</v>
      </c>
      <c r="C101" s="23" t="s">
        <v>847</v>
      </c>
      <c r="D101" s="23" t="s">
        <v>64</v>
      </c>
      <c r="E101" s="23" t="s">
        <v>23</v>
      </c>
      <c r="F101" s="26" t="s">
        <v>325</v>
      </c>
      <c r="G101" s="23" t="s">
        <v>328</v>
      </c>
      <c r="H101" s="28">
        <v>32894</v>
      </c>
      <c r="I101" s="23">
        <f t="shared" ca="1" si="0"/>
        <v>36</v>
      </c>
      <c r="J101" s="23" t="s">
        <v>3</v>
      </c>
      <c r="K101" s="28">
        <v>46234</v>
      </c>
      <c r="L101" s="31">
        <v>173</v>
      </c>
      <c r="M101" s="31">
        <v>76.3</v>
      </c>
      <c r="N101" s="31">
        <f t="shared" si="3"/>
        <v>25.493668348424602</v>
      </c>
      <c r="O101" s="23">
        <v>119</v>
      </c>
      <c r="P101" s="23">
        <v>73</v>
      </c>
      <c r="Q101" s="31">
        <v>39.6</v>
      </c>
      <c r="R101" s="23" t="s">
        <v>4</v>
      </c>
      <c r="S101" s="23"/>
      <c r="T101" s="23">
        <v>89</v>
      </c>
      <c r="U101" s="23">
        <v>131</v>
      </c>
      <c r="V101" s="23">
        <v>66</v>
      </c>
      <c r="W101" s="23">
        <v>21</v>
      </c>
      <c r="X101" s="23">
        <v>8</v>
      </c>
      <c r="Y101" s="128">
        <v>7.8</v>
      </c>
      <c r="Z101" s="23" t="s">
        <v>4</v>
      </c>
      <c r="AA101" s="23"/>
      <c r="AB101" s="23" t="s">
        <v>4</v>
      </c>
      <c r="AC101" s="23"/>
      <c r="AD101" s="23" t="s">
        <v>8</v>
      </c>
      <c r="AE101" s="23" t="s">
        <v>848</v>
      </c>
      <c r="AF101" s="23"/>
      <c r="AG101" s="23"/>
      <c r="AH101" s="23" t="s">
        <v>849</v>
      </c>
      <c r="AI101" s="23" t="s">
        <v>154</v>
      </c>
      <c r="AJ101" s="23" t="s">
        <v>850</v>
      </c>
      <c r="AK101" s="58">
        <v>46239</v>
      </c>
      <c r="AL101" s="46" t="str">
        <f t="shared" ca="1" si="12"/>
        <v>ยังไม่ถึง</v>
      </c>
      <c r="AM101" s="47">
        <f t="shared" ca="1" si="13"/>
        <v>78</v>
      </c>
      <c r="AN101" s="30" t="str">
        <f t="shared" ca="1" si="10"/>
        <v>ยังไม่หมด</v>
      </c>
      <c r="AO101" s="47">
        <f t="shared" ca="1" si="11"/>
        <v>347</v>
      </c>
      <c r="AP101" s="47"/>
    </row>
    <row r="102" spans="1:42" ht="15.75" customHeight="1">
      <c r="A102" s="50" t="s">
        <v>851</v>
      </c>
      <c r="B102" s="50" t="s">
        <v>852</v>
      </c>
      <c r="C102" s="50" t="s">
        <v>853</v>
      </c>
      <c r="D102" s="50" t="s">
        <v>64</v>
      </c>
      <c r="E102" s="50" t="s">
        <v>23</v>
      </c>
      <c r="F102" s="51" t="s">
        <v>325</v>
      </c>
      <c r="G102" s="50" t="s">
        <v>328</v>
      </c>
      <c r="H102" s="52">
        <v>31774</v>
      </c>
      <c r="I102" s="50">
        <f t="shared" ca="1" si="0"/>
        <v>40</v>
      </c>
      <c r="J102" s="50" t="s">
        <v>3</v>
      </c>
      <c r="K102" s="52">
        <v>46083</v>
      </c>
      <c r="L102" s="53">
        <v>176</v>
      </c>
      <c r="M102" s="53">
        <v>92</v>
      </c>
      <c r="N102" s="53">
        <f t="shared" si="3"/>
        <v>29.700413223140497</v>
      </c>
      <c r="O102" s="50">
        <v>128</v>
      </c>
      <c r="P102" s="50">
        <v>85</v>
      </c>
      <c r="Q102" s="53">
        <v>45</v>
      </c>
      <c r="R102" s="50" t="s">
        <v>4</v>
      </c>
      <c r="S102" s="50"/>
      <c r="T102" s="50">
        <v>93</v>
      </c>
      <c r="U102" s="50">
        <v>133</v>
      </c>
      <c r="V102" s="76">
        <v>87</v>
      </c>
      <c r="W102" s="50">
        <v>31</v>
      </c>
      <c r="X102" s="76">
        <v>30</v>
      </c>
      <c r="Y102" s="118">
        <v>8</v>
      </c>
      <c r="Z102" s="50" t="s">
        <v>8</v>
      </c>
      <c r="AA102" s="50" t="s">
        <v>135</v>
      </c>
      <c r="AB102" s="50" t="s">
        <v>4</v>
      </c>
      <c r="AC102" s="50"/>
      <c r="AD102" s="50" t="s">
        <v>8</v>
      </c>
      <c r="AE102" s="50" t="s">
        <v>854</v>
      </c>
      <c r="AF102" s="6" t="s">
        <v>4</v>
      </c>
      <c r="AG102" s="50"/>
      <c r="AH102" s="50" t="s">
        <v>855</v>
      </c>
      <c r="AI102" s="50" t="s">
        <v>137</v>
      </c>
      <c r="AJ102" s="50" t="s">
        <v>621</v>
      </c>
      <c r="AK102" s="25">
        <v>46168</v>
      </c>
      <c r="AL102" s="55"/>
      <c r="AM102" s="47"/>
      <c r="AN102" s="30" t="str">
        <f t="shared" ca="1" si="10"/>
        <v>ยังไม่หมด</v>
      </c>
      <c r="AO102" s="47">
        <f t="shared" ca="1" si="11"/>
        <v>196</v>
      </c>
      <c r="AP102" s="47"/>
    </row>
    <row r="103" spans="1:42" ht="15.75" customHeight="1">
      <c r="A103" s="34" t="s">
        <v>856</v>
      </c>
      <c r="B103" s="34" t="s">
        <v>746</v>
      </c>
      <c r="C103" s="34" t="s">
        <v>857</v>
      </c>
      <c r="D103" s="34" t="s">
        <v>64</v>
      </c>
      <c r="E103" s="34" t="s">
        <v>23</v>
      </c>
      <c r="F103" s="90" t="s">
        <v>325</v>
      </c>
      <c r="G103" s="34" t="s">
        <v>328</v>
      </c>
      <c r="H103" s="91">
        <v>28743</v>
      </c>
      <c r="I103" s="34">
        <f t="shared" ca="1" si="0"/>
        <v>48</v>
      </c>
      <c r="J103" s="34" t="s">
        <v>858</v>
      </c>
      <c r="K103" s="91">
        <v>45946</v>
      </c>
      <c r="L103" s="45">
        <v>172</v>
      </c>
      <c r="M103" s="45">
        <v>69.5</v>
      </c>
      <c r="N103" s="45">
        <f t="shared" si="3"/>
        <v>23.492428339643052</v>
      </c>
      <c r="O103" s="34">
        <v>102</v>
      </c>
      <c r="P103" s="34">
        <v>69</v>
      </c>
      <c r="Q103" s="45">
        <v>43.4</v>
      </c>
      <c r="R103" s="34" t="s">
        <v>4</v>
      </c>
      <c r="S103" s="34"/>
      <c r="T103" s="34">
        <v>99</v>
      </c>
      <c r="U103" s="92">
        <v>130</v>
      </c>
      <c r="V103" s="92">
        <v>211</v>
      </c>
      <c r="W103" s="34">
        <v>20</v>
      </c>
      <c r="X103" s="34">
        <v>22</v>
      </c>
      <c r="Y103" s="120">
        <v>5.8</v>
      </c>
      <c r="Z103" s="34" t="s">
        <v>4</v>
      </c>
      <c r="AA103" s="34"/>
      <c r="AB103" s="34" t="s">
        <v>4</v>
      </c>
      <c r="AC103" s="34"/>
      <c r="AD103" s="34" t="s">
        <v>8</v>
      </c>
      <c r="AE103" s="34" t="s">
        <v>859</v>
      </c>
      <c r="AF103" s="34"/>
      <c r="AG103" s="34"/>
      <c r="AH103" s="34" t="s">
        <v>860</v>
      </c>
      <c r="AI103" s="34" t="s">
        <v>154</v>
      </c>
      <c r="AJ103" s="34" t="s">
        <v>861</v>
      </c>
      <c r="AK103" s="49">
        <v>46240</v>
      </c>
      <c r="AL103" s="46" t="str">
        <f ca="1">IF((AK103+90)&lt;TODAY(),"เลยกำหนด",IF((AK103+90)-TODAY()&lt;=30,"ใกล้ถึง","ยังไม่ถึง"))</f>
        <v>ยังไม่ถึง</v>
      </c>
      <c r="AM103" s="47">
        <f ca="1">MAX(0, (AK103+90) - TODAY())</f>
        <v>79</v>
      </c>
      <c r="AN103" s="30" t="str">
        <f t="shared" ca="1" si="10"/>
        <v>ใกล้หมด 3 เดือน</v>
      </c>
      <c r="AO103" s="47">
        <f t="shared" ca="1" si="11"/>
        <v>59</v>
      </c>
      <c r="AP103" s="47"/>
    </row>
    <row r="104" spans="1:42" ht="15.75" customHeight="1">
      <c r="A104" s="23" t="s">
        <v>862</v>
      </c>
      <c r="B104" s="23" t="s">
        <v>863</v>
      </c>
      <c r="C104" s="23" t="s">
        <v>864</v>
      </c>
      <c r="D104" s="23" t="s">
        <v>64</v>
      </c>
      <c r="E104" s="23" t="s">
        <v>23</v>
      </c>
      <c r="F104" s="26" t="s">
        <v>325</v>
      </c>
      <c r="G104" s="23" t="s">
        <v>328</v>
      </c>
      <c r="H104" s="28">
        <v>32297</v>
      </c>
      <c r="I104" s="23">
        <f t="shared" ca="1" si="0"/>
        <v>38</v>
      </c>
      <c r="J104" s="23" t="s">
        <v>3</v>
      </c>
      <c r="K104" s="28">
        <v>46241</v>
      </c>
      <c r="L104" s="31">
        <v>164.5</v>
      </c>
      <c r="M104" s="31">
        <v>84.1</v>
      </c>
      <c r="N104" s="31">
        <f t="shared" si="3"/>
        <v>31.078796389538159</v>
      </c>
      <c r="O104" s="23">
        <v>135</v>
      </c>
      <c r="P104" s="23">
        <v>82</v>
      </c>
      <c r="Q104" s="31">
        <v>43</v>
      </c>
      <c r="R104" s="23" t="s">
        <v>8</v>
      </c>
      <c r="S104" s="23" t="s">
        <v>865</v>
      </c>
      <c r="T104" s="114">
        <v>101</v>
      </c>
      <c r="U104" s="23">
        <v>108</v>
      </c>
      <c r="V104" s="23">
        <v>103</v>
      </c>
      <c r="W104" s="23">
        <v>22</v>
      </c>
      <c r="X104" s="23">
        <v>26</v>
      </c>
      <c r="Y104" s="128">
        <v>6.6</v>
      </c>
      <c r="Z104" s="23" t="s">
        <v>8</v>
      </c>
      <c r="AA104" s="23" t="s">
        <v>866</v>
      </c>
      <c r="AB104" s="23" t="s">
        <v>4</v>
      </c>
      <c r="AC104" s="23"/>
      <c r="AD104" s="23" t="s">
        <v>4</v>
      </c>
      <c r="AE104" s="23"/>
      <c r="AF104" s="23"/>
      <c r="AG104" s="23"/>
      <c r="AH104" s="23"/>
      <c r="AI104" s="23" t="s">
        <v>154</v>
      </c>
      <c r="AJ104" s="23" t="s">
        <v>867</v>
      </c>
      <c r="AK104" s="58">
        <v>46245</v>
      </c>
      <c r="AL104" s="58"/>
      <c r="AM104" s="27"/>
      <c r="AN104" s="30" t="str">
        <f t="shared" ca="1" si="10"/>
        <v>ยังไม่หมด</v>
      </c>
      <c r="AO104" s="47">
        <f t="shared" ca="1" si="11"/>
        <v>354</v>
      </c>
      <c r="AP104" s="47"/>
    </row>
    <row r="105" spans="1:42" ht="15.75" customHeight="1">
      <c r="A105" s="50" t="s">
        <v>868</v>
      </c>
      <c r="B105" s="50" t="s">
        <v>869</v>
      </c>
      <c r="C105" s="50" t="s">
        <v>870</v>
      </c>
      <c r="D105" s="50" t="s">
        <v>64</v>
      </c>
      <c r="E105" s="50" t="s">
        <v>23</v>
      </c>
      <c r="F105" s="51" t="s">
        <v>325</v>
      </c>
      <c r="G105" s="50" t="s">
        <v>328</v>
      </c>
      <c r="H105" s="52">
        <v>31839</v>
      </c>
      <c r="I105" s="50">
        <f t="shared" ca="1" si="0"/>
        <v>39</v>
      </c>
      <c r="J105" s="50" t="s">
        <v>3</v>
      </c>
      <c r="K105" s="52">
        <v>46091</v>
      </c>
      <c r="L105" s="53">
        <v>175</v>
      </c>
      <c r="M105" s="53">
        <v>78.5</v>
      </c>
      <c r="N105" s="53">
        <f t="shared" si="3"/>
        <v>25.632653061224488</v>
      </c>
      <c r="O105" s="50">
        <v>126</v>
      </c>
      <c r="P105" s="50">
        <v>81</v>
      </c>
      <c r="Q105" s="53">
        <v>42.1</v>
      </c>
      <c r="R105" s="50" t="s">
        <v>4</v>
      </c>
      <c r="S105" s="50"/>
      <c r="T105" s="50">
        <v>115</v>
      </c>
      <c r="U105" s="50">
        <v>85</v>
      </c>
      <c r="V105" s="50">
        <v>85</v>
      </c>
      <c r="W105" s="50">
        <v>28</v>
      </c>
      <c r="X105" s="50">
        <v>30</v>
      </c>
      <c r="Y105" s="54">
        <v>4.5</v>
      </c>
      <c r="Z105" s="50" t="s">
        <v>4</v>
      </c>
      <c r="AA105" s="50"/>
      <c r="AB105" s="50" t="s">
        <v>8</v>
      </c>
      <c r="AC105" s="50" t="s">
        <v>871</v>
      </c>
      <c r="AD105" s="50" t="s">
        <v>8</v>
      </c>
      <c r="AE105" s="50" t="s">
        <v>872</v>
      </c>
      <c r="AF105" s="50" t="s">
        <v>4</v>
      </c>
      <c r="AG105" s="50"/>
      <c r="AH105" s="50" t="s">
        <v>873</v>
      </c>
      <c r="AI105" s="50" t="s">
        <v>137</v>
      </c>
      <c r="AJ105" s="50" t="s">
        <v>254</v>
      </c>
      <c r="AK105" s="25">
        <v>46141</v>
      </c>
      <c r="AL105" s="25"/>
      <c r="AM105" s="119"/>
      <c r="AN105" s="30" t="str">
        <f t="shared" ca="1" si="10"/>
        <v>ยังไม่หมด</v>
      </c>
      <c r="AO105" s="119">
        <f t="shared" ca="1" si="11"/>
        <v>204</v>
      </c>
      <c r="AP105" s="119"/>
    </row>
    <row r="106" spans="1:42" ht="15.75" customHeight="1">
      <c r="A106" s="50" t="s">
        <v>874</v>
      </c>
      <c r="B106" s="50" t="s">
        <v>875</v>
      </c>
      <c r="C106" s="50" t="s">
        <v>876</v>
      </c>
      <c r="D106" s="50" t="s">
        <v>64</v>
      </c>
      <c r="E106" s="50" t="s">
        <v>23</v>
      </c>
      <c r="F106" s="51" t="s">
        <v>325</v>
      </c>
      <c r="G106" s="50" t="s">
        <v>328</v>
      </c>
      <c r="H106" s="52">
        <v>27417</v>
      </c>
      <c r="I106" s="50">
        <f t="shared" ca="1" si="0"/>
        <v>51</v>
      </c>
      <c r="J106" s="50" t="s">
        <v>3</v>
      </c>
      <c r="K106" s="52">
        <v>45989</v>
      </c>
      <c r="L106" s="53">
        <v>173</v>
      </c>
      <c r="M106" s="53">
        <v>59</v>
      </c>
      <c r="N106" s="53">
        <f t="shared" si="3"/>
        <v>19.713321527615356</v>
      </c>
      <c r="O106" s="50">
        <v>116</v>
      </c>
      <c r="P106" s="50">
        <v>70</v>
      </c>
      <c r="Q106" s="53">
        <v>41</v>
      </c>
      <c r="R106" s="50" t="s">
        <v>4</v>
      </c>
      <c r="S106" s="50"/>
      <c r="T106" s="50">
        <v>100</v>
      </c>
      <c r="U106" s="76">
        <v>102</v>
      </c>
      <c r="V106" s="50">
        <v>88</v>
      </c>
      <c r="W106" s="50">
        <v>18</v>
      </c>
      <c r="X106" s="50">
        <v>12</v>
      </c>
      <c r="Y106" s="54">
        <v>6.3</v>
      </c>
      <c r="Z106" s="50" t="s">
        <v>8</v>
      </c>
      <c r="AA106" s="50" t="s">
        <v>877</v>
      </c>
      <c r="AB106" s="50" t="s">
        <v>4</v>
      </c>
      <c r="AC106" s="50"/>
      <c r="AD106" s="50" t="s">
        <v>8</v>
      </c>
      <c r="AE106" s="50" t="s">
        <v>878</v>
      </c>
      <c r="AF106" s="50" t="s">
        <v>4</v>
      </c>
      <c r="AG106" s="50"/>
      <c r="AH106" s="50" t="s">
        <v>879</v>
      </c>
      <c r="AI106" s="50" t="s">
        <v>137</v>
      </c>
      <c r="AJ106" s="50" t="s">
        <v>274</v>
      </c>
      <c r="AK106" s="25">
        <v>46099</v>
      </c>
      <c r="AL106" s="55"/>
      <c r="AM106" s="27"/>
      <c r="AN106" s="30" t="str">
        <f t="shared" ca="1" si="10"/>
        <v>ยังไม่หมด</v>
      </c>
      <c r="AO106" s="47">
        <f t="shared" ca="1" si="11"/>
        <v>102</v>
      </c>
      <c r="AP106" s="47"/>
    </row>
    <row r="107" spans="1:42" ht="15.75" customHeight="1">
      <c r="A107" s="34" t="s">
        <v>880</v>
      </c>
      <c r="B107" s="34" t="s">
        <v>881</v>
      </c>
      <c r="C107" s="34" t="s">
        <v>882</v>
      </c>
      <c r="D107" s="34" t="s">
        <v>64</v>
      </c>
      <c r="E107" s="34" t="s">
        <v>23</v>
      </c>
      <c r="F107" s="90" t="s">
        <v>325</v>
      </c>
      <c r="G107" s="34" t="s">
        <v>328</v>
      </c>
      <c r="H107" s="91">
        <v>30678</v>
      </c>
      <c r="I107" s="34">
        <f t="shared" ca="1" si="0"/>
        <v>43</v>
      </c>
      <c r="J107" s="34" t="s">
        <v>3</v>
      </c>
      <c r="K107" s="91">
        <v>46135</v>
      </c>
      <c r="L107" s="45">
        <v>160</v>
      </c>
      <c r="M107" s="45">
        <v>73.3</v>
      </c>
      <c r="N107" s="45">
        <f t="shared" si="3"/>
        <v>28.632812499999993</v>
      </c>
      <c r="O107" s="34">
        <v>140</v>
      </c>
      <c r="P107" s="34">
        <v>92</v>
      </c>
      <c r="Q107" s="45">
        <v>40.200000000000003</v>
      </c>
      <c r="R107" s="34" t="s">
        <v>4</v>
      </c>
      <c r="S107" s="34"/>
      <c r="T107" s="34">
        <v>114</v>
      </c>
      <c r="U107" s="34">
        <v>142</v>
      </c>
      <c r="V107" s="34">
        <v>221</v>
      </c>
      <c r="W107" s="34">
        <v>21</v>
      </c>
      <c r="X107" s="34">
        <v>30</v>
      </c>
      <c r="Y107" s="120">
        <v>8</v>
      </c>
      <c r="Z107" s="34" t="s">
        <v>4</v>
      </c>
      <c r="AB107" s="34" t="s">
        <v>8</v>
      </c>
      <c r="AC107" s="34" t="s">
        <v>883</v>
      </c>
      <c r="AD107" s="34" t="s">
        <v>4</v>
      </c>
      <c r="AE107" s="34"/>
      <c r="AF107" s="34" t="s">
        <v>4</v>
      </c>
      <c r="AG107" s="34"/>
      <c r="AH107" s="34" t="s">
        <v>884</v>
      </c>
      <c r="AI107" s="56" t="s">
        <v>218</v>
      </c>
      <c r="AJ107" s="56" t="s">
        <v>885</v>
      </c>
      <c r="AK107" s="57">
        <v>46197</v>
      </c>
      <c r="AL107" s="89" t="s">
        <v>886</v>
      </c>
      <c r="AM107" s="47"/>
      <c r="AN107" s="30" t="str">
        <f t="shared" ca="1" si="10"/>
        <v>ยังไม่หมด</v>
      </c>
      <c r="AO107" s="47">
        <f t="shared" ca="1" si="11"/>
        <v>248</v>
      </c>
      <c r="AP107" s="47"/>
    </row>
    <row r="108" spans="1:42" ht="15.75" customHeight="1">
      <c r="A108" s="34" t="s">
        <v>887</v>
      </c>
      <c r="B108" s="34" t="s">
        <v>888</v>
      </c>
      <c r="C108" s="34" t="s">
        <v>889</v>
      </c>
      <c r="D108" s="34" t="s">
        <v>64</v>
      </c>
      <c r="E108" s="34" t="s">
        <v>23</v>
      </c>
      <c r="F108" s="90" t="s">
        <v>325</v>
      </c>
      <c r="G108" s="34" t="s">
        <v>328</v>
      </c>
      <c r="H108" s="91">
        <v>30785</v>
      </c>
      <c r="I108" s="34">
        <f t="shared" ca="1" si="0"/>
        <v>42</v>
      </c>
      <c r="J108" s="34" t="s">
        <v>24</v>
      </c>
      <c r="K108" s="91">
        <v>46153</v>
      </c>
      <c r="L108" s="45">
        <v>157.5</v>
      </c>
      <c r="M108" s="45">
        <v>66.400000000000006</v>
      </c>
      <c r="N108" s="45">
        <f t="shared" si="3"/>
        <v>26.767447719828677</v>
      </c>
      <c r="O108" s="92">
        <v>96</v>
      </c>
      <c r="P108" s="92">
        <v>66</v>
      </c>
      <c r="Q108" s="45">
        <v>42</v>
      </c>
      <c r="R108" s="92" t="s">
        <v>4</v>
      </c>
      <c r="S108" s="92"/>
      <c r="T108" s="34">
        <v>96</v>
      </c>
      <c r="U108" s="34">
        <v>199</v>
      </c>
      <c r="V108" s="34">
        <v>123</v>
      </c>
      <c r="W108" s="92">
        <v>25</v>
      </c>
      <c r="X108" s="92">
        <v>40</v>
      </c>
      <c r="Y108" s="120">
        <v>7.5</v>
      </c>
      <c r="Z108" s="34" t="s">
        <v>4</v>
      </c>
      <c r="AA108" s="34"/>
      <c r="AB108" s="34" t="s">
        <v>4</v>
      </c>
      <c r="AC108" s="34"/>
      <c r="AD108" s="34" t="s">
        <v>8</v>
      </c>
      <c r="AE108" s="34" t="s">
        <v>350</v>
      </c>
      <c r="AF108" s="34"/>
      <c r="AG108" s="34"/>
      <c r="AH108" s="34"/>
      <c r="AI108" s="56" t="s">
        <v>218</v>
      </c>
      <c r="AJ108" s="56" t="s">
        <v>890</v>
      </c>
      <c r="AK108" s="57">
        <v>46160</v>
      </c>
      <c r="AL108" s="46" t="str">
        <f t="shared" ref="AL108:AL109" ca="1" si="14">IF((AK108+90)&lt;TODAY(),"เลยกำหนด",IF((AK108+90)-TODAY()&lt;=30,"ใกล้ถึง","ยังไม่ถึง"))</f>
        <v>เลยกำหนด</v>
      </c>
      <c r="AM108" s="47">
        <f t="shared" ref="AM108:AM109" ca="1" si="15">MAX(0, (AK108+90) - TODAY())</f>
        <v>0</v>
      </c>
      <c r="AN108" s="48" t="str">
        <f t="shared" ca="1" si="10"/>
        <v>ยังไม่หมด</v>
      </c>
      <c r="AO108" s="164">
        <f t="shared" ca="1" si="11"/>
        <v>266</v>
      </c>
      <c r="AP108" s="164"/>
    </row>
    <row r="109" spans="1:42" ht="15.75" customHeight="1">
      <c r="A109" s="23" t="s">
        <v>891</v>
      </c>
      <c r="B109" s="23" t="s">
        <v>892</v>
      </c>
      <c r="C109" s="23" t="s">
        <v>893</v>
      </c>
      <c r="D109" s="23" t="s">
        <v>64</v>
      </c>
      <c r="E109" s="23" t="s">
        <v>23</v>
      </c>
      <c r="F109" s="26" t="s">
        <v>325</v>
      </c>
      <c r="G109" s="23" t="s">
        <v>328</v>
      </c>
      <c r="H109" s="28">
        <v>32064</v>
      </c>
      <c r="I109" s="23">
        <f t="shared" ca="1" si="0"/>
        <v>39</v>
      </c>
      <c r="J109" s="23" t="s">
        <v>3</v>
      </c>
      <c r="K109" s="28">
        <v>46147</v>
      </c>
      <c r="L109" s="31">
        <v>169.9</v>
      </c>
      <c r="M109" s="31">
        <v>68.75</v>
      </c>
      <c r="N109" s="31">
        <f t="shared" si="3"/>
        <v>23.816939022746819</v>
      </c>
      <c r="O109" s="23">
        <v>120</v>
      </c>
      <c r="P109" s="23">
        <v>72</v>
      </c>
      <c r="Q109" s="31">
        <v>47.4</v>
      </c>
      <c r="R109" s="23" t="s">
        <v>4</v>
      </c>
      <c r="S109" s="23"/>
      <c r="T109" s="23">
        <v>101</v>
      </c>
      <c r="U109" s="23">
        <v>137</v>
      </c>
      <c r="V109" s="23">
        <v>221</v>
      </c>
      <c r="W109" s="23">
        <v>18</v>
      </c>
      <c r="X109" s="23">
        <v>29</v>
      </c>
      <c r="Y109" s="37">
        <v>7</v>
      </c>
      <c r="Z109" s="23" t="s">
        <v>4</v>
      </c>
      <c r="AA109" s="23"/>
      <c r="AB109" s="23" t="s">
        <v>4</v>
      </c>
      <c r="AC109" s="23" t="s">
        <v>894</v>
      </c>
      <c r="AD109" s="23" t="s">
        <v>8</v>
      </c>
      <c r="AE109" s="23" t="s">
        <v>895</v>
      </c>
      <c r="AF109" s="23"/>
      <c r="AG109" s="23"/>
      <c r="AH109" s="23" t="s">
        <v>896</v>
      </c>
      <c r="AI109" s="23" t="s">
        <v>154</v>
      </c>
      <c r="AJ109" s="23" t="s">
        <v>897</v>
      </c>
      <c r="AK109" s="58">
        <v>46157</v>
      </c>
      <c r="AL109" s="46" t="str">
        <f t="shared" ca="1" si="14"/>
        <v>เลยกำหนด</v>
      </c>
      <c r="AM109" s="47">
        <f t="shared" ca="1" si="15"/>
        <v>0</v>
      </c>
      <c r="AN109" s="30" t="str">
        <f t="shared" ca="1" si="10"/>
        <v>ยังไม่หมด</v>
      </c>
      <c r="AO109" s="47">
        <f t="shared" ca="1" si="11"/>
        <v>260</v>
      </c>
      <c r="AP109" s="47"/>
    </row>
    <row r="110" spans="1:42" ht="15.75" customHeight="1">
      <c r="A110" s="34" t="s">
        <v>898</v>
      </c>
      <c r="B110" s="34" t="s">
        <v>899</v>
      </c>
      <c r="C110" s="34" t="s">
        <v>900</v>
      </c>
      <c r="D110" s="34" t="s">
        <v>64</v>
      </c>
      <c r="E110" s="34" t="s">
        <v>23</v>
      </c>
      <c r="F110" s="90" t="s">
        <v>325</v>
      </c>
      <c r="G110" s="34" t="s">
        <v>328</v>
      </c>
      <c r="H110" s="91">
        <v>31952</v>
      </c>
      <c r="I110" s="34">
        <f t="shared" ca="1" si="0"/>
        <v>39</v>
      </c>
      <c r="J110" s="34" t="s">
        <v>3</v>
      </c>
      <c r="K110" s="91">
        <v>46160</v>
      </c>
      <c r="L110" s="45">
        <v>167</v>
      </c>
      <c r="M110" s="45">
        <v>84.6</v>
      </c>
      <c r="N110" s="45">
        <f t="shared" si="3"/>
        <v>30.334540499838646</v>
      </c>
      <c r="O110" s="34">
        <v>137</v>
      </c>
      <c r="P110" s="34">
        <v>76</v>
      </c>
      <c r="Q110" s="45">
        <v>50</v>
      </c>
      <c r="R110" s="34" t="s">
        <v>4</v>
      </c>
      <c r="S110" s="34"/>
      <c r="T110" s="34">
        <v>89</v>
      </c>
      <c r="U110" s="92">
        <v>84</v>
      </c>
      <c r="V110" s="92">
        <v>336</v>
      </c>
      <c r="W110" s="92">
        <v>26</v>
      </c>
      <c r="X110" s="92">
        <v>54</v>
      </c>
      <c r="Y110" s="93">
        <v>8.1</v>
      </c>
      <c r="Z110" s="34" t="s">
        <v>4</v>
      </c>
      <c r="AA110" s="34"/>
      <c r="AB110" s="34" t="s">
        <v>4</v>
      </c>
      <c r="AC110" s="34"/>
      <c r="AD110" s="34" t="s">
        <v>8</v>
      </c>
      <c r="AE110" s="34" t="s">
        <v>450</v>
      </c>
      <c r="AF110" s="34"/>
      <c r="AG110" s="34"/>
      <c r="AH110" s="34" t="s">
        <v>901</v>
      </c>
      <c r="AI110" s="34" t="s">
        <v>154</v>
      </c>
      <c r="AJ110" s="34" t="s">
        <v>902</v>
      </c>
      <c r="AK110" s="49">
        <v>46219</v>
      </c>
      <c r="AL110" s="46" t="str">
        <f ca="1">IF((AK110+60)&lt;TODAY(),"เลยกำหนด",IF((AK110+60)-TODAY()&lt;=30,"ใกล้ถึง","ยังไม่ถึง"))</f>
        <v>ใกล้ถึง</v>
      </c>
      <c r="AM110" s="47">
        <f ca="1">MAX(0, (AK110+60) - TODAY())</f>
        <v>28</v>
      </c>
      <c r="AN110" s="30" t="str">
        <f t="shared" ca="1" si="10"/>
        <v>ยังไม่หมด</v>
      </c>
      <c r="AO110" s="47">
        <f t="shared" ca="1" si="11"/>
        <v>273</v>
      </c>
      <c r="AP110" s="47"/>
    </row>
    <row r="111" spans="1:42" ht="15.75" customHeight="1">
      <c r="A111" s="50" t="s">
        <v>903</v>
      </c>
      <c r="B111" s="50" t="s">
        <v>904</v>
      </c>
      <c r="C111" s="50" t="s">
        <v>843</v>
      </c>
      <c r="D111" s="50" t="s">
        <v>64</v>
      </c>
      <c r="E111" s="50" t="s">
        <v>23</v>
      </c>
      <c r="F111" s="51" t="s">
        <v>325</v>
      </c>
      <c r="G111" s="50" t="s">
        <v>328</v>
      </c>
      <c r="H111" s="52">
        <v>29808</v>
      </c>
      <c r="I111" s="50">
        <f t="shared" ca="1" si="0"/>
        <v>45</v>
      </c>
      <c r="J111" s="50" t="s">
        <v>3</v>
      </c>
      <c r="K111" s="52">
        <v>46129</v>
      </c>
      <c r="L111" s="53">
        <v>155.30000000000001</v>
      </c>
      <c r="M111" s="53">
        <v>52</v>
      </c>
      <c r="N111" s="53">
        <f t="shared" si="3"/>
        <v>21.560579631305792</v>
      </c>
      <c r="O111" s="50">
        <v>129</v>
      </c>
      <c r="P111" s="50">
        <v>79</v>
      </c>
      <c r="Q111" s="53">
        <v>37.200000000000003</v>
      </c>
      <c r="R111" s="50" t="s">
        <v>4</v>
      </c>
      <c r="S111" s="50"/>
      <c r="T111" s="74">
        <v>83</v>
      </c>
      <c r="U111" s="50">
        <v>108</v>
      </c>
      <c r="V111" s="50">
        <v>55</v>
      </c>
      <c r="W111" s="50">
        <v>11</v>
      </c>
      <c r="X111" s="50">
        <v>14</v>
      </c>
      <c r="Y111" s="54">
        <v>6</v>
      </c>
      <c r="Z111" s="50" t="s">
        <v>4</v>
      </c>
      <c r="AA111" s="50"/>
      <c r="AB111" s="50" t="s">
        <v>4</v>
      </c>
      <c r="AC111" s="50"/>
      <c r="AD111" s="50" t="s">
        <v>8</v>
      </c>
      <c r="AE111" s="50" t="s">
        <v>905</v>
      </c>
      <c r="AF111" s="50" t="s">
        <v>4</v>
      </c>
      <c r="AG111" s="50"/>
      <c r="AH111" s="50" t="s">
        <v>906</v>
      </c>
      <c r="AI111" s="50" t="s">
        <v>137</v>
      </c>
      <c r="AJ111" s="82" t="s">
        <v>231</v>
      </c>
      <c r="AK111" s="25">
        <v>46135</v>
      </c>
      <c r="AL111" s="25"/>
      <c r="AM111" s="27"/>
      <c r="AN111" s="30" t="str">
        <f t="shared" ca="1" si="10"/>
        <v>ยังไม่หมด</v>
      </c>
      <c r="AO111" s="47">
        <f t="shared" ca="1" si="11"/>
        <v>242</v>
      </c>
      <c r="AP111" s="47"/>
    </row>
    <row r="112" spans="1:42" ht="15.75" customHeight="1">
      <c r="A112" s="34" t="s">
        <v>907</v>
      </c>
      <c r="B112" s="34" t="s">
        <v>908</v>
      </c>
      <c r="C112" s="34" t="s">
        <v>909</v>
      </c>
      <c r="D112" s="34" t="s">
        <v>64</v>
      </c>
      <c r="E112" s="34" t="s">
        <v>23</v>
      </c>
      <c r="F112" s="90" t="s">
        <v>325</v>
      </c>
      <c r="G112" s="34" t="s">
        <v>328</v>
      </c>
      <c r="H112" s="91">
        <v>37461</v>
      </c>
      <c r="I112" s="34">
        <f t="shared" ca="1" si="0"/>
        <v>24</v>
      </c>
      <c r="J112" s="34" t="s">
        <v>24</v>
      </c>
      <c r="K112" s="91">
        <v>46107</v>
      </c>
      <c r="L112" s="45">
        <v>168.4</v>
      </c>
      <c r="M112" s="45">
        <v>82.95</v>
      </c>
      <c r="N112" s="45">
        <f t="shared" si="3"/>
        <v>29.250427384183112</v>
      </c>
      <c r="O112" s="34">
        <v>119</v>
      </c>
      <c r="P112" s="34">
        <v>72</v>
      </c>
      <c r="Q112" s="45">
        <v>42.9</v>
      </c>
      <c r="R112" s="34" t="s">
        <v>4</v>
      </c>
      <c r="S112" s="34"/>
      <c r="T112" s="34">
        <v>91</v>
      </c>
      <c r="U112" s="92">
        <v>145</v>
      </c>
      <c r="V112" s="92">
        <v>114</v>
      </c>
      <c r="W112" s="34">
        <v>26</v>
      </c>
      <c r="X112" s="34">
        <v>37</v>
      </c>
      <c r="Y112" s="93">
        <v>10</v>
      </c>
      <c r="Z112" s="34" t="s">
        <v>4</v>
      </c>
      <c r="AA112" s="34"/>
      <c r="AB112" s="34" t="s">
        <v>4</v>
      </c>
      <c r="AC112" s="34"/>
      <c r="AD112" s="34" t="s">
        <v>8</v>
      </c>
      <c r="AE112" s="34" t="s">
        <v>910</v>
      </c>
      <c r="AF112" s="34"/>
      <c r="AG112" s="34"/>
      <c r="AH112" s="34" t="s">
        <v>911</v>
      </c>
      <c r="AI112" s="34" t="s">
        <v>154</v>
      </c>
      <c r="AJ112" s="34" t="s">
        <v>912</v>
      </c>
      <c r="AK112" s="49">
        <v>46219</v>
      </c>
      <c r="AL112" s="46" t="str">
        <f ca="1">IF((AK112+90)&lt;TODAY(),"เลยกำหนด",IF((AK112+90)-TODAY()&lt;=30,"ใกล้ถึง","ยังไม่ถึง"))</f>
        <v>ยังไม่ถึง</v>
      </c>
      <c r="AM112" s="165">
        <f ca="1">MAX(0, (AK112+90) - TODAY())</f>
        <v>58</v>
      </c>
      <c r="AN112" s="30" t="str">
        <f t="shared" ca="1" si="10"/>
        <v>ยังไม่หมด</v>
      </c>
      <c r="AO112" s="47">
        <f t="shared" ca="1" si="11"/>
        <v>220</v>
      </c>
      <c r="AP112" s="47"/>
    </row>
    <row r="113" spans="1:42" ht="15.75" customHeight="1">
      <c r="A113" s="50" t="s">
        <v>913</v>
      </c>
      <c r="B113" s="50" t="s">
        <v>914</v>
      </c>
      <c r="C113" s="50" t="s">
        <v>915</v>
      </c>
      <c r="D113" s="50" t="s">
        <v>64</v>
      </c>
      <c r="E113" s="50" t="s">
        <v>23</v>
      </c>
      <c r="F113" s="51" t="s">
        <v>325</v>
      </c>
      <c r="G113" s="50" t="s">
        <v>328</v>
      </c>
      <c r="H113" s="52">
        <v>36554</v>
      </c>
      <c r="I113" s="50">
        <f t="shared" ca="1" si="0"/>
        <v>26</v>
      </c>
      <c r="J113" s="50" t="s">
        <v>3</v>
      </c>
      <c r="K113" s="52">
        <v>46142</v>
      </c>
      <c r="L113" s="53">
        <v>162</v>
      </c>
      <c r="M113" s="53">
        <v>71.5</v>
      </c>
      <c r="N113" s="53">
        <f t="shared" si="3"/>
        <v>27.244322511812218</v>
      </c>
      <c r="O113" s="50">
        <v>117</v>
      </c>
      <c r="P113" s="50">
        <v>60</v>
      </c>
      <c r="Q113" s="53">
        <v>43.5</v>
      </c>
      <c r="R113" s="50" t="s">
        <v>8</v>
      </c>
      <c r="S113" s="50" t="s">
        <v>749</v>
      </c>
      <c r="T113" s="50">
        <v>92</v>
      </c>
      <c r="U113" s="50">
        <v>101</v>
      </c>
      <c r="V113" s="50">
        <v>133</v>
      </c>
      <c r="W113" s="50">
        <v>23</v>
      </c>
      <c r="X113" s="50">
        <v>31</v>
      </c>
      <c r="Y113" s="54">
        <v>7.3</v>
      </c>
      <c r="Z113" s="50" t="s">
        <v>4</v>
      </c>
      <c r="AA113" s="50"/>
      <c r="AB113" s="50" t="s">
        <v>4</v>
      </c>
      <c r="AC113" s="50"/>
      <c r="AD113" s="50" t="s">
        <v>4</v>
      </c>
      <c r="AE113" s="50"/>
      <c r="AF113" s="50"/>
      <c r="AG113" s="50"/>
      <c r="AH113" s="50"/>
      <c r="AI113" s="50" t="s">
        <v>137</v>
      </c>
      <c r="AJ113" s="50" t="s">
        <v>621</v>
      </c>
      <c r="AK113" s="25">
        <v>46180</v>
      </c>
      <c r="AL113" s="50"/>
      <c r="AM113" s="27"/>
      <c r="AN113" s="30" t="str">
        <f t="shared" ca="1" si="10"/>
        <v>ยังไม่หมด</v>
      </c>
      <c r="AO113" s="47">
        <f t="shared" ca="1" si="11"/>
        <v>255</v>
      </c>
      <c r="AP113" s="47"/>
    </row>
    <row r="114" spans="1:42" ht="15.75" customHeight="1">
      <c r="A114" s="50" t="s">
        <v>916</v>
      </c>
      <c r="B114" s="50" t="s">
        <v>917</v>
      </c>
      <c r="C114" s="50" t="s">
        <v>918</v>
      </c>
      <c r="D114" s="50" t="s">
        <v>64</v>
      </c>
      <c r="E114" s="50" t="s">
        <v>23</v>
      </c>
      <c r="F114" s="51" t="s">
        <v>325</v>
      </c>
      <c r="G114" s="50" t="s">
        <v>328</v>
      </c>
      <c r="H114" s="52">
        <v>37206</v>
      </c>
      <c r="I114" s="50">
        <f t="shared" ca="1" si="0"/>
        <v>25</v>
      </c>
      <c r="J114" s="50" t="s">
        <v>3</v>
      </c>
      <c r="K114" s="52">
        <v>46079</v>
      </c>
      <c r="L114" s="53">
        <v>180.5</v>
      </c>
      <c r="M114" s="53">
        <v>97.55</v>
      </c>
      <c r="N114" s="53">
        <f t="shared" si="3"/>
        <v>29.941452260188303</v>
      </c>
      <c r="O114" s="50">
        <v>139</v>
      </c>
      <c r="P114" s="50">
        <v>84</v>
      </c>
      <c r="Q114" s="53">
        <v>40.6</v>
      </c>
      <c r="R114" s="50" t="s">
        <v>4</v>
      </c>
      <c r="S114" s="50"/>
      <c r="T114" s="50">
        <v>80</v>
      </c>
      <c r="U114" s="50">
        <v>125</v>
      </c>
      <c r="V114" s="50">
        <v>62</v>
      </c>
      <c r="W114" s="50">
        <v>25</v>
      </c>
      <c r="X114" s="50">
        <v>30</v>
      </c>
      <c r="Y114" s="54">
        <v>6.7</v>
      </c>
      <c r="Z114" s="50" t="s">
        <v>4</v>
      </c>
      <c r="AA114" s="50"/>
      <c r="AB114" s="50" t="s">
        <v>4</v>
      </c>
      <c r="AC114" s="50"/>
      <c r="AD114" s="50" t="s">
        <v>4</v>
      </c>
      <c r="AE114" s="50"/>
      <c r="AF114" s="50"/>
      <c r="AG114" s="50"/>
      <c r="AH114" s="50" t="s">
        <v>919</v>
      </c>
      <c r="AI114" s="50" t="s">
        <v>137</v>
      </c>
      <c r="AJ114" s="50" t="s">
        <v>254</v>
      </c>
      <c r="AK114" s="25">
        <v>46085</v>
      </c>
      <c r="AL114" s="55"/>
      <c r="AM114" s="47"/>
      <c r="AN114" s="30" t="str">
        <f t="shared" ca="1" si="10"/>
        <v>ยังไม่หมด</v>
      </c>
      <c r="AO114" s="47">
        <f t="shared" ca="1" si="11"/>
        <v>192</v>
      </c>
      <c r="AP114" s="47"/>
    </row>
    <row r="115" spans="1:42" ht="15.75" customHeight="1">
      <c r="A115" s="6" t="s">
        <v>920</v>
      </c>
      <c r="B115" s="6" t="s">
        <v>921</v>
      </c>
      <c r="C115" s="6" t="s">
        <v>922</v>
      </c>
      <c r="D115" s="6" t="s">
        <v>64</v>
      </c>
      <c r="E115" s="6" t="s">
        <v>23</v>
      </c>
      <c r="F115" s="100" t="s">
        <v>325</v>
      </c>
      <c r="G115" s="6" t="s">
        <v>328</v>
      </c>
      <c r="H115" s="101">
        <v>28281</v>
      </c>
      <c r="I115" s="6">
        <f t="shared" ca="1" si="0"/>
        <v>49</v>
      </c>
      <c r="J115" s="6" t="s">
        <v>3</v>
      </c>
      <c r="K115" s="101">
        <v>46189</v>
      </c>
      <c r="L115" s="166">
        <v>161</v>
      </c>
      <c r="M115" s="166">
        <v>62.5</v>
      </c>
      <c r="N115" s="167">
        <f t="shared" si="3"/>
        <v>24.111724084718951</v>
      </c>
      <c r="O115" s="21">
        <v>126</v>
      </c>
      <c r="P115" s="21">
        <v>78</v>
      </c>
      <c r="Q115" s="20">
        <v>41.5</v>
      </c>
      <c r="R115" s="6" t="s">
        <v>4</v>
      </c>
      <c r="S115" s="6"/>
      <c r="T115" s="168">
        <v>109</v>
      </c>
      <c r="U115" s="6">
        <v>128</v>
      </c>
      <c r="V115" s="6">
        <v>83</v>
      </c>
      <c r="W115" s="6">
        <v>23</v>
      </c>
      <c r="X115" s="6">
        <v>14</v>
      </c>
      <c r="Y115" s="102">
        <v>5.8</v>
      </c>
      <c r="Z115" s="6" t="s">
        <v>4</v>
      </c>
      <c r="AA115" s="168"/>
      <c r="AB115" s="6" t="s">
        <v>4</v>
      </c>
      <c r="AC115" s="6"/>
      <c r="AD115" s="6" t="s">
        <v>8</v>
      </c>
      <c r="AE115" s="6" t="s">
        <v>230</v>
      </c>
      <c r="AF115" s="6" t="s">
        <v>4</v>
      </c>
      <c r="AG115" s="6"/>
      <c r="AH115" s="21"/>
      <c r="AI115" s="50" t="s">
        <v>137</v>
      </c>
      <c r="AJ115" s="6" t="s">
        <v>231</v>
      </c>
      <c r="AK115" s="24">
        <v>46193</v>
      </c>
      <c r="AL115" s="132"/>
      <c r="AM115" s="27"/>
      <c r="AN115" s="48" t="str">
        <f t="shared" ca="1" si="10"/>
        <v>ยังไม่หมด</v>
      </c>
      <c r="AO115" s="47">
        <f t="shared" ca="1" si="11"/>
        <v>302</v>
      </c>
      <c r="AP115" s="47"/>
    </row>
    <row r="116" spans="1:42" ht="15.75" customHeight="1">
      <c r="A116" s="50" t="s">
        <v>923</v>
      </c>
      <c r="B116" s="50" t="s">
        <v>924</v>
      </c>
      <c r="C116" s="50" t="s">
        <v>925</v>
      </c>
      <c r="D116" s="50" t="s">
        <v>64</v>
      </c>
      <c r="E116" s="50" t="s">
        <v>23</v>
      </c>
      <c r="F116" s="51" t="s">
        <v>325</v>
      </c>
      <c r="G116" s="50" t="s">
        <v>328</v>
      </c>
      <c r="H116" s="52">
        <v>37103</v>
      </c>
      <c r="I116" s="50">
        <f t="shared" ca="1" si="0"/>
        <v>25</v>
      </c>
      <c r="J116" s="50" t="s">
        <v>3</v>
      </c>
      <c r="K116" s="52">
        <v>46170</v>
      </c>
      <c r="L116" s="116">
        <v>162</v>
      </c>
      <c r="M116" s="116">
        <v>69.7</v>
      </c>
      <c r="N116" s="53">
        <f t="shared" si="3"/>
        <v>26.558451455570793</v>
      </c>
      <c r="O116" s="50">
        <v>138</v>
      </c>
      <c r="P116" s="50">
        <v>69</v>
      </c>
      <c r="Q116" s="53">
        <v>44.1</v>
      </c>
      <c r="R116" s="50" t="s">
        <v>4</v>
      </c>
      <c r="S116" s="50"/>
      <c r="T116" s="50">
        <v>94</v>
      </c>
      <c r="U116" s="50">
        <v>146</v>
      </c>
      <c r="V116" s="50">
        <v>106</v>
      </c>
      <c r="W116" s="50">
        <v>33</v>
      </c>
      <c r="X116" s="50">
        <v>36</v>
      </c>
      <c r="Y116" s="54">
        <v>5.6</v>
      </c>
      <c r="Z116" s="50" t="s">
        <v>14</v>
      </c>
      <c r="AA116" s="50" t="s">
        <v>645</v>
      </c>
      <c r="AB116" s="50" t="s">
        <v>4</v>
      </c>
      <c r="AC116" s="50"/>
      <c r="AD116" s="50" t="s">
        <v>8</v>
      </c>
      <c r="AE116" s="50" t="s">
        <v>926</v>
      </c>
      <c r="AF116" s="50"/>
      <c r="AG116" s="50"/>
      <c r="AH116" s="50" t="s">
        <v>927</v>
      </c>
      <c r="AI116" s="50" t="s">
        <v>137</v>
      </c>
      <c r="AJ116" s="50" t="s">
        <v>928</v>
      </c>
      <c r="AK116" s="25">
        <v>46211</v>
      </c>
      <c r="AL116" s="25"/>
      <c r="AM116" s="27"/>
      <c r="AN116" s="48" t="str">
        <f t="shared" ca="1" si="10"/>
        <v>ยังไม่หมด</v>
      </c>
      <c r="AO116" s="47">
        <f t="shared" ca="1" si="11"/>
        <v>283</v>
      </c>
      <c r="AP116" s="47"/>
    </row>
    <row r="117" spans="1:42" ht="15.75" customHeight="1">
      <c r="A117" s="50" t="s">
        <v>929</v>
      </c>
      <c r="B117" s="50" t="s">
        <v>930</v>
      </c>
      <c r="C117" s="50" t="s">
        <v>931</v>
      </c>
      <c r="D117" s="50" t="s">
        <v>64</v>
      </c>
      <c r="E117" s="50" t="s">
        <v>23</v>
      </c>
      <c r="F117" s="51" t="s">
        <v>325</v>
      </c>
      <c r="G117" s="50" t="s">
        <v>328</v>
      </c>
      <c r="H117" s="52">
        <v>35103</v>
      </c>
      <c r="I117" s="50">
        <f t="shared" ca="1" si="0"/>
        <v>30</v>
      </c>
      <c r="J117" s="50" t="s">
        <v>3</v>
      </c>
      <c r="K117" s="52">
        <v>46091</v>
      </c>
      <c r="L117" s="116">
        <v>164</v>
      </c>
      <c r="M117" s="116">
        <v>66.3</v>
      </c>
      <c r="N117" s="53">
        <f t="shared" si="3"/>
        <v>24.650505651397971</v>
      </c>
      <c r="O117" s="50">
        <v>116</v>
      </c>
      <c r="P117" s="50">
        <v>70</v>
      </c>
      <c r="Q117" s="53">
        <v>41.7</v>
      </c>
      <c r="R117" s="50" t="s">
        <v>4</v>
      </c>
      <c r="S117" s="50"/>
      <c r="T117" s="50">
        <v>107</v>
      </c>
      <c r="U117" s="50">
        <v>104</v>
      </c>
      <c r="V117" s="50">
        <v>97</v>
      </c>
      <c r="W117" s="50">
        <v>19</v>
      </c>
      <c r="X117" s="50">
        <v>13</v>
      </c>
      <c r="Y117" s="54">
        <v>6.2</v>
      </c>
      <c r="Z117" s="50" t="s">
        <v>4</v>
      </c>
      <c r="AA117" s="50"/>
      <c r="AB117" s="50" t="s">
        <v>4</v>
      </c>
      <c r="AC117" s="50"/>
      <c r="AD117" s="50" t="s">
        <v>8</v>
      </c>
      <c r="AE117" s="50" t="s">
        <v>932</v>
      </c>
      <c r="AF117" s="50"/>
      <c r="AG117" s="50"/>
      <c r="AH117" s="50" t="s">
        <v>933</v>
      </c>
      <c r="AI117" s="50" t="s">
        <v>137</v>
      </c>
      <c r="AJ117" s="50" t="s">
        <v>934</v>
      </c>
      <c r="AK117" s="25">
        <v>46099</v>
      </c>
      <c r="AL117" s="25"/>
      <c r="AM117" s="27"/>
      <c r="AN117" s="30" t="str">
        <f t="shared" ca="1" si="10"/>
        <v>ยังไม่หมด</v>
      </c>
      <c r="AO117" s="47">
        <f t="shared" ca="1" si="11"/>
        <v>204</v>
      </c>
      <c r="AP117" s="47"/>
    </row>
    <row r="118" spans="1:42" ht="15.75" customHeight="1">
      <c r="A118" s="50" t="s">
        <v>935</v>
      </c>
      <c r="B118" s="50" t="s">
        <v>936</v>
      </c>
      <c r="C118" s="50" t="s">
        <v>937</v>
      </c>
      <c r="D118" s="50" t="s">
        <v>64</v>
      </c>
      <c r="E118" s="50" t="s">
        <v>23</v>
      </c>
      <c r="F118" s="51" t="s">
        <v>325</v>
      </c>
      <c r="G118" s="50" t="s">
        <v>328</v>
      </c>
      <c r="H118" s="52">
        <v>33694</v>
      </c>
      <c r="I118" s="50">
        <f t="shared" ca="1" si="0"/>
        <v>34</v>
      </c>
      <c r="J118" s="50" t="s">
        <v>3</v>
      </c>
      <c r="K118" s="52">
        <v>46170</v>
      </c>
      <c r="L118" s="53">
        <v>163.5</v>
      </c>
      <c r="M118" s="53">
        <v>66.150000000000006</v>
      </c>
      <c r="N118" s="53">
        <f t="shared" si="3"/>
        <v>24.745391802036867</v>
      </c>
      <c r="O118" s="50">
        <v>140</v>
      </c>
      <c r="P118" s="50">
        <v>79</v>
      </c>
      <c r="Q118" s="53">
        <v>39.799999999999997</v>
      </c>
      <c r="R118" s="50" t="s">
        <v>4</v>
      </c>
      <c r="S118" s="50"/>
      <c r="T118" s="50">
        <v>87</v>
      </c>
      <c r="U118" s="50">
        <v>136</v>
      </c>
      <c r="V118" s="50">
        <v>63</v>
      </c>
      <c r="W118" s="50">
        <v>19</v>
      </c>
      <c r="X118" s="50">
        <v>13</v>
      </c>
      <c r="Y118" s="54">
        <v>5.7</v>
      </c>
      <c r="Z118" s="50" t="s">
        <v>14</v>
      </c>
      <c r="AA118" s="50" t="s">
        <v>645</v>
      </c>
      <c r="AB118" s="50" t="s">
        <v>4</v>
      </c>
      <c r="AC118" s="50"/>
      <c r="AD118" s="50" t="s">
        <v>8</v>
      </c>
      <c r="AE118" s="50" t="s">
        <v>938</v>
      </c>
      <c r="AF118" s="50"/>
      <c r="AG118" s="50"/>
      <c r="AH118" s="50" t="s">
        <v>939</v>
      </c>
      <c r="AI118" s="50" t="s">
        <v>137</v>
      </c>
      <c r="AJ118" s="50" t="s">
        <v>940</v>
      </c>
      <c r="AK118" s="25">
        <v>46180</v>
      </c>
      <c r="AL118" s="25"/>
      <c r="AM118" s="27"/>
      <c r="AN118" s="30" t="str">
        <f t="shared" ca="1" si="10"/>
        <v>ยังไม่หมด</v>
      </c>
      <c r="AO118" s="47">
        <f t="shared" ca="1" si="11"/>
        <v>283</v>
      </c>
      <c r="AP118" s="47"/>
    </row>
    <row r="119" spans="1:42" ht="15.75" customHeight="1">
      <c r="A119" s="23" t="s">
        <v>941</v>
      </c>
      <c r="B119" s="23" t="s">
        <v>942</v>
      </c>
      <c r="C119" s="23" t="s">
        <v>943</v>
      </c>
      <c r="D119" s="23" t="s">
        <v>64</v>
      </c>
      <c r="E119" s="23" t="s">
        <v>23</v>
      </c>
      <c r="F119" s="26" t="s">
        <v>325</v>
      </c>
      <c r="G119" s="23" t="s">
        <v>328</v>
      </c>
      <c r="H119" s="28">
        <v>32751</v>
      </c>
      <c r="I119" s="23">
        <f t="shared" ca="1" si="0"/>
        <v>37</v>
      </c>
      <c r="J119" s="23" t="s">
        <v>3</v>
      </c>
      <c r="K119" s="28">
        <v>46241</v>
      </c>
      <c r="L119" s="31">
        <v>159.6</v>
      </c>
      <c r="M119" s="31">
        <v>58.65</v>
      </c>
      <c r="N119" s="31">
        <f t="shared" si="3"/>
        <v>23.025138033052553</v>
      </c>
      <c r="O119" s="59">
        <v>123</v>
      </c>
      <c r="P119" s="59">
        <v>60</v>
      </c>
      <c r="Q119" s="31">
        <v>41</v>
      </c>
      <c r="R119" s="23" t="s">
        <v>4</v>
      </c>
      <c r="S119" s="23"/>
      <c r="T119" s="23">
        <v>115</v>
      </c>
      <c r="U119" s="23">
        <v>172</v>
      </c>
      <c r="V119" s="59">
        <v>71</v>
      </c>
      <c r="W119" s="23">
        <v>25</v>
      </c>
      <c r="X119" s="23">
        <v>17</v>
      </c>
      <c r="Y119" s="37">
        <v>7.9</v>
      </c>
      <c r="Z119" s="23" t="s">
        <v>4</v>
      </c>
      <c r="AA119" s="23"/>
      <c r="AB119" s="23" t="s">
        <v>4</v>
      </c>
      <c r="AC119" s="23"/>
      <c r="AD119" s="23" t="s">
        <v>8</v>
      </c>
      <c r="AE119" s="23" t="s">
        <v>944</v>
      </c>
      <c r="AF119" s="23"/>
      <c r="AG119" s="23"/>
      <c r="AH119" s="23" t="s">
        <v>945</v>
      </c>
      <c r="AI119" s="34" t="s">
        <v>154</v>
      </c>
      <c r="AJ119" s="34" t="s">
        <v>946</v>
      </c>
      <c r="AK119" s="58">
        <v>46244</v>
      </c>
      <c r="AL119" s="46" t="str">
        <f ca="1">IF((AK119+90)&lt;TODAY(),"เลยกำหนด",IF((AK119+90)-TODAY()&lt;=30,"ใกล้ถึง","ยังไม่ถึง"))</f>
        <v>ยังไม่ถึง</v>
      </c>
      <c r="AM119" s="47">
        <f ca="1">MAX(0, (AK119+90) - TODAY())</f>
        <v>83</v>
      </c>
      <c r="AN119" s="30" t="str">
        <f t="shared" ca="1" si="10"/>
        <v>ยังไม่หมด</v>
      </c>
      <c r="AO119" s="47">
        <f t="shared" ca="1" si="11"/>
        <v>354</v>
      </c>
      <c r="AP119" s="47"/>
    </row>
    <row r="120" spans="1:42" ht="17.25" customHeight="1">
      <c r="A120" s="50" t="s">
        <v>947</v>
      </c>
      <c r="B120" s="73" t="s">
        <v>948</v>
      </c>
      <c r="C120" s="50" t="s">
        <v>949</v>
      </c>
      <c r="D120" s="50" t="s">
        <v>64</v>
      </c>
      <c r="E120" s="50" t="s">
        <v>23</v>
      </c>
      <c r="F120" s="51" t="s">
        <v>325</v>
      </c>
      <c r="G120" s="50" t="s">
        <v>328</v>
      </c>
      <c r="H120" s="52">
        <v>37565</v>
      </c>
      <c r="I120" s="50">
        <f t="shared" ca="1" si="0"/>
        <v>24</v>
      </c>
      <c r="J120" s="50" t="s">
        <v>3</v>
      </c>
      <c r="K120" s="159">
        <v>46079</v>
      </c>
      <c r="L120" s="160">
        <v>167.8</v>
      </c>
      <c r="M120" s="160">
        <v>64.75</v>
      </c>
      <c r="N120" s="53">
        <f t="shared" si="3"/>
        <v>22.996188492742789</v>
      </c>
      <c r="O120" s="73">
        <v>149</v>
      </c>
      <c r="P120" s="73">
        <v>81</v>
      </c>
      <c r="Q120" s="160">
        <v>42.2</v>
      </c>
      <c r="R120" s="50" t="s">
        <v>4</v>
      </c>
      <c r="S120" s="50"/>
      <c r="T120" s="73">
        <v>86</v>
      </c>
      <c r="U120" s="73">
        <v>49</v>
      </c>
      <c r="V120" s="73">
        <v>75</v>
      </c>
      <c r="W120" s="73">
        <v>25</v>
      </c>
      <c r="X120" s="73">
        <v>30</v>
      </c>
      <c r="Y120" s="161">
        <v>5.2</v>
      </c>
      <c r="Z120" s="50" t="s">
        <v>4</v>
      </c>
      <c r="AA120" s="50"/>
      <c r="AB120" s="50" t="s">
        <v>4</v>
      </c>
      <c r="AC120" s="50"/>
      <c r="AD120" s="50" t="s">
        <v>8</v>
      </c>
      <c r="AE120" s="73" t="s">
        <v>950</v>
      </c>
      <c r="AF120" s="50"/>
      <c r="AG120" s="50"/>
      <c r="AH120" s="50" t="s">
        <v>951</v>
      </c>
      <c r="AI120" s="50" t="s">
        <v>137</v>
      </c>
      <c r="AJ120" s="50" t="s">
        <v>952</v>
      </c>
      <c r="AK120" s="25">
        <v>46086</v>
      </c>
      <c r="AL120" s="55"/>
      <c r="AM120" s="27"/>
      <c r="AN120" s="30" t="str">
        <f t="shared" ca="1" si="10"/>
        <v>ยังไม่หมด</v>
      </c>
      <c r="AO120" s="47">
        <f t="shared" ca="1" si="11"/>
        <v>192</v>
      </c>
      <c r="AP120" s="47"/>
    </row>
    <row r="121" spans="1:42" ht="15.75" customHeight="1">
      <c r="A121" s="23" t="s">
        <v>953</v>
      </c>
      <c r="B121" s="23" t="s">
        <v>954</v>
      </c>
      <c r="C121" s="23" t="s">
        <v>955</v>
      </c>
      <c r="D121" s="23" t="s">
        <v>64</v>
      </c>
      <c r="E121" s="23" t="s">
        <v>23</v>
      </c>
      <c r="F121" s="26" t="s">
        <v>325</v>
      </c>
      <c r="G121" s="23" t="s">
        <v>328</v>
      </c>
      <c r="H121" s="28">
        <v>33398</v>
      </c>
      <c r="I121" s="23">
        <f t="shared" ca="1" si="0"/>
        <v>35</v>
      </c>
      <c r="J121" s="23" t="s">
        <v>24</v>
      </c>
      <c r="K121" s="28">
        <v>46085</v>
      </c>
      <c r="L121" s="31">
        <v>165</v>
      </c>
      <c r="M121" s="31">
        <v>55</v>
      </c>
      <c r="N121" s="31">
        <f t="shared" si="3"/>
        <v>20.202020202020197</v>
      </c>
      <c r="O121" s="23">
        <v>105</v>
      </c>
      <c r="P121" s="23">
        <v>66</v>
      </c>
      <c r="Q121" s="31">
        <v>48</v>
      </c>
      <c r="R121" s="23" t="s">
        <v>4</v>
      </c>
      <c r="S121" s="23"/>
      <c r="T121" s="23">
        <v>107</v>
      </c>
      <c r="U121" s="23">
        <v>144</v>
      </c>
      <c r="V121" s="23">
        <v>120</v>
      </c>
      <c r="W121" s="23">
        <v>21</v>
      </c>
      <c r="X121" s="23">
        <v>13</v>
      </c>
      <c r="Y121" s="37">
        <v>6.8</v>
      </c>
      <c r="Z121" s="23" t="s">
        <v>4</v>
      </c>
      <c r="AA121" s="23"/>
      <c r="AB121" s="23" t="s">
        <v>4</v>
      </c>
      <c r="AC121" s="23"/>
      <c r="AD121" s="23" t="s">
        <v>8</v>
      </c>
      <c r="AE121" s="23" t="s">
        <v>956</v>
      </c>
      <c r="AF121" s="23"/>
      <c r="AG121" s="23"/>
      <c r="AH121" s="23" t="s">
        <v>957</v>
      </c>
      <c r="AI121" s="23" t="s">
        <v>154</v>
      </c>
      <c r="AJ121" s="23" t="s">
        <v>958</v>
      </c>
      <c r="AK121" s="58">
        <v>46182</v>
      </c>
      <c r="AL121" s="46" t="str">
        <f ca="1">IF((AK121+90)&lt;TODAY(),"เลยกำหนด",IF((AK121+90)-TODAY()&lt;=30,"ใกล้ถึง","ยังไม่ถึง"))</f>
        <v>ใกล้ถึง</v>
      </c>
      <c r="AM121" s="165">
        <f ca="1">MAX(0, (AK121+90) - TODAY())</f>
        <v>21</v>
      </c>
      <c r="AN121" s="30" t="str">
        <f t="shared" ca="1" si="10"/>
        <v>ยังไม่หมด</v>
      </c>
      <c r="AO121" s="47">
        <f t="shared" ca="1" si="11"/>
        <v>198</v>
      </c>
      <c r="AP121" s="47"/>
    </row>
    <row r="122" spans="1:42" ht="15.75" customHeight="1">
      <c r="A122" s="50" t="s">
        <v>959</v>
      </c>
      <c r="B122" s="50" t="s">
        <v>960</v>
      </c>
      <c r="C122" s="50" t="s">
        <v>961</v>
      </c>
      <c r="D122" s="50" t="s">
        <v>64</v>
      </c>
      <c r="E122" s="50" t="s">
        <v>23</v>
      </c>
      <c r="F122" s="51" t="s">
        <v>325</v>
      </c>
      <c r="G122" s="50" t="s">
        <v>328</v>
      </c>
      <c r="H122" s="52">
        <v>28446</v>
      </c>
      <c r="I122" s="50">
        <f t="shared" ca="1" si="0"/>
        <v>49</v>
      </c>
      <c r="J122" s="50" t="s">
        <v>3</v>
      </c>
      <c r="K122" s="52">
        <v>46113</v>
      </c>
      <c r="L122" s="53">
        <v>165.5</v>
      </c>
      <c r="M122" s="53">
        <v>65.849999999999994</v>
      </c>
      <c r="N122" s="53">
        <f t="shared" si="3"/>
        <v>24.041401593632767</v>
      </c>
      <c r="O122" s="50">
        <v>132</v>
      </c>
      <c r="P122" s="50">
        <v>82</v>
      </c>
      <c r="Q122" s="53">
        <v>42.2</v>
      </c>
      <c r="R122" s="50" t="s">
        <v>4</v>
      </c>
      <c r="S122" s="50"/>
      <c r="T122" s="50">
        <v>94</v>
      </c>
      <c r="U122" s="50">
        <v>115</v>
      </c>
      <c r="V122" s="50">
        <v>88</v>
      </c>
      <c r="W122" s="50">
        <v>30</v>
      </c>
      <c r="X122" s="50">
        <v>26</v>
      </c>
      <c r="Y122" s="54">
        <v>7.3</v>
      </c>
      <c r="Z122" s="50" t="s">
        <v>4</v>
      </c>
      <c r="AA122" s="50"/>
      <c r="AB122" s="50" t="s">
        <v>4</v>
      </c>
      <c r="AC122" s="50"/>
      <c r="AD122" s="50" t="s">
        <v>8</v>
      </c>
      <c r="AE122" s="50" t="s">
        <v>962</v>
      </c>
      <c r="AF122" s="50" t="s">
        <v>4</v>
      </c>
      <c r="AG122" s="50"/>
      <c r="AH122" s="50" t="s">
        <v>963</v>
      </c>
      <c r="AI122" s="50" t="s">
        <v>137</v>
      </c>
      <c r="AJ122" s="50" t="s">
        <v>231</v>
      </c>
      <c r="AK122" s="25">
        <v>46114</v>
      </c>
      <c r="AL122" s="25"/>
      <c r="AM122" s="27"/>
      <c r="AN122" s="30" t="str">
        <f t="shared" ca="1" si="10"/>
        <v>ยังไม่หมด</v>
      </c>
      <c r="AO122" s="47">
        <f t="shared" ca="1" si="11"/>
        <v>226</v>
      </c>
      <c r="AP122" s="47"/>
    </row>
    <row r="123" spans="1:42" ht="15.75" customHeight="1">
      <c r="A123" s="50" t="s">
        <v>964</v>
      </c>
      <c r="B123" s="50" t="s">
        <v>965</v>
      </c>
      <c r="C123" s="50" t="s">
        <v>966</v>
      </c>
      <c r="D123" s="50" t="s">
        <v>64</v>
      </c>
      <c r="E123" s="50" t="s">
        <v>23</v>
      </c>
      <c r="F123" s="51" t="s">
        <v>325</v>
      </c>
      <c r="G123" s="50" t="s">
        <v>328</v>
      </c>
      <c r="H123" s="52">
        <v>36456</v>
      </c>
      <c r="I123" s="50">
        <f t="shared" ca="1" si="0"/>
        <v>27</v>
      </c>
      <c r="J123" s="50" t="s">
        <v>3</v>
      </c>
      <c r="K123" s="52">
        <v>46051</v>
      </c>
      <c r="L123" s="53">
        <v>170</v>
      </c>
      <c r="M123" s="53">
        <v>79.599999999999994</v>
      </c>
      <c r="N123" s="53">
        <f t="shared" si="3"/>
        <v>27.54325259515571</v>
      </c>
      <c r="O123" s="50">
        <v>128</v>
      </c>
      <c r="P123" s="50">
        <v>86</v>
      </c>
      <c r="Q123" s="53">
        <v>49</v>
      </c>
      <c r="R123" s="50" t="s">
        <v>4</v>
      </c>
      <c r="S123" s="169"/>
      <c r="T123" s="50">
        <v>98</v>
      </c>
      <c r="U123" s="50">
        <v>108</v>
      </c>
      <c r="V123" s="50">
        <v>104</v>
      </c>
      <c r="W123" s="50">
        <v>17</v>
      </c>
      <c r="X123" s="50">
        <v>22</v>
      </c>
      <c r="Y123" s="54">
        <v>7.3</v>
      </c>
      <c r="Z123" s="50" t="s">
        <v>4</v>
      </c>
      <c r="AA123" s="169"/>
      <c r="AB123" s="50" t="s">
        <v>4</v>
      </c>
      <c r="AC123" s="169"/>
      <c r="AD123" s="50" t="s">
        <v>8</v>
      </c>
      <c r="AE123" s="50" t="s">
        <v>967</v>
      </c>
      <c r="AF123" s="97"/>
      <c r="AG123" s="169"/>
      <c r="AH123" s="50"/>
      <c r="AI123" s="50" t="s">
        <v>137</v>
      </c>
      <c r="AJ123" s="50" t="s">
        <v>621</v>
      </c>
      <c r="AK123" s="25">
        <v>46063</v>
      </c>
      <c r="AL123" s="55"/>
      <c r="AM123" s="27"/>
      <c r="AN123" s="30" t="str">
        <f t="shared" ca="1" si="10"/>
        <v>ยังไม่หมด</v>
      </c>
      <c r="AO123" s="47">
        <f t="shared" ca="1" si="11"/>
        <v>164</v>
      </c>
      <c r="AP123" s="47"/>
    </row>
    <row r="124" spans="1:42" ht="15.75" customHeight="1">
      <c r="A124" s="50" t="s">
        <v>968</v>
      </c>
      <c r="B124" s="50" t="s">
        <v>969</v>
      </c>
      <c r="C124" s="50" t="s">
        <v>970</v>
      </c>
      <c r="D124" s="50" t="s">
        <v>64</v>
      </c>
      <c r="E124" s="50" t="s">
        <v>23</v>
      </c>
      <c r="F124" s="51" t="s">
        <v>325</v>
      </c>
      <c r="G124" s="50" t="s">
        <v>328</v>
      </c>
      <c r="H124" s="52">
        <v>34511</v>
      </c>
      <c r="I124" s="50">
        <f t="shared" ca="1" si="0"/>
        <v>32</v>
      </c>
      <c r="J124" s="50" t="s">
        <v>3</v>
      </c>
      <c r="K124" s="52">
        <v>46161</v>
      </c>
      <c r="L124" s="53">
        <v>158</v>
      </c>
      <c r="M124" s="53">
        <v>56</v>
      </c>
      <c r="N124" s="53">
        <f t="shared" si="3"/>
        <v>22.432302515622492</v>
      </c>
      <c r="O124" s="50">
        <v>108</v>
      </c>
      <c r="P124" s="50">
        <v>60</v>
      </c>
      <c r="Q124" s="53">
        <v>51.8</v>
      </c>
      <c r="R124" s="50" t="s">
        <v>8</v>
      </c>
      <c r="S124" s="50" t="s">
        <v>262</v>
      </c>
      <c r="T124" s="74">
        <v>112</v>
      </c>
      <c r="U124" s="50">
        <v>113</v>
      </c>
      <c r="V124" s="50">
        <v>84</v>
      </c>
      <c r="W124" s="50">
        <v>19</v>
      </c>
      <c r="X124" s="50">
        <v>18</v>
      </c>
      <c r="Y124" s="54">
        <v>6.2</v>
      </c>
      <c r="Z124" s="50" t="s">
        <v>4</v>
      </c>
      <c r="AA124" s="50"/>
      <c r="AB124" s="50" t="s">
        <v>4</v>
      </c>
      <c r="AC124" s="50"/>
      <c r="AD124" s="50" t="s">
        <v>8</v>
      </c>
      <c r="AE124" s="76" t="s">
        <v>403</v>
      </c>
      <c r="AF124" s="50"/>
      <c r="AG124" s="50"/>
      <c r="AH124" s="50"/>
      <c r="AI124" s="50" t="s">
        <v>137</v>
      </c>
      <c r="AJ124" s="50" t="s">
        <v>971</v>
      </c>
      <c r="AK124" s="25">
        <v>46167</v>
      </c>
      <c r="AL124" s="25"/>
      <c r="AM124" s="27"/>
      <c r="AN124" s="30" t="str">
        <f t="shared" ca="1" si="10"/>
        <v>ยังไม่หมด</v>
      </c>
      <c r="AO124" s="47">
        <f t="shared" ca="1" si="11"/>
        <v>274</v>
      </c>
      <c r="AP124" s="47"/>
    </row>
    <row r="125" spans="1:42" ht="15.75" customHeight="1">
      <c r="A125" s="50" t="s">
        <v>972</v>
      </c>
      <c r="B125" s="50" t="s">
        <v>973</v>
      </c>
      <c r="C125" s="50" t="s">
        <v>195</v>
      </c>
      <c r="D125" s="50" t="s">
        <v>64</v>
      </c>
      <c r="E125" s="50" t="s">
        <v>23</v>
      </c>
      <c r="F125" s="51" t="s">
        <v>325</v>
      </c>
      <c r="G125" s="50" t="s">
        <v>328</v>
      </c>
      <c r="H125" s="52">
        <v>34644</v>
      </c>
      <c r="I125" s="50">
        <f t="shared" ca="1" si="0"/>
        <v>32</v>
      </c>
      <c r="J125" s="50" t="s">
        <v>3</v>
      </c>
      <c r="K125" s="52">
        <v>45967</v>
      </c>
      <c r="L125" s="170">
        <v>174.4</v>
      </c>
      <c r="M125" s="170">
        <v>67.7</v>
      </c>
      <c r="N125" s="53">
        <f t="shared" si="3"/>
        <v>22.258490446932079</v>
      </c>
      <c r="O125" s="171">
        <v>131</v>
      </c>
      <c r="P125" s="171">
        <v>88</v>
      </c>
      <c r="Q125" s="170">
        <v>53</v>
      </c>
      <c r="R125" s="50" t="s">
        <v>4</v>
      </c>
      <c r="S125" s="50"/>
      <c r="T125" s="171">
        <v>70</v>
      </c>
      <c r="U125" s="171">
        <v>131</v>
      </c>
      <c r="V125" s="171">
        <v>108</v>
      </c>
      <c r="W125" s="171">
        <v>28</v>
      </c>
      <c r="X125" s="171">
        <v>34</v>
      </c>
      <c r="Y125" s="172">
        <v>6.4</v>
      </c>
      <c r="Z125" s="50" t="s">
        <v>4</v>
      </c>
      <c r="AA125" s="169"/>
      <c r="AB125" s="50" t="s">
        <v>8</v>
      </c>
      <c r="AC125" s="50" t="s">
        <v>974</v>
      </c>
      <c r="AD125" s="50" t="s">
        <v>8</v>
      </c>
      <c r="AE125" s="50" t="s">
        <v>761</v>
      </c>
      <c r="AF125" s="6"/>
      <c r="AG125" s="169"/>
      <c r="AH125" s="169" t="s">
        <v>975</v>
      </c>
      <c r="AI125" s="82" t="s">
        <v>137</v>
      </c>
      <c r="AJ125" s="50" t="s">
        <v>231</v>
      </c>
      <c r="AK125" s="25">
        <v>46156</v>
      </c>
      <c r="AL125" s="173"/>
      <c r="AM125" s="47"/>
      <c r="AN125" s="30" t="str">
        <f t="shared" ca="1" si="10"/>
        <v>ใกล้หมด 3 เดือน</v>
      </c>
      <c r="AO125" s="47">
        <f t="shared" ca="1" si="11"/>
        <v>80</v>
      </c>
      <c r="AP125" s="47"/>
    </row>
    <row r="126" spans="1:42" ht="15.75" customHeight="1">
      <c r="A126" s="23" t="s">
        <v>976</v>
      </c>
      <c r="B126" s="23" t="s">
        <v>977</v>
      </c>
      <c r="C126" s="23" t="s">
        <v>978</v>
      </c>
      <c r="D126" s="23" t="s">
        <v>64</v>
      </c>
      <c r="E126" s="23" t="s">
        <v>23</v>
      </c>
      <c r="F126" s="26" t="s">
        <v>325</v>
      </c>
      <c r="G126" s="23" t="s">
        <v>328</v>
      </c>
      <c r="H126" s="28">
        <v>34891</v>
      </c>
      <c r="I126" s="23">
        <f t="shared" ca="1" si="0"/>
        <v>31</v>
      </c>
      <c r="J126" s="23" t="s">
        <v>24</v>
      </c>
      <c r="K126" s="28">
        <v>46078</v>
      </c>
      <c r="L126" s="31">
        <v>171</v>
      </c>
      <c r="M126" s="31">
        <v>91</v>
      </c>
      <c r="N126" s="31">
        <f t="shared" si="3"/>
        <v>31.120686707020965</v>
      </c>
      <c r="O126" s="23">
        <v>137</v>
      </c>
      <c r="P126" s="23">
        <v>89</v>
      </c>
      <c r="Q126" s="31">
        <v>49.6</v>
      </c>
      <c r="R126" s="23" t="s">
        <v>4</v>
      </c>
      <c r="S126" s="23"/>
      <c r="T126" s="23">
        <v>110</v>
      </c>
      <c r="U126" s="23">
        <v>137</v>
      </c>
      <c r="V126" s="23">
        <v>224</v>
      </c>
      <c r="W126" s="23">
        <v>29</v>
      </c>
      <c r="X126" s="23">
        <v>44</v>
      </c>
      <c r="Y126" s="37">
        <v>6.1</v>
      </c>
      <c r="Z126" s="23" t="s">
        <v>4</v>
      </c>
      <c r="AA126" s="23"/>
      <c r="AB126" s="23" t="s">
        <v>4</v>
      </c>
      <c r="AC126" s="23"/>
      <c r="AD126" s="23" t="s">
        <v>8</v>
      </c>
      <c r="AE126" s="23" t="s">
        <v>979</v>
      </c>
      <c r="AF126" s="23"/>
      <c r="AG126" s="23"/>
      <c r="AH126" s="23" t="s">
        <v>980</v>
      </c>
      <c r="AI126" s="34" t="s">
        <v>154</v>
      </c>
      <c r="AJ126" s="23" t="s">
        <v>981</v>
      </c>
      <c r="AK126" s="58">
        <v>46244</v>
      </c>
      <c r="AL126" s="46" t="str">
        <f t="shared" ref="AL126:AL127" ca="1" si="16">IF((AK126+90)&lt;TODAY(),"เลยกำหนด",IF((AK126+90)-TODAY()&lt;=30,"ใกล้ถึง","ยังไม่ถึง"))</f>
        <v>ยังไม่ถึง</v>
      </c>
      <c r="AM126" s="47">
        <f t="shared" ref="AM126:AM127" ca="1" si="17">MAX(0, (AK126+90) - TODAY())</f>
        <v>83</v>
      </c>
      <c r="AN126" s="30" t="str">
        <f t="shared" ca="1" si="10"/>
        <v>ยังไม่หมด</v>
      </c>
      <c r="AO126" s="47">
        <f t="shared" ca="1" si="11"/>
        <v>191</v>
      </c>
      <c r="AP126" s="47"/>
    </row>
    <row r="127" spans="1:42" ht="15.75" customHeight="1">
      <c r="A127" s="34" t="s">
        <v>982</v>
      </c>
      <c r="B127" s="34" t="s">
        <v>983</v>
      </c>
      <c r="C127" s="34" t="s">
        <v>984</v>
      </c>
      <c r="D127" s="34" t="s">
        <v>64</v>
      </c>
      <c r="E127" s="34" t="s">
        <v>23</v>
      </c>
      <c r="F127" s="26" t="s">
        <v>225</v>
      </c>
      <c r="G127" s="34" t="s">
        <v>328</v>
      </c>
      <c r="H127" s="91">
        <v>35582</v>
      </c>
      <c r="I127" s="34">
        <f t="shared" ca="1" si="0"/>
        <v>29</v>
      </c>
      <c r="J127" s="34" t="s">
        <v>3</v>
      </c>
      <c r="K127" s="91">
        <v>46030</v>
      </c>
      <c r="L127" s="45">
        <v>174.7</v>
      </c>
      <c r="M127" s="45">
        <v>68.099999999999994</v>
      </c>
      <c r="N127" s="45">
        <f t="shared" si="3"/>
        <v>22.313171422495806</v>
      </c>
      <c r="O127" s="34">
        <v>122</v>
      </c>
      <c r="P127" s="34">
        <v>74</v>
      </c>
      <c r="Q127" s="45">
        <v>47.5</v>
      </c>
      <c r="R127" s="34" t="s">
        <v>4</v>
      </c>
      <c r="S127" s="33"/>
      <c r="T127" s="34">
        <v>84</v>
      </c>
      <c r="U127" s="34">
        <v>93</v>
      </c>
      <c r="V127" s="34">
        <v>84</v>
      </c>
      <c r="W127" s="34">
        <v>27</v>
      </c>
      <c r="X127" s="34">
        <v>46</v>
      </c>
      <c r="Y127" s="120">
        <v>6.9</v>
      </c>
      <c r="Z127" s="34" t="s">
        <v>14</v>
      </c>
      <c r="AA127" s="33" t="s">
        <v>645</v>
      </c>
      <c r="AB127" s="34" t="s">
        <v>8</v>
      </c>
      <c r="AC127" s="33" t="s">
        <v>985</v>
      </c>
      <c r="AD127" s="34" t="s">
        <v>8</v>
      </c>
      <c r="AE127" s="34" t="s">
        <v>986</v>
      </c>
      <c r="AF127" s="34" t="s">
        <v>14</v>
      </c>
      <c r="AG127" s="33"/>
      <c r="AH127" s="23" t="s">
        <v>987</v>
      </c>
      <c r="AI127" s="34" t="s">
        <v>154</v>
      </c>
      <c r="AJ127" s="34" t="s">
        <v>988</v>
      </c>
      <c r="AK127" s="49">
        <v>46093</v>
      </c>
      <c r="AL127" s="46" t="str">
        <f t="shared" ca="1" si="16"/>
        <v>เลยกำหนด</v>
      </c>
      <c r="AM127" s="47">
        <f t="shared" ca="1" si="17"/>
        <v>0</v>
      </c>
      <c r="AN127" s="30" t="str">
        <f t="shared" ca="1" si="10"/>
        <v>ยังไม่หมด</v>
      </c>
      <c r="AO127" s="47">
        <f t="shared" ca="1" si="11"/>
        <v>143</v>
      </c>
      <c r="AP127" s="47"/>
    </row>
    <row r="128" spans="1:42" ht="15.75" customHeight="1">
      <c r="A128" s="34" t="s">
        <v>989</v>
      </c>
      <c r="B128" s="34" t="s">
        <v>990</v>
      </c>
      <c r="C128" s="34" t="s">
        <v>991</v>
      </c>
      <c r="D128" s="34" t="s">
        <v>64</v>
      </c>
      <c r="E128" s="34" t="s">
        <v>23</v>
      </c>
      <c r="F128" s="26" t="s">
        <v>325</v>
      </c>
      <c r="G128" s="34" t="s">
        <v>328</v>
      </c>
      <c r="H128" s="91">
        <v>26931</v>
      </c>
      <c r="I128" s="34">
        <f t="shared" ca="1" si="0"/>
        <v>53</v>
      </c>
      <c r="J128" s="34" t="s">
        <v>3</v>
      </c>
      <c r="K128" s="91">
        <v>46128</v>
      </c>
      <c r="L128" s="124">
        <v>167</v>
      </c>
      <c r="M128" s="124">
        <v>85.4</v>
      </c>
      <c r="N128" s="45">
        <f t="shared" si="3"/>
        <v>30.621391946645634</v>
      </c>
      <c r="O128" s="34">
        <v>120</v>
      </c>
      <c r="P128" s="34">
        <v>73</v>
      </c>
      <c r="Q128" s="45">
        <v>40</v>
      </c>
      <c r="R128" s="34" t="s">
        <v>4</v>
      </c>
      <c r="S128" s="34"/>
      <c r="T128" s="34">
        <v>99</v>
      </c>
      <c r="U128" s="34">
        <v>105</v>
      </c>
      <c r="V128" s="34">
        <v>99</v>
      </c>
      <c r="W128" s="34">
        <v>29</v>
      </c>
      <c r="X128" s="34">
        <v>33</v>
      </c>
      <c r="Y128" s="120">
        <v>6.8</v>
      </c>
      <c r="Z128" s="34" t="s">
        <v>8</v>
      </c>
      <c r="AA128" s="34" t="s">
        <v>135</v>
      </c>
      <c r="AB128" s="34" t="s">
        <v>4</v>
      </c>
      <c r="AC128" s="34"/>
      <c r="AD128" s="34" t="s">
        <v>8</v>
      </c>
      <c r="AE128" s="34" t="s">
        <v>992</v>
      </c>
      <c r="AF128" s="34"/>
      <c r="AG128" s="34"/>
      <c r="AH128" s="34" t="s">
        <v>993</v>
      </c>
      <c r="AI128" s="34" t="s">
        <v>154</v>
      </c>
      <c r="AJ128" s="34" t="s">
        <v>994</v>
      </c>
      <c r="AK128" s="49">
        <v>46142</v>
      </c>
      <c r="AL128" s="46" t="str">
        <f ca="1">IF((AK128+180)&lt;TODAY(),"เลยกำหนด",IF((AK128+180)-TODAY()&lt;=30,"ใกล้ถึง","ยังไม่ถึง"))</f>
        <v>ยังไม่ถึง</v>
      </c>
      <c r="AM128" s="47">
        <f ca="1">MAX(0, (AK128+180) - TODAY())</f>
        <v>71</v>
      </c>
      <c r="AN128" s="30" t="str">
        <f t="shared" ca="1" si="10"/>
        <v>ยังไม่หมด</v>
      </c>
      <c r="AO128" s="47">
        <f t="shared" ca="1" si="11"/>
        <v>241</v>
      </c>
      <c r="AP128" s="47"/>
    </row>
    <row r="129" spans="1:42" ht="15.75" customHeight="1">
      <c r="A129" s="23" t="s">
        <v>995</v>
      </c>
      <c r="B129" s="23" t="s">
        <v>996</v>
      </c>
      <c r="C129" s="23" t="s">
        <v>997</v>
      </c>
      <c r="D129" s="23" t="s">
        <v>64</v>
      </c>
      <c r="E129" s="23" t="s">
        <v>23</v>
      </c>
      <c r="F129" s="26" t="s">
        <v>998</v>
      </c>
      <c r="G129" s="23" t="s">
        <v>999</v>
      </c>
      <c r="H129" s="28">
        <v>33554</v>
      </c>
      <c r="I129" s="23">
        <f t="shared" ca="1" si="0"/>
        <v>35</v>
      </c>
      <c r="J129" s="23" t="s">
        <v>3</v>
      </c>
      <c r="K129" s="28">
        <v>45986</v>
      </c>
      <c r="L129" s="31">
        <v>170</v>
      </c>
      <c r="M129" s="126">
        <v>95.2</v>
      </c>
      <c r="N129" s="31">
        <f t="shared" si="3"/>
        <v>32.941176470588239</v>
      </c>
      <c r="O129" s="23">
        <v>126</v>
      </c>
      <c r="P129" s="23">
        <v>88</v>
      </c>
      <c r="Q129" s="31">
        <v>47</v>
      </c>
      <c r="R129" s="23" t="s">
        <v>4</v>
      </c>
      <c r="S129" s="23" t="s">
        <v>1000</v>
      </c>
      <c r="T129" s="23">
        <v>91</v>
      </c>
      <c r="U129" s="23">
        <v>118</v>
      </c>
      <c r="V129" s="59">
        <v>178</v>
      </c>
      <c r="W129" s="23">
        <v>20</v>
      </c>
      <c r="X129" s="59">
        <v>32</v>
      </c>
      <c r="Y129" s="37">
        <v>6.3</v>
      </c>
      <c r="Z129" s="23" t="s">
        <v>4</v>
      </c>
      <c r="AA129" s="23"/>
      <c r="AB129" s="23" t="s">
        <v>4</v>
      </c>
      <c r="AC129" s="23"/>
      <c r="AD129" s="23" t="s">
        <v>8</v>
      </c>
      <c r="AE129" s="23" t="s">
        <v>1001</v>
      </c>
      <c r="AF129" s="23"/>
      <c r="AG129" s="23"/>
      <c r="AH129" s="23" t="s">
        <v>1002</v>
      </c>
      <c r="AI129" s="34" t="s">
        <v>154</v>
      </c>
      <c r="AJ129" s="23" t="s">
        <v>1003</v>
      </c>
      <c r="AK129" s="58">
        <v>46224</v>
      </c>
      <c r="AL129" s="46" t="str">
        <f ca="1">IF((AK129+90)&lt;TODAY(),"เลยกำหนด",IF((AK129+90)-TODAY()&lt;=30,"ใกล้ถึง","ยังไม่ถึง"))</f>
        <v>ยังไม่ถึง</v>
      </c>
      <c r="AM129" s="47">
        <f ca="1">MAX(0, (AK129+90) - TODAY())</f>
        <v>63</v>
      </c>
      <c r="AN129" s="30" t="str">
        <f t="shared" ca="1" si="10"/>
        <v>ยังไม่หมด</v>
      </c>
      <c r="AO129" s="47">
        <f t="shared" ca="1" si="11"/>
        <v>99</v>
      </c>
      <c r="AP129" s="47"/>
    </row>
    <row r="130" spans="1:42" ht="15.75" customHeight="1">
      <c r="A130" s="50" t="s">
        <v>1004</v>
      </c>
      <c r="B130" s="50" t="s">
        <v>1005</v>
      </c>
      <c r="C130" s="50" t="s">
        <v>1006</v>
      </c>
      <c r="D130" s="50" t="s">
        <v>64</v>
      </c>
      <c r="E130" s="50" t="s">
        <v>23</v>
      </c>
      <c r="F130" s="51" t="s">
        <v>325</v>
      </c>
      <c r="G130" s="50" t="s">
        <v>1007</v>
      </c>
      <c r="H130" s="52">
        <v>30383</v>
      </c>
      <c r="I130" s="50">
        <f t="shared" ca="1" si="0"/>
        <v>43</v>
      </c>
      <c r="J130" s="50" t="s">
        <v>24</v>
      </c>
      <c r="K130" s="52">
        <v>46133</v>
      </c>
      <c r="L130" s="53">
        <v>160</v>
      </c>
      <c r="M130" s="53">
        <v>69.599999999999994</v>
      </c>
      <c r="N130" s="53">
        <f t="shared" si="3"/>
        <v>27.187499999999993</v>
      </c>
      <c r="O130" s="50">
        <v>116</v>
      </c>
      <c r="P130" s="50">
        <v>74</v>
      </c>
      <c r="Q130" s="53">
        <v>42</v>
      </c>
      <c r="R130" s="50" t="s">
        <v>8</v>
      </c>
      <c r="S130" s="50" t="s">
        <v>1008</v>
      </c>
      <c r="T130" s="50">
        <v>107</v>
      </c>
      <c r="U130" s="50">
        <v>123</v>
      </c>
      <c r="V130" s="76">
        <v>156</v>
      </c>
      <c r="W130" s="50">
        <v>17</v>
      </c>
      <c r="X130" s="76">
        <v>26</v>
      </c>
      <c r="Y130" s="54">
        <v>4.5</v>
      </c>
      <c r="Z130" s="50" t="s">
        <v>4</v>
      </c>
      <c r="AA130" s="97"/>
      <c r="AB130" s="50" t="s">
        <v>4</v>
      </c>
      <c r="AC130" s="97"/>
      <c r="AD130" s="50" t="s">
        <v>4</v>
      </c>
      <c r="AE130" s="97"/>
      <c r="AF130" s="97"/>
      <c r="AG130" s="97"/>
      <c r="AH130" s="97"/>
      <c r="AI130" s="97" t="s">
        <v>137</v>
      </c>
      <c r="AJ130" s="97" t="s">
        <v>139</v>
      </c>
      <c r="AK130" s="55">
        <v>46141</v>
      </c>
      <c r="AL130" s="55"/>
      <c r="AM130" s="27"/>
      <c r="AN130" s="30" t="str">
        <f t="shared" ca="1" si="10"/>
        <v>ยังไม่หมด</v>
      </c>
      <c r="AO130" s="47">
        <f t="shared" ca="1" si="11"/>
        <v>246</v>
      </c>
      <c r="AP130" s="47"/>
    </row>
    <row r="131" spans="1:42" ht="15.75" customHeight="1">
      <c r="A131" s="23" t="s">
        <v>1009</v>
      </c>
      <c r="B131" s="23" t="s">
        <v>276</v>
      </c>
      <c r="C131" s="23" t="s">
        <v>1010</v>
      </c>
      <c r="D131" s="23" t="s">
        <v>64</v>
      </c>
      <c r="E131" s="23" t="s">
        <v>23</v>
      </c>
      <c r="F131" s="26" t="s">
        <v>366</v>
      </c>
      <c r="G131" s="23" t="s">
        <v>367</v>
      </c>
      <c r="H131" s="28">
        <v>28598</v>
      </c>
      <c r="I131" s="23">
        <f t="shared" ca="1" si="0"/>
        <v>48</v>
      </c>
      <c r="J131" s="23" t="s">
        <v>3</v>
      </c>
      <c r="K131" s="28">
        <v>46140</v>
      </c>
      <c r="L131" s="31">
        <v>168</v>
      </c>
      <c r="M131" s="31">
        <v>55</v>
      </c>
      <c r="N131" s="31">
        <f t="shared" si="3"/>
        <v>19.486961451247168</v>
      </c>
      <c r="O131" s="23">
        <v>100</v>
      </c>
      <c r="P131" s="23">
        <v>60</v>
      </c>
      <c r="Q131" s="31">
        <v>42.4</v>
      </c>
      <c r="R131" s="23" t="s">
        <v>4</v>
      </c>
      <c r="S131" s="23" t="s">
        <v>262</v>
      </c>
      <c r="T131" s="23">
        <v>95</v>
      </c>
      <c r="U131" s="59">
        <v>151</v>
      </c>
      <c r="V131" s="23">
        <v>60</v>
      </c>
      <c r="W131" s="23">
        <v>24</v>
      </c>
      <c r="X131" s="23">
        <v>30</v>
      </c>
      <c r="Y131" s="37">
        <v>5.6</v>
      </c>
      <c r="Z131" s="23" t="s">
        <v>4</v>
      </c>
      <c r="AA131" s="23"/>
      <c r="AB131" s="23" t="s">
        <v>8</v>
      </c>
      <c r="AC131" s="23" t="s">
        <v>1011</v>
      </c>
      <c r="AD131" s="23" t="s">
        <v>4</v>
      </c>
      <c r="AE131" s="23"/>
      <c r="AF131" s="23" t="s">
        <v>4</v>
      </c>
      <c r="AG131" s="23"/>
      <c r="AH131" s="23" t="s">
        <v>1012</v>
      </c>
      <c r="AI131" s="23" t="s">
        <v>137</v>
      </c>
      <c r="AJ131" s="23" t="s">
        <v>1013</v>
      </c>
      <c r="AK131" s="58">
        <v>46227</v>
      </c>
      <c r="AL131" s="46"/>
      <c r="AM131" s="47"/>
      <c r="AN131" s="30" t="str">
        <f t="shared" ca="1" si="10"/>
        <v>ยังไม่หมด</v>
      </c>
      <c r="AO131" s="47">
        <f t="shared" ca="1" si="11"/>
        <v>253</v>
      </c>
      <c r="AP131" s="47"/>
    </row>
    <row r="132" spans="1:42" ht="15.75" customHeight="1">
      <c r="A132" s="23" t="s">
        <v>1014</v>
      </c>
      <c r="B132" s="23" t="s">
        <v>1015</v>
      </c>
      <c r="C132" s="23" t="s">
        <v>1016</v>
      </c>
      <c r="D132" s="23" t="s">
        <v>64</v>
      </c>
      <c r="E132" s="23" t="s">
        <v>23</v>
      </c>
      <c r="F132" s="26" t="s">
        <v>1017</v>
      </c>
      <c r="G132" s="23" t="s">
        <v>367</v>
      </c>
      <c r="H132" s="28">
        <v>27855</v>
      </c>
      <c r="I132" s="23">
        <f t="shared" ca="1" si="0"/>
        <v>50</v>
      </c>
      <c r="J132" s="23" t="s">
        <v>7</v>
      </c>
      <c r="K132" s="28">
        <v>46203</v>
      </c>
      <c r="L132" s="31">
        <v>162</v>
      </c>
      <c r="M132" s="31">
        <v>71.3</v>
      </c>
      <c r="N132" s="31">
        <f t="shared" si="3"/>
        <v>27.168114616674281</v>
      </c>
      <c r="O132" s="59">
        <v>122</v>
      </c>
      <c r="P132" s="59">
        <v>84</v>
      </c>
      <c r="Q132" s="31">
        <v>47.5</v>
      </c>
      <c r="R132" s="23" t="s">
        <v>4</v>
      </c>
      <c r="S132" s="23"/>
      <c r="T132" s="114">
        <v>98</v>
      </c>
      <c r="U132" s="23">
        <v>160</v>
      </c>
      <c r="V132" s="23">
        <v>99</v>
      </c>
      <c r="W132" s="59">
        <v>23</v>
      </c>
      <c r="X132" s="59">
        <v>22</v>
      </c>
      <c r="Y132" s="128">
        <v>6.4</v>
      </c>
      <c r="Z132" s="23" t="s">
        <v>4</v>
      </c>
      <c r="AA132" s="23"/>
      <c r="AB132" s="23" t="s">
        <v>4</v>
      </c>
      <c r="AC132" s="23"/>
      <c r="AD132" s="23" t="s">
        <v>8</v>
      </c>
      <c r="AE132" s="23" t="s">
        <v>230</v>
      </c>
      <c r="AF132" s="23" t="s">
        <v>4</v>
      </c>
      <c r="AG132" s="23"/>
      <c r="AH132" s="23" t="s">
        <v>1018</v>
      </c>
      <c r="AI132" s="23" t="s">
        <v>154</v>
      </c>
      <c r="AJ132" s="23" t="s">
        <v>1019</v>
      </c>
      <c r="AK132" s="58">
        <v>46211</v>
      </c>
      <c r="AL132" s="46" t="str">
        <f ca="1">IF((AK132+90)&lt;TODAY(),"เลยกำหนด",IF((AK132+90)-TODAY()&lt;=30,"ใกล้ถึง","ยังไม่ถึง"))</f>
        <v>ยังไม่ถึง</v>
      </c>
      <c r="AM132" s="47">
        <f ca="1">MAX(0, (AK132+90) - TODAY())</f>
        <v>50</v>
      </c>
      <c r="AN132" s="30" t="str">
        <f t="shared" ca="1" si="10"/>
        <v>ยังไม่หมด</v>
      </c>
      <c r="AO132" s="47">
        <f t="shared" ca="1" si="11"/>
        <v>316</v>
      </c>
      <c r="AP132" s="47"/>
    </row>
    <row r="133" spans="1:42" ht="15.75" customHeight="1">
      <c r="A133" s="23" t="s">
        <v>1020</v>
      </c>
      <c r="B133" s="23" t="s">
        <v>1021</v>
      </c>
      <c r="C133" s="23" t="s">
        <v>1022</v>
      </c>
      <c r="D133" s="23" t="s">
        <v>64</v>
      </c>
      <c r="E133" s="23" t="s">
        <v>23</v>
      </c>
      <c r="F133" s="26" t="s">
        <v>1017</v>
      </c>
      <c r="G133" s="23" t="s">
        <v>367</v>
      </c>
      <c r="H133" s="28">
        <v>26932</v>
      </c>
      <c r="I133" s="23">
        <f t="shared" ca="1" si="0"/>
        <v>53</v>
      </c>
      <c r="J133" s="23" t="s">
        <v>3</v>
      </c>
      <c r="K133" s="28">
        <v>46205</v>
      </c>
      <c r="L133" s="123">
        <v>160</v>
      </c>
      <c r="M133" s="123">
        <v>73.7</v>
      </c>
      <c r="N133" s="31">
        <f t="shared" si="3"/>
        <v>28.789062499999996</v>
      </c>
      <c r="O133" s="59">
        <v>128</v>
      </c>
      <c r="P133" s="59">
        <v>88</v>
      </c>
      <c r="Q133" s="31">
        <v>47</v>
      </c>
      <c r="R133" s="59" t="s">
        <v>4</v>
      </c>
      <c r="S133" s="23" t="s">
        <v>1023</v>
      </c>
      <c r="T133" s="23">
        <v>99</v>
      </c>
      <c r="U133" s="23">
        <v>177</v>
      </c>
      <c r="V133" s="23">
        <v>129</v>
      </c>
      <c r="W133" s="59">
        <v>19</v>
      </c>
      <c r="X133" s="59">
        <v>22</v>
      </c>
      <c r="Y133" s="61">
        <v>7.4</v>
      </c>
      <c r="Z133" s="23" t="s">
        <v>4</v>
      </c>
      <c r="AA133" s="23"/>
      <c r="AB133" s="23" t="s">
        <v>4</v>
      </c>
      <c r="AC133" s="23"/>
      <c r="AD133" s="23" t="s">
        <v>8</v>
      </c>
      <c r="AE133" s="23" t="s">
        <v>1024</v>
      </c>
      <c r="AF133" s="23" t="s">
        <v>4</v>
      </c>
      <c r="AG133" s="23"/>
      <c r="AH133" s="23" t="s">
        <v>1025</v>
      </c>
      <c r="AI133" s="23" t="s">
        <v>154</v>
      </c>
      <c r="AJ133" s="23" t="s">
        <v>1026</v>
      </c>
      <c r="AK133" s="58">
        <v>46227</v>
      </c>
      <c r="AL133" s="174"/>
      <c r="AM133" s="27"/>
      <c r="AN133" s="48" t="str">
        <f t="shared" ca="1" si="10"/>
        <v>ยังไม่หมด</v>
      </c>
      <c r="AO133" s="47">
        <f t="shared" ca="1" si="11"/>
        <v>318</v>
      </c>
      <c r="AP133" s="47"/>
    </row>
    <row r="134" spans="1:42" ht="15.75" customHeight="1">
      <c r="A134" s="50" t="s">
        <v>1027</v>
      </c>
      <c r="B134" s="50" t="s">
        <v>1028</v>
      </c>
      <c r="C134" s="50" t="s">
        <v>1029</v>
      </c>
      <c r="D134" s="50" t="s">
        <v>64</v>
      </c>
      <c r="E134" s="50" t="s">
        <v>23</v>
      </c>
      <c r="F134" s="51" t="s">
        <v>1017</v>
      </c>
      <c r="G134" s="50" t="s">
        <v>367</v>
      </c>
      <c r="H134" s="52">
        <v>30223</v>
      </c>
      <c r="I134" s="50">
        <f t="shared" ca="1" si="0"/>
        <v>44</v>
      </c>
      <c r="J134" s="50" t="s">
        <v>3</v>
      </c>
      <c r="K134" s="52">
        <v>46203</v>
      </c>
      <c r="L134" s="53">
        <v>180.6</v>
      </c>
      <c r="M134" s="53">
        <v>85.4</v>
      </c>
      <c r="N134" s="53">
        <v>26.18</v>
      </c>
      <c r="O134" s="50">
        <v>130</v>
      </c>
      <c r="P134" s="50">
        <v>89</v>
      </c>
      <c r="Q134" s="53">
        <v>48.7</v>
      </c>
      <c r="R134" s="50" t="s">
        <v>4</v>
      </c>
      <c r="S134" s="50"/>
      <c r="T134" s="50">
        <v>94</v>
      </c>
      <c r="U134" s="76">
        <v>127</v>
      </c>
      <c r="V134" s="76">
        <v>134</v>
      </c>
      <c r="W134" s="50">
        <v>16</v>
      </c>
      <c r="X134" s="50">
        <v>23</v>
      </c>
      <c r="Y134" s="54">
        <v>6.3</v>
      </c>
      <c r="Z134" s="50" t="s">
        <v>4</v>
      </c>
      <c r="AA134" s="50"/>
      <c r="AB134" s="50" t="s">
        <v>4</v>
      </c>
      <c r="AC134" s="50"/>
      <c r="AD134" s="50" t="s">
        <v>8</v>
      </c>
      <c r="AE134" s="50" t="s">
        <v>1030</v>
      </c>
      <c r="AF134" s="50"/>
      <c r="AG134" s="50"/>
      <c r="AH134" s="50" t="s">
        <v>1031</v>
      </c>
      <c r="AI134" s="50" t="s">
        <v>137</v>
      </c>
      <c r="AJ134" s="50" t="s">
        <v>254</v>
      </c>
      <c r="AK134" s="25">
        <v>46210</v>
      </c>
      <c r="AL134" s="25"/>
      <c r="AM134" s="27"/>
      <c r="AN134" s="30" t="str">
        <f t="shared" ca="1" si="10"/>
        <v>ยังไม่หมด</v>
      </c>
      <c r="AO134" s="47">
        <f t="shared" ca="1" si="11"/>
        <v>316</v>
      </c>
      <c r="AP134" s="47"/>
    </row>
    <row r="135" spans="1:42" ht="15.75" customHeight="1">
      <c r="A135" s="34" t="s">
        <v>1032</v>
      </c>
      <c r="B135" s="34" t="s">
        <v>1033</v>
      </c>
      <c r="C135" s="34" t="s">
        <v>1034</v>
      </c>
      <c r="D135" s="34" t="s">
        <v>64</v>
      </c>
      <c r="E135" s="34" t="s">
        <v>23</v>
      </c>
      <c r="F135" s="26" t="s">
        <v>1017</v>
      </c>
      <c r="G135" s="34" t="s">
        <v>367</v>
      </c>
      <c r="H135" s="91">
        <v>31445</v>
      </c>
      <c r="I135" s="34">
        <f t="shared" ca="1" si="0"/>
        <v>40</v>
      </c>
      <c r="J135" s="34" t="s">
        <v>3</v>
      </c>
      <c r="K135" s="91">
        <v>46153</v>
      </c>
      <c r="L135" s="45">
        <v>167</v>
      </c>
      <c r="M135" s="45">
        <v>82.6</v>
      </c>
      <c r="N135" s="45">
        <f>M135/(L135*0.01)^2</f>
        <v>29.617411882821184</v>
      </c>
      <c r="O135" s="34">
        <v>125</v>
      </c>
      <c r="P135" s="34">
        <v>89</v>
      </c>
      <c r="Q135" s="45">
        <v>44</v>
      </c>
      <c r="R135" s="34" t="s">
        <v>4</v>
      </c>
      <c r="S135" s="34"/>
      <c r="T135" s="34">
        <v>96</v>
      </c>
      <c r="U135" s="34">
        <v>132</v>
      </c>
      <c r="V135" s="34">
        <v>186</v>
      </c>
      <c r="W135" s="34">
        <v>36</v>
      </c>
      <c r="X135" s="34">
        <v>120</v>
      </c>
      <c r="Y135" s="120">
        <v>6.5</v>
      </c>
      <c r="Z135" s="34" t="s">
        <v>4</v>
      </c>
      <c r="AA135" s="34"/>
      <c r="AB135" s="34" t="s">
        <v>4</v>
      </c>
      <c r="AC135" s="34"/>
      <c r="AD135" s="34" t="s">
        <v>8</v>
      </c>
      <c r="AE135" s="34" t="s">
        <v>1035</v>
      </c>
      <c r="AF135" s="34" t="s">
        <v>1036</v>
      </c>
      <c r="AG135" s="34"/>
      <c r="AH135" s="34" t="s">
        <v>1037</v>
      </c>
      <c r="AI135" s="56" t="s">
        <v>218</v>
      </c>
      <c r="AJ135" s="175" t="s">
        <v>833</v>
      </c>
      <c r="AK135" s="57">
        <v>46197</v>
      </c>
      <c r="AL135" s="77" t="str">
        <f ca="1">IF((AK135+90)&lt;TODAY(),"เลยกำหนด",IF((AK135+90)-TODAY()&lt;=30,"ใกล้ถึง","ยังไม่ถึง"))</f>
        <v>ยังไม่ถึง</v>
      </c>
      <c r="AM135" s="47">
        <f ca="1">MAX(0, (AK135+90) - TODAY())</f>
        <v>36</v>
      </c>
      <c r="AN135" s="103" t="str">
        <f t="shared" ca="1" si="10"/>
        <v>ยังไม่หมด</v>
      </c>
      <c r="AO135" s="47">
        <f t="shared" ca="1" si="11"/>
        <v>266</v>
      </c>
      <c r="AP135" s="47"/>
    </row>
    <row r="136" spans="1:42" ht="15.75" customHeight="1">
      <c r="A136" s="50" t="s">
        <v>1038</v>
      </c>
      <c r="B136" s="50" t="s">
        <v>1039</v>
      </c>
      <c r="C136" s="50" t="s">
        <v>1040</v>
      </c>
      <c r="D136" s="50" t="s">
        <v>64</v>
      </c>
      <c r="E136" s="50" t="s">
        <v>23</v>
      </c>
      <c r="F136" s="51" t="s">
        <v>1017</v>
      </c>
      <c r="G136" s="50" t="s">
        <v>367</v>
      </c>
      <c r="H136" s="52">
        <v>30208</v>
      </c>
      <c r="I136" s="50">
        <f t="shared" ca="1" si="0"/>
        <v>44</v>
      </c>
      <c r="J136" s="50" t="s">
        <v>3</v>
      </c>
      <c r="K136" s="52">
        <v>46094</v>
      </c>
      <c r="L136" s="53">
        <v>174.5</v>
      </c>
      <c r="M136" s="53">
        <v>59.55</v>
      </c>
      <c r="N136" s="53">
        <v>19.559999999999999</v>
      </c>
      <c r="O136" s="50">
        <v>106</v>
      </c>
      <c r="P136" s="50">
        <v>66</v>
      </c>
      <c r="Q136" s="53">
        <v>48.2</v>
      </c>
      <c r="R136" s="50" t="s">
        <v>4</v>
      </c>
      <c r="S136" s="50"/>
      <c r="T136" s="50">
        <v>89</v>
      </c>
      <c r="U136" s="50">
        <v>89</v>
      </c>
      <c r="V136" s="50">
        <v>135</v>
      </c>
      <c r="W136" s="50">
        <v>31</v>
      </c>
      <c r="X136" s="50">
        <v>40</v>
      </c>
      <c r="Y136" s="54">
        <v>6.3</v>
      </c>
      <c r="Z136" s="50" t="s">
        <v>4</v>
      </c>
      <c r="AA136" s="50"/>
      <c r="AB136" s="50" t="s">
        <v>8</v>
      </c>
      <c r="AC136" s="50" t="s">
        <v>1041</v>
      </c>
      <c r="AD136" s="50" t="s">
        <v>8</v>
      </c>
      <c r="AE136" s="50" t="s">
        <v>403</v>
      </c>
      <c r="AF136" s="50"/>
      <c r="AG136" s="50"/>
      <c r="AH136" s="50" t="s">
        <v>1042</v>
      </c>
      <c r="AI136" s="50" t="s">
        <v>137</v>
      </c>
      <c r="AJ136" s="50" t="s">
        <v>231</v>
      </c>
      <c r="AK136" s="25">
        <v>46104</v>
      </c>
      <c r="AL136" s="25"/>
      <c r="AM136" s="47"/>
      <c r="AN136" s="30" t="str">
        <f t="shared" ca="1" si="10"/>
        <v>ยังไม่หมด</v>
      </c>
      <c r="AO136" s="47">
        <f t="shared" ca="1" si="11"/>
        <v>207</v>
      </c>
      <c r="AP136" s="47"/>
    </row>
    <row r="137" spans="1:42" ht="15.75" customHeight="1">
      <c r="A137" s="133" t="s">
        <v>1043</v>
      </c>
      <c r="B137" s="50" t="s">
        <v>1044</v>
      </c>
      <c r="C137" s="50" t="s">
        <v>1045</v>
      </c>
      <c r="D137" s="50" t="s">
        <v>64</v>
      </c>
      <c r="E137" s="50" t="s">
        <v>23</v>
      </c>
      <c r="F137" s="51" t="s">
        <v>366</v>
      </c>
      <c r="G137" s="50" t="s">
        <v>367</v>
      </c>
      <c r="H137" s="52">
        <v>31833</v>
      </c>
      <c r="I137" s="50">
        <f t="shared" ca="1" si="0"/>
        <v>39</v>
      </c>
      <c r="J137" s="50" t="s">
        <v>3</v>
      </c>
      <c r="K137" s="134">
        <v>45910</v>
      </c>
      <c r="L137" s="53">
        <v>163.4</v>
      </c>
      <c r="M137" s="53">
        <v>68</v>
      </c>
      <c r="N137" s="53">
        <f t="shared" ref="N137:N155" si="18">M137/(L137*0.01)^2</f>
        <v>25.46858450101799</v>
      </c>
      <c r="O137" s="50">
        <v>132</v>
      </c>
      <c r="P137" s="50">
        <v>73</v>
      </c>
      <c r="Q137" s="53">
        <v>50.7</v>
      </c>
      <c r="R137" s="50" t="s">
        <v>4</v>
      </c>
      <c r="S137" s="50"/>
      <c r="T137" s="74">
        <v>104</v>
      </c>
      <c r="U137" s="50">
        <v>157</v>
      </c>
      <c r="V137" s="50">
        <v>121</v>
      </c>
      <c r="W137" s="50">
        <v>26</v>
      </c>
      <c r="X137" s="50">
        <v>32</v>
      </c>
      <c r="Y137" s="54">
        <v>5.2</v>
      </c>
      <c r="Z137" s="50" t="s">
        <v>4</v>
      </c>
      <c r="AA137" s="50"/>
      <c r="AB137" s="50" t="s">
        <v>4</v>
      </c>
      <c r="AC137" s="50"/>
      <c r="AD137" s="50" t="s">
        <v>8</v>
      </c>
      <c r="AE137" s="50" t="s">
        <v>1046</v>
      </c>
      <c r="AF137" s="50"/>
      <c r="AG137" s="50"/>
      <c r="AH137" s="50" t="s">
        <v>1047</v>
      </c>
      <c r="AI137" s="50" t="s">
        <v>137</v>
      </c>
      <c r="AJ137" s="50" t="s">
        <v>139</v>
      </c>
      <c r="AK137" s="25">
        <v>45959</v>
      </c>
      <c r="AL137" s="114" t="s">
        <v>1048</v>
      </c>
      <c r="AM137" s="27"/>
      <c r="AN137" s="30" t="str">
        <f t="shared" ca="1" si="10"/>
        <v>ใกล้หมดอายุ 1 เดือน</v>
      </c>
      <c r="AO137" s="47">
        <f t="shared" ca="1" si="11"/>
        <v>23</v>
      </c>
      <c r="AP137" s="47"/>
    </row>
    <row r="138" spans="1:42" ht="15.75" customHeight="1">
      <c r="A138" s="34" t="s">
        <v>1049</v>
      </c>
      <c r="B138" s="34" t="s">
        <v>1050</v>
      </c>
      <c r="C138" s="34" t="s">
        <v>1051</v>
      </c>
      <c r="D138" s="34" t="s">
        <v>64</v>
      </c>
      <c r="E138" s="34" t="s">
        <v>23</v>
      </c>
      <c r="F138" s="26" t="s">
        <v>366</v>
      </c>
      <c r="G138" s="34" t="s">
        <v>367</v>
      </c>
      <c r="H138" s="91">
        <v>26373</v>
      </c>
      <c r="I138" s="34">
        <f t="shared" ca="1" si="0"/>
        <v>54</v>
      </c>
      <c r="J138" s="34" t="s">
        <v>3</v>
      </c>
      <c r="K138" s="91">
        <v>46213</v>
      </c>
      <c r="L138" s="45">
        <v>174.4</v>
      </c>
      <c r="M138" s="45">
        <v>59.55</v>
      </c>
      <c r="N138" s="45">
        <f t="shared" si="18"/>
        <v>19.578923280868615</v>
      </c>
      <c r="O138" s="34">
        <v>130</v>
      </c>
      <c r="P138" s="34">
        <v>77</v>
      </c>
      <c r="Q138" s="45">
        <v>43.6</v>
      </c>
      <c r="R138" s="34" t="s">
        <v>4</v>
      </c>
      <c r="S138" s="34"/>
      <c r="T138" s="34">
        <v>98</v>
      </c>
      <c r="U138" s="34">
        <v>136</v>
      </c>
      <c r="V138" s="34">
        <v>146</v>
      </c>
      <c r="W138" s="34">
        <v>20</v>
      </c>
      <c r="X138" s="34">
        <v>15</v>
      </c>
      <c r="Y138" s="120">
        <v>7.5</v>
      </c>
      <c r="Z138" s="34" t="s">
        <v>4</v>
      </c>
      <c r="AA138" s="34"/>
      <c r="AB138" s="34" t="s">
        <v>4</v>
      </c>
      <c r="AC138" s="34"/>
      <c r="AD138" s="34" t="s">
        <v>8</v>
      </c>
      <c r="AE138" s="34" t="s">
        <v>1052</v>
      </c>
      <c r="AF138" s="34" t="s">
        <v>4</v>
      </c>
      <c r="AG138" s="34"/>
      <c r="AH138" s="34" t="s">
        <v>1053</v>
      </c>
      <c r="AI138" s="62" t="s">
        <v>154</v>
      </c>
      <c r="AJ138" s="56" t="s">
        <v>1054</v>
      </c>
      <c r="AK138" s="57">
        <v>46225</v>
      </c>
      <c r="AL138" s="63"/>
      <c r="AM138" s="27"/>
      <c r="AN138" s="30" t="str">
        <f t="shared" ca="1" si="10"/>
        <v>ยังไม่หมด</v>
      </c>
      <c r="AO138" s="47">
        <f t="shared" ca="1" si="11"/>
        <v>326</v>
      </c>
      <c r="AP138" s="47"/>
    </row>
    <row r="139" spans="1:42" ht="15.75" customHeight="1">
      <c r="A139" s="6" t="s">
        <v>1055</v>
      </c>
      <c r="B139" s="6" t="s">
        <v>1056</v>
      </c>
      <c r="C139" s="6" t="s">
        <v>1057</v>
      </c>
      <c r="D139" s="6" t="s">
        <v>64</v>
      </c>
      <c r="E139" s="6" t="s">
        <v>23</v>
      </c>
      <c r="F139" s="51" t="s">
        <v>366</v>
      </c>
      <c r="G139" s="6" t="s">
        <v>367</v>
      </c>
      <c r="H139" s="101">
        <v>29161</v>
      </c>
      <c r="I139" s="6">
        <f t="shared" ca="1" si="0"/>
        <v>47</v>
      </c>
      <c r="J139" s="6" t="s">
        <v>3</v>
      </c>
      <c r="K139" s="101">
        <v>45986</v>
      </c>
      <c r="L139" s="20">
        <v>155.19999999999999</v>
      </c>
      <c r="M139" s="20">
        <v>55.9</v>
      </c>
      <c r="N139" s="20">
        <f t="shared" si="18"/>
        <v>23.207500797109159</v>
      </c>
      <c r="O139" s="6">
        <v>121</v>
      </c>
      <c r="P139" s="6">
        <v>79</v>
      </c>
      <c r="Q139" s="20">
        <v>49.8</v>
      </c>
      <c r="R139" s="6" t="s">
        <v>4</v>
      </c>
      <c r="S139" s="6"/>
      <c r="T139" s="6">
        <v>92</v>
      </c>
      <c r="U139" s="6">
        <v>150</v>
      </c>
      <c r="V139" s="6">
        <v>119</v>
      </c>
      <c r="W139" s="6">
        <v>27</v>
      </c>
      <c r="X139" s="6">
        <v>23</v>
      </c>
      <c r="Y139" s="102">
        <v>7.7</v>
      </c>
      <c r="Z139" s="6" t="s">
        <v>4</v>
      </c>
      <c r="AA139" s="6"/>
      <c r="AB139" s="6" t="s">
        <v>4</v>
      </c>
      <c r="AC139" s="6"/>
      <c r="AD139" s="6" t="s">
        <v>4</v>
      </c>
      <c r="AE139" s="6"/>
      <c r="AF139" s="6"/>
      <c r="AG139" s="6"/>
      <c r="AH139" s="6" t="s">
        <v>1058</v>
      </c>
      <c r="AI139" s="50" t="s">
        <v>137</v>
      </c>
      <c r="AJ139" s="6" t="s">
        <v>1059</v>
      </c>
      <c r="AK139" s="24">
        <v>46062</v>
      </c>
      <c r="AL139" s="55"/>
      <c r="AM139" s="27"/>
      <c r="AN139" s="30" t="str">
        <f t="shared" ca="1" si="10"/>
        <v>ยังไม่หมด</v>
      </c>
      <c r="AO139" s="47">
        <f t="shared" ca="1" si="11"/>
        <v>99</v>
      </c>
      <c r="AP139" s="47"/>
    </row>
    <row r="140" spans="1:42" ht="15.75" customHeight="1">
      <c r="A140" s="133" t="s">
        <v>1060</v>
      </c>
      <c r="B140" s="50" t="s">
        <v>233</v>
      </c>
      <c r="C140" s="50" t="s">
        <v>1061</v>
      </c>
      <c r="D140" s="50" t="s">
        <v>64</v>
      </c>
      <c r="E140" s="50" t="s">
        <v>23</v>
      </c>
      <c r="F140" s="51" t="s">
        <v>366</v>
      </c>
      <c r="G140" s="50" t="s">
        <v>367</v>
      </c>
      <c r="H140" s="52">
        <v>28128</v>
      </c>
      <c r="I140" s="50">
        <f t="shared" ca="1" si="0"/>
        <v>49</v>
      </c>
      <c r="J140" s="50" t="s">
        <v>1062</v>
      </c>
      <c r="K140" s="134">
        <v>45947</v>
      </c>
      <c r="L140" s="53">
        <v>177</v>
      </c>
      <c r="M140" s="53">
        <v>80.8</v>
      </c>
      <c r="N140" s="53">
        <f t="shared" si="18"/>
        <v>25.79080085543745</v>
      </c>
      <c r="O140" s="50">
        <v>138</v>
      </c>
      <c r="P140" s="50">
        <v>81</v>
      </c>
      <c r="Q140" s="53">
        <v>45.6</v>
      </c>
      <c r="R140" s="50" t="s">
        <v>8</v>
      </c>
      <c r="S140" s="50" t="s">
        <v>1063</v>
      </c>
      <c r="T140" s="82">
        <v>86</v>
      </c>
      <c r="U140" s="76">
        <v>146</v>
      </c>
      <c r="V140" s="50">
        <v>40</v>
      </c>
      <c r="W140" s="50">
        <v>27</v>
      </c>
      <c r="X140" s="50">
        <v>27</v>
      </c>
      <c r="Y140" s="118">
        <v>5.7</v>
      </c>
      <c r="Z140" s="50" t="s">
        <v>4</v>
      </c>
      <c r="AA140" s="50"/>
      <c r="AB140" s="50" t="s">
        <v>4</v>
      </c>
      <c r="AC140" s="50"/>
      <c r="AD140" s="50" t="s">
        <v>4</v>
      </c>
      <c r="AE140" s="50"/>
      <c r="AF140" s="50"/>
      <c r="AG140" s="50"/>
      <c r="AH140" s="50" t="s">
        <v>1064</v>
      </c>
      <c r="AI140" s="50" t="s">
        <v>137</v>
      </c>
      <c r="AJ140" s="50" t="s">
        <v>1065</v>
      </c>
      <c r="AK140" s="25">
        <v>45981</v>
      </c>
      <c r="AL140" s="114" t="s">
        <v>1066</v>
      </c>
      <c r="AM140" s="27"/>
      <c r="AN140" s="30" t="str">
        <f t="shared" ca="1" si="10"/>
        <v>ใกล้หมด 3 เดือน</v>
      </c>
      <c r="AO140" s="47">
        <f t="shared" ca="1" si="11"/>
        <v>60</v>
      </c>
      <c r="AP140" s="47"/>
    </row>
    <row r="141" spans="1:42" ht="15.75" customHeight="1">
      <c r="A141" s="50" t="s">
        <v>1067</v>
      </c>
      <c r="B141" s="50" t="s">
        <v>1068</v>
      </c>
      <c r="C141" s="50" t="s">
        <v>1069</v>
      </c>
      <c r="D141" s="50" t="s">
        <v>64</v>
      </c>
      <c r="E141" s="50" t="s">
        <v>23</v>
      </c>
      <c r="F141" s="51" t="s">
        <v>366</v>
      </c>
      <c r="G141" s="50" t="s">
        <v>367</v>
      </c>
      <c r="H141" s="52">
        <v>26425</v>
      </c>
      <c r="I141" s="50">
        <f t="shared" ca="1" si="0"/>
        <v>54</v>
      </c>
      <c r="J141" s="50" t="s">
        <v>3</v>
      </c>
      <c r="K141" s="52">
        <v>45940</v>
      </c>
      <c r="L141" s="53">
        <v>163</v>
      </c>
      <c r="M141" s="53">
        <v>56.6</v>
      </c>
      <c r="N141" s="53">
        <f t="shared" si="18"/>
        <v>21.303022319244231</v>
      </c>
      <c r="O141" s="50">
        <v>134</v>
      </c>
      <c r="P141" s="50">
        <v>89</v>
      </c>
      <c r="Q141" s="53">
        <v>43</v>
      </c>
      <c r="R141" s="50" t="s">
        <v>4</v>
      </c>
      <c r="S141" s="50"/>
      <c r="T141" s="50">
        <v>89</v>
      </c>
      <c r="U141" s="50">
        <v>95</v>
      </c>
      <c r="V141" s="50">
        <v>209</v>
      </c>
      <c r="W141" s="50">
        <v>15</v>
      </c>
      <c r="X141" s="50">
        <v>11</v>
      </c>
      <c r="Y141" s="54">
        <v>6.2</v>
      </c>
      <c r="Z141" s="50" t="s">
        <v>4</v>
      </c>
      <c r="AA141" s="50"/>
      <c r="AB141" s="50" t="s">
        <v>4</v>
      </c>
      <c r="AC141" s="50"/>
      <c r="AD141" s="50" t="s">
        <v>8</v>
      </c>
      <c r="AE141" s="76" t="s">
        <v>1070</v>
      </c>
      <c r="AF141" s="50"/>
      <c r="AG141" s="50"/>
      <c r="AH141" s="76" t="s">
        <v>1071</v>
      </c>
      <c r="AI141" s="82" t="s">
        <v>137</v>
      </c>
      <c r="AJ141" s="50" t="s">
        <v>231</v>
      </c>
      <c r="AK141" s="25">
        <v>45981</v>
      </c>
      <c r="AL141" s="25"/>
      <c r="AM141" s="27"/>
      <c r="AN141" s="30" t="str">
        <f t="shared" ca="1" si="10"/>
        <v>ใกล้หมด 3 เดือน</v>
      </c>
      <c r="AO141" s="47">
        <f t="shared" ca="1" si="11"/>
        <v>53</v>
      </c>
      <c r="AP141" s="47"/>
    </row>
    <row r="142" spans="1:42" ht="15.75" customHeight="1">
      <c r="A142" s="50" t="s">
        <v>1072</v>
      </c>
      <c r="B142" s="50" t="s">
        <v>1073</v>
      </c>
      <c r="C142" s="50" t="s">
        <v>1074</v>
      </c>
      <c r="D142" s="50" t="s">
        <v>64</v>
      </c>
      <c r="E142" s="50" t="s">
        <v>23</v>
      </c>
      <c r="F142" s="51" t="s">
        <v>366</v>
      </c>
      <c r="G142" s="50" t="s">
        <v>367</v>
      </c>
      <c r="H142" s="52">
        <v>28861</v>
      </c>
      <c r="I142" s="50">
        <f t="shared" ca="1" si="0"/>
        <v>47</v>
      </c>
      <c r="J142" s="50" t="s">
        <v>3</v>
      </c>
      <c r="K142" s="52">
        <v>46161</v>
      </c>
      <c r="L142" s="53">
        <v>161</v>
      </c>
      <c r="M142" s="53">
        <v>48.7</v>
      </c>
      <c r="N142" s="53">
        <f t="shared" si="18"/>
        <v>18.787855406813009</v>
      </c>
      <c r="O142" s="50">
        <v>112</v>
      </c>
      <c r="P142" s="50">
        <v>80</v>
      </c>
      <c r="Q142" s="53">
        <v>42</v>
      </c>
      <c r="R142" s="50" t="s">
        <v>8</v>
      </c>
      <c r="S142" s="50" t="s">
        <v>262</v>
      </c>
      <c r="T142" s="50">
        <v>103</v>
      </c>
      <c r="U142" s="50">
        <v>72</v>
      </c>
      <c r="V142" s="76">
        <v>78</v>
      </c>
      <c r="W142" s="76">
        <v>49</v>
      </c>
      <c r="X142" s="76">
        <v>37</v>
      </c>
      <c r="Y142" s="54">
        <v>5.2</v>
      </c>
      <c r="Z142" s="50" t="s">
        <v>4</v>
      </c>
      <c r="AA142" s="50"/>
      <c r="AB142" s="50" t="s">
        <v>4</v>
      </c>
      <c r="AC142" s="50"/>
      <c r="AD142" s="50" t="s">
        <v>8</v>
      </c>
      <c r="AE142" s="50" t="s">
        <v>1075</v>
      </c>
      <c r="AF142" s="50"/>
      <c r="AG142" s="50"/>
      <c r="AH142" s="50" t="s">
        <v>1076</v>
      </c>
      <c r="AI142" s="50" t="s">
        <v>137</v>
      </c>
      <c r="AJ142" s="50" t="s">
        <v>1077</v>
      </c>
      <c r="AK142" s="25">
        <v>46237</v>
      </c>
      <c r="AL142" s="55"/>
      <c r="AM142" s="47"/>
      <c r="AN142" s="30" t="str">
        <f t="shared" ca="1" si="10"/>
        <v>ยังไม่หมด</v>
      </c>
      <c r="AO142" s="47">
        <f t="shared" ca="1" si="11"/>
        <v>274</v>
      </c>
      <c r="AP142" s="47"/>
    </row>
    <row r="143" spans="1:42" ht="15.75" customHeight="1">
      <c r="A143" s="50" t="s">
        <v>1078</v>
      </c>
      <c r="B143" s="50" t="s">
        <v>1079</v>
      </c>
      <c r="C143" s="50" t="s">
        <v>1080</v>
      </c>
      <c r="D143" s="50" t="s">
        <v>64</v>
      </c>
      <c r="E143" s="50" t="s">
        <v>23</v>
      </c>
      <c r="F143" s="51" t="s">
        <v>366</v>
      </c>
      <c r="G143" s="50" t="s">
        <v>367</v>
      </c>
      <c r="H143" s="52">
        <v>28577</v>
      </c>
      <c r="I143" s="50">
        <f t="shared" ca="1" si="0"/>
        <v>48</v>
      </c>
      <c r="J143" s="50" t="s">
        <v>3</v>
      </c>
      <c r="K143" s="52">
        <v>46133</v>
      </c>
      <c r="L143" s="53">
        <v>175</v>
      </c>
      <c r="M143" s="53">
        <v>70.8</v>
      </c>
      <c r="N143" s="53">
        <f t="shared" si="18"/>
        <v>23.118367346938776</v>
      </c>
      <c r="O143" s="50">
        <v>111</v>
      </c>
      <c r="P143" s="50">
        <v>70</v>
      </c>
      <c r="Q143" s="53">
        <v>44.6</v>
      </c>
      <c r="R143" s="50" t="s">
        <v>4</v>
      </c>
      <c r="S143" s="50"/>
      <c r="T143" s="50">
        <v>94</v>
      </c>
      <c r="U143" s="50">
        <v>206</v>
      </c>
      <c r="V143" s="50">
        <v>69</v>
      </c>
      <c r="W143" s="50">
        <v>29</v>
      </c>
      <c r="X143" s="50">
        <v>39</v>
      </c>
      <c r="Y143" s="54">
        <v>5.9</v>
      </c>
      <c r="Z143" s="50" t="s">
        <v>4</v>
      </c>
      <c r="AA143" s="50"/>
      <c r="AB143" s="50" t="s">
        <v>4</v>
      </c>
      <c r="AC143" s="50"/>
      <c r="AD143" s="50" t="s">
        <v>8</v>
      </c>
      <c r="AE143" s="50" t="s">
        <v>1081</v>
      </c>
      <c r="AF143" s="50" t="s">
        <v>4</v>
      </c>
      <c r="AG143" s="50"/>
      <c r="AH143" s="50" t="s">
        <v>1082</v>
      </c>
      <c r="AI143" s="50" t="s">
        <v>137</v>
      </c>
      <c r="AJ143" s="50" t="s">
        <v>1083</v>
      </c>
      <c r="AK143" s="25">
        <v>46182</v>
      </c>
      <c r="AL143" s="55"/>
      <c r="AM143" s="47"/>
      <c r="AN143" s="30" t="str">
        <f t="shared" ca="1" si="10"/>
        <v>ยังไม่หมด</v>
      </c>
      <c r="AO143" s="47">
        <f t="shared" ca="1" si="11"/>
        <v>246</v>
      </c>
      <c r="AP143" s="47"/>
    </row>
    <row r="144" spans="1:42" ht="15.75" customHeight="1">
      <c r="A144" s="50" t="s">
        <v>1084</v>
      </c>
      <c r="B144" s="50" t="s">
        <v>1085</v>
      </c>
      <c r="C144" s="50" t="s">
        <v>1086</v>
      </c>
      <c r="D144" s="50" t="s">
        <v>64</v>
      </c>
      <c r="E144" s="50" t="s">
        <v>23</v>
      </c>
      <c r="F144" s="51" t="s">
        <v>366</v>
      </c>
      <c r="G144" s="50" t="s">
        <v>367</v>
      </c>
      <c r="H144" s="52">
        <v>28122</v>
      </c>
      <c r="I144" s="50">
        <f t="shared" ca="1" si="0"/>
        <v>50</v>
      </c>
      <c r="J144" s="50" t="s">
        <v>3</v>
      </c>
      <c r="K144" s="52">
        <v>46105</v>
      </c>
      <c r="L144" s="53">
        <v>165</v>
      </c>
      <c r="M144" s="53">
        <v>67.2</v>
      </c>
      <c r="N144" s="53">
        <f t="shared" si="18"/>
        <v>24.683195592286499</v>
      </c>
      <c r="O144" s="50">
        <v>120</v>
      </c>
      <c r="P144" s="50">
        <v>80</v>
      </c>
      <c r="Q144" s="53">
        <v>38.5</v>
      </c>
      <c r="R144" s="50" t="s">
        <v>4</v>
      </c>
      <c r="S144" s="50"/>
      <c r="T144" s="76">
        <v>93</v>
      </c>
      <c r="U144" s="76">
        <v>136</v>
      </c>
      <c r="V144" s="50">
        <v>38</v>
      </c>
      <c r="W144" s="76">
        <v>27</v>
      </c>
      <c r="X144" s="76">
        <v>23</v>
      </c>
      <c r="Y144" s="54">
        <v>4.5</v>
      </c>
      <c r="Z144" s="50" t="s">
        <v>4</v>
      </c>
      <c r="AA144" s="50"/>
      <c r="AB144" s="50" t="s">
        <v>4</v>
      </c>
      <c r="AC144" s="50"/>
      <c r="AD144" s="50" t="s">
        <v>8</v>
      </c>
      <c r="AE144" s="50" t="s">
        <v>1087</v>
      </c>
      <c r="AF144" s="50" t="s">
        <v>1088</v>
      </c>
      <c r="AG144" s="50"/>
      <c r="AH144" s="50" t="s">
        <v>1089</v>
      </c>
      <c r="AI144" s="50" t="s">
        <v>137</v>
      </c>
      <c r="AJ144" s="50" t="s">
        <v>1090</v>
      </c>
      <c r="AK144" s="87">
        <v>46204</v>
      </c>
      <c r="AL144" s="55"/>
      <c r="AM144" s="47"/>
      <c r="AN144" s="176" t="str">
        <f t="shared" ca="1" si="10"/>
        <v>ยังไม่หมด</v>
      </c>
      <c r="AO144" s="119">
        <f t="shared" ca="1" si="11"/>
        <v>218</v>
      </c>
      <c r="AP144" s="119"/>
    </row>
    <row r="145" spans="1:42" ht="15.75" customHeight="1">
      <c r="A145" s="34" t="s">
        <v>1091</v>
      </c>
      <c r="B145" s="34" t="s">
        <v>340</v>
      </c>
      <c r="C145" s="34" t="s">
        <v>1092</v>
      </c>
      <c r="D145" s="34" t="s">
        <v>64</v>
      </c>
      <c r="E145" s="34" t="s">
        <v>23</v>
      </c>
      <c r="F145" s="26" t="s">
        <v>366</v>
      </c>
      <c r="G145" s="34" t="s">
        <v>367</v>
      </c>
      <c r="H145" s="91">
        <v>26369</v>
      </c>
      <c r="I145" s="34">
        <f t="shared" ca="1" si="0"/>
        <v>54</v>
      </c>
      <c r="J145" s="99" t="s">
        <v>7</v>
      </c>
      <c r="K145" s="91">
        <v>46216</v>
      </c>
      <c r="L145" s="45">
        <v>174.8</v>
      </c>
      <c r="M145" s="45">
        <v>93.9</v>
      </c>
      <c r="N145" s="45">
        <f t="shared" si="18"/>
        <v>30.731427613905915</v>
      </c>
      <c r="O145" s="34">
        <v>138</v>
      </c>
      <c r="P145" s="34">
        <v>83</v>
      </c>
      <c r="Q145" s="45">
        <v>42.1</v>
      </c>
      <c r="R145" s="34" t="s">
        <v>4</v>
      </c>
      <c r="S145" s="34"/>
      <c r="T145" s="34">
        <v>104</v>
      </c>
      <c r="U145" s="92">
        <v>113</v>
      </c>
      <c r="V145" s="92">
        <v>159</v>
      </c>
      <c r="W145" s="34">
        <v>24</v>
      </c>
      <c r="X145" s="34">
        <v>19</v>
      </c>
      <c r="Y145" s="177">
        <v>7.3</v>
      </c>
      <c r="Z145" s="34" t="s">
        <v>4</v>
      </c>
      <c r="AA145" s="34"/>
      <c r="AB145" s="34" t="s">
        <v>4</v>
      </c>
      <c r="AC145" s="34"/>
      <c r="AD145" s="34" t="s">
        <v>4</v>
      </c>
      <c r="AE145" s="34" t="s">
        <v>1093</v>
      </c>
      <c r="AF145" s="34"/>
      <c r="AG145" s="34"/>
      <c r="AH145" s="99" t="s">
        <v>1094</v>
      </c>
      <c r="AI145" s="34" t="s">
        <v>154</v>
      </c>
      <c r="AJ145" s="34" t="s">
        <v>1095</v>
      </c>
      <c r="AK145" s="49">
        <v>46234</v>
      </c>
      <c r="AL145" s="46"/>
      <c r="AM145" s="47"/>
      <c r="AN145" s="30" t="str">
        <f t="shared" ca="1" si="10"/>
        <v>ยังไม่หมด</v>
      </c>
      <c r="AO145" s="47">
        <f t="shared" ca="1" si="11"/>
        <v>329</v>
      </c>
      <c r="AP145" s="47"/>
    </row>
    <row r="146" spans="1:42" ht="15.75" customHeight="1">
      <c r="A146" s="23" t="s">
        <v>1096</v>
      </c>
      <c r="B146" s="23" t="s">
        <v>1097</v>
      </c>
      <c r="C146" s="23" t="s">
        <v>1098</v>
      </c>
      <c r="D146" s="23" t="s">
        <v>64</v>
      </c>
      <c r="E146" s="23" t="s">
        <v>23</v>
      </c>
      <c r="F146" s="26" t="s">
        <v>366</v>
      </c>
      <c r="G146" s="178" t="s">
        <v>367</v>
      </c>
      <c r="H146" s="28">
        <v>29702</v>
      </c>
      <c r="I146" s="23">
        <f t="shared" ca="1" si="0"/>
        <v>45</v>
      </c>
      <c r="J146" s="23" t="s">
        <v>3</v>
      </c>
      <c r="K146" s="28">
        <v>46062</v>
      </c>
      <c r="L146" s="31">
        <v>169</v>
      </c>
      <c r="M146" s="31">
        <v>90</v>
      </c>
      <c r="N146" s="31">
        <f t="shared" si="18"/>
        <v>31.511501698119819</v>
      </c>
      <c r="O146" s="23">
        <v>114</v>
      </c>
      <c r="P146" s="23">
        <v>72</v>
      </c>
      <c r="Q146" s="31">
        <v>46</v>
      </c>
      <c r="R146" s="23" t="s">
        <v>4</v>
      </c>
      <c r="S146" s="23"/>
      <c r="T146" s="23">
        <v>106</v>
      </c>
      <c r="U146" s="23">
        <v>110</v>
      </c>
      <c r="V146" s="23">
        <v>440</v>
      </c>
      <c r="W146" s="23">
        <v>20</v>
      </c>
      <c r="X146" s="23">
        <v>36</v>
      </c>
      <c r="Y146" s="37">
        <v>8.4</v>
      </c>
      <c r="Z146" s="23" t="s">
        <v>4</v>
      </c>
      <c r="AA146" s="23"/>
      <c r="AB146" s="23" t="s">
        <v>4</v>
      </c>
      <c r="AC146" s="23"/>
      <c r="AD146" s="23" t="s">
        <v>8</v>
      </c>
      <c r="AE146" s="23" t="s">
        <v>1099</v>
      </c>
      <c r="AF146" s="23"/>
      <c r="AG146" s="23"/>
      <c r="AH146" s="23" t="s">
        <v>1100</v>
      </c>
      <c r="AI146" s="23" t="s">
        <v>154</v>
      </c>
      <c r="AJ146" s="23" t="s">
        <v>1101</v>
      </c>
      <c r="AK146" s="58">
        <v>46112</v>
      </c>
      <c r="AL146" s="46" t="str">
        <f ca="1">IF((AK146+60)&lt;TODAY(),"เลยกำหนด",IF((AK146+60)-TODAY()&lt;=30,"ใกล้ถึง","ยังไม่ถึง"))</f>
        <v>เลยกำหนด</v>
      </c>
      <c r="AM146" s="47">
        <f ca="1">MAX(0, (AK146+60) - TODAY())</f>
        <v>0</v>
      </c>
      <c r="AN146" s="30" t="str">
        <f t="shared" ca="1" si="10"/>
        <v>ยังไม่หมด</v>
      </c>
      <c r="AO146" s="47">
        <f t="shared" ca="1" si="11"/>
        <v>175</v>
      </c>
      <c r="AP146" s="47"/>
    </row>
    <row r="147" spans="1:42" ht="15.75" customHeight="1">
      <c r="A147" s="50" t="s">
        <v>1102</v>
      </c>
      <c r="B147" s="50" t="s">
        <v>1103</v>
      </c>
      <c r="C147" s="50" t="s">
        <v>1104</v>
      </c>
      <c r="D147" s="50" t="s">
        <v>64</v>
      </c>
      <c r="E147" s="50" t="s">
        <v>23</v>
      </c>
      <c r="F147" s="51" t="s">
        <v>366</v>
      </c>
      <c r="G147" s="179" t="s">
        <v>367</v>
      </c>
      <c r="H147" s="52">
        <v>31450</v>
      </c>
      <c r="I147" s="50">
        <f t="shared" ca="1" si="0"/>
        <v>40</v>
      </c>
      <c r="J147" s="50" t="s">
        <v>41</v>
      </c>
      <c r="K147" s="52">
        <v>46170</v>
      </c>
      <c r="L147" s="53">
        <v>171</v>
      </c>
      <c r="M147" s="53">
        <v>86.1</v>
      </c>
      <c r="N147" s="53">
        <f t="shared" si="18"/>
        <v>29.444957422796758</v>
      </c>
      <c r="O147" s="50">
        <v>134</v>
      </c>
      <c r="P147" s="50">
        <v>86</v>
      </c>
      <c r="Q147" s="53">
        <v>44</v>
      </c>
      <c r="R147" s="50" t="s">
        <v>4</v>
      </c>
      <c r="S147" s="50" t="s">
        <v>1008</v>
      </c>
      <c r="T147" s="50">
        <v>103</v>
      </c>
      <c r="U147" s="50">
        <v>147</v>
      </c>
      <c r="V147" s="50">
        <v>64</v>
      </c>
      <c r="W147" s="50">
        <v>22</v>
      </c>
      <c r="X147" s="50">
        <v>25</v>
      </c>
      <c r="Y147" s="54">
        <v>4.8</v>
      </c>
      <c r="Z147" s="50" t="s">
        <v>8</v>
      </c>
      <c r="AA147" s="50" t="s">
        <v>1105</v>
      </c>
      <c r="AB147" s="50" t="s">
        <v>4</v>
      </c>
      <c r="AC147" s="50"/>
      <c r="AD147" s="50" t="s">
        <v>4</v>
      </c>
      <c r="AE147" s="50"/>
      <c r="AF147" s="50"/>
      <c r="AG147" s="50"/>
      <c r="AH147" s="50"/>
      <c r="AI147" s="50" t="s">
        <v>137</v>
      </c>
      <c r="AJ147" s="50" t="s">
        <v>139</v>
      </c>
      <c r="AK147" s="25">
        <v>46177</v>
      </c>
      <c r="AL147" s="25"/>
      <c r="AM147" s="27"/>
      <c r="AN147" s="30" t="str">
        <f t="shared" ca="1" si="10"/>
        <v>ยังไม่หมด</v>
      </c>
      <c r="AO147" s="47">
        <f t="shared" ca="1" si="11"/>
        <v>283</v>
      </c>
      <c r="AP147" s="47"/>
    </row>
    <row r="148" spans="1:42" ht="15.75" customHeight="1">
      <c r="A148" s="23" t="s">
        <v>1106</v>
      </c>
      <c r="B148" s="23" t="s">
        <v>1107</v>
      </c>
      <c r="C148" s="23" t="s">
        <v>1108</v>
      </c>
      <c r="D148" s="23" t="s">
        <v>64</v>
      </c>
      <c r="E148" s="23" t="s">
        <v>23</v>
      </c>
      <c r="F148" s="26" t="s">
        <v>366</v>
      </c>
      <c r="G148" s="23" t="s">
        <v>367</v>
      </c>
      <c r="H148" s="28">
        <v>28388</v>
      </c>
      <c r="I148" s="23">
        <f t="shared" ca="1" si="0"/>
        <v>49</v>
      </c>
      <c r="J148" s="23" t="s">
        <v>3</v>
      </c>
      <c r="K148" s="28">
        <v>46177</v>
      </c>
      <c r="L148" s="31">
        <v>165</v>
      </c>
      <c r="M148" s="31">
        <v>72.5</v>
      </c>
      <c r="N148" s="31">
        <f t="shared" si="18"/>
        <v>26.629935720844806</v>
      </c>
      <c r="O148" s="23">
        <v>103</v>
      </c>
      <c r="P148" s="23">
        <v>66</v>
      </c>
      <c r="Q148" s="31">
        <v>35</v>
      </c>
      <c r="R148" s="23" t="s">
        <v>4</v>
      </c>
      <c r="S148" s="23"/>
      <c r="T148" s="23">
        <v>100</v>
      </c>
      <c r="U148" s="23">
        <v>95</v>
      </c>
      <c r="V148" s="23">
        <v>243</v>
      </c>
      <c r="W148" s="23">
        <v>21</v>
      </c>
      <c r="X148" s="23">
        <v>11</v>
      </c>
      <c r="Y148" s="37">
        <v>8.5</v>
      </c>
      <c r="Z148" s="23" t="s">
        <v>8</v>
      </c>
      <c r="AA148" s="23" t="s">
        <v>135</v>
      </c>
      <c r="AB148" s="23" t="s">
        <v>4</v>
      </c>
      <c r="AC148" s="23"/>
      <c r="AD148" s="23" t="s">
        <v>8</v>
      </c>
      <c r="AE148" s="23" t="s">
        <v>1109</v>
      </c>
      <c r="AF148" s="23" t="s">
        <v>4</v>
      </c>
      <c r="AG148" s="23"/>
      <c r="AH148" s="23" t="s">
        <v>1110</v>
      </c>
      <c r="AI148" s="23" t="s">
        <v>154</v>
      </c>
      <c r="AJ148" s="23" t="s">
        <v>1111</v>
      </c>
      <c r="AK148" s="58">
        <v>46187</v>
      </c>
      <c r="AL148" s="58"/>
      <c r="AM148" s="27"/>
      <c r="AN148" s="30" t="str">
        <f t="shared" ca="1" si="10"/>
        <v>ยังไม่หมด</v>
      </c>
      <c r="AO148" s="47">
        <f t="shared" ca="1" si="11"/>
        <v>290</v>
      </c>
      <c r="AP148" s="47"/>
    </row>
    <row r="149" spans="1:42" ht="15.75" customHeight="1">
      <c r="A149" s="64" t="s">
        <v>1112</v>
      </c>
      <c r="B149" s="64" t="s">
        <v>1113</v>
      </c>
      <c r="C149" s="64" t="s">
        <v>1114</v>
      </c>
      <c r="D149" s="64" t="s">
        <v>64</v>
      </c>
      <c r="E149" s="64" t="s">
        <v>23</v>
      </c>
      <c r="F149" s="65" t="s">
        <v>366</v>
      </c>
      <c r="G149" s="64" t="s">
        <v>367</v>
      </c>
      <c r="H149" s="66">
        <v>28630</v>
      </c>
      <c r="I149" s="64">
        <f t="shared" ca="1" si="0"/>
        <v>48</v>
      </c>
      <c r="J149" s="64" t="s">
        <v>24</v>
      </c>
      <c r="K149" s="66">
        <v>46213</v>
      </c>
      <c r="L149" s="69">
        <v>163</v>
      </c>
      <c r="M149" s="69">
        <v>66.2</v>
      </c>
      <c r="N149" s="69">
        <f t="shared" si="18"/>
        <v>24.916255786819224</v>
      </c>
      <c r="O149" s="180">
        <v>124</v>
      </c>
      <c r="P149" s="180">
        <v>87</v>
      </c>
      <c r="Q149" s="69">
        <v>47</v>
      </c>
      <c r="R149" s="64" t="s">
        <v>4</v>
      </c>
      <c r="S149" s="64"/>
      <c r="T149" s="64">
        <v>93</v>
      </c>
      <c r="U149" s="180">
        <v>210</v>
      </c>
      <c r="V149" s="180">
        <v>293</v>
      </c>
      <c r="W149" s="64">
        <v>29</v>
      </c>
      <c r="X149" s="180">
        <v>34</v>
      </c>
      <c r="Y149" s="181">
        <v>8.6999999999999993</v>
      </c>
      <c r="Z149" s="64" t="s">
        <v>4</v>
      </c>
      <c r="AA149" s="64"/>
      <c r="AB149" s="64" t="s">
        <v>4</v>
      </c>
      <c r="AC149" s="64"/>
      <c r="AD149" s="64" t="s">
        <v>8</v>
      </c>
      <c r="AE149" s="64" t="s">
        <v>1115</v>
      </c>
      <c r="AF149" s="64"/>
      <c r="AG149" s="64"/>
      <c r="AH149" s="64"/>
      <c r="AI149" s="64" t="s">
        <v>242</v>
      </c>
      <c r="AJ149" s="64" t="s">
        <v>1116</v>
      </c>
      <c r="AK149" s="71">
        <v>46226</v>
      </c>
      <c r="AL149" s="182"/>
      <c r="AM149" s="47"/>
      <c r="AN149" s="30" t="str">
        <f t="shared" ca="1" si="10"/>
        <v>ยังไม่หมด</v>
      </c>
      <c r="AO149" s="47">
        <f t="shared" ca="1" si="11"/>
        <v>326</v>
      </c>
      <c r="AP149" s="47"/>
    </row>
    <row r="150" spans="1:42" ht="15.75" customHeight="1">
      <c r="A150" s="50" t="s">
        <v>1117</v>
      </c>
      <c r="B150" s="50" t="s">
        <v>1118</v>
      </c>
      <c r="C150" s="50" t="s">
        <v>1119</v>
      </c>
      <c r="D150" s="50" t="s">
        <v>64</v>
      </c>
      <c r="E150" s="50" t="s">
        <v>23</v>
      </c>
      <c r="F150" s="51" t="s">
        <v>366</v>
      </c>
      <c r="G150" s="50" t="s">
        <v>367</v>
      </c>
      <c r="H150" s="52">
        <v>29273</v>
      </c>
      <c r="I150" s="50">
        <f t="shared" ca="1" si="0"/>
        <v>46</v>
      </c>
      <c r="J150" s="50" t="s">
        <v>3</v>
      </c>
      <c r="K150" s="52">
        <v>46213</v>
      </c>
      <c r="L150" s="53">
        <v>170</v>
      </c>
      <c r="M150" s="53">
        <v>67</v>
      </c>
      <c r="N150" s="53">
        <f t="shared" si="18"/>
        <v>23.183391003460208</v>
      </c>
      <c r="O150" s="76">
        <v>138</v>
      </c>
      <c r="P150" s="76">
        <v>84</v>
      </c>
      <c r="Q150" s="53">
        <v>44</v>
      </c>
      <c r="R150" s="50" t="s">
        <v>8</v>
      </c>
      <c r="S150" s="50" t="s">
        <v>262</v>
      </c>
      <c r="T150" s="50">
        <v>86</v>
      </c>
      <c r="U150" s="50">
        <v>113</v>
      </c>
      <c r="V150" s="76">
        <v>182</v>
      </c>
      <c r="W150" s="50">
        <v>24</v>
      </c>
      <c r="X150" s="50">
        <v>29</v>
      </c>
      <c r="Y150" s="54">
        <v>7.2</v>
      </c>
      <c r="Z150" s="50" t="s">
        <v>4</v>
      </c>
      <c r="AA150" s="50"/>
      <c r="AB150" s="50" t="s">
        <v>4</v>
      </c>
      <c r="AC150" s="50"/>
      <c r="AD150" s="50" t="s">
        <v>8</v>
      </c>
      <c r="AE150" s="50" t="s">
        <v>1120</v>
      </c>
      <c r="AF150" s="50" t="s">
        <v>4</v>
      </c>
      <c r="AG150" s="50"/>
      <c r="AH150" s="50" t="s">
        <v>1121</v>
      </c>
      <c r="AI150" s="50" t="s">
        <v>137</v>
      </c>
      <c r="AJ150" s="50" t="s">
        <v>241</v>
      </c>
      <c r="AK150" s="25">
        <v>46224</v>
      </c>
      <c r="AL150" s="25"/>
      <c r="AM150" s="27"/>
      <c r="AN150" s="30" t="str">
        <f t="shared" ca="1" si="10"/>
        <v>ยังไม่หมด</v>
      </c>
      <c r="AO150" s="47">
        <f t="shared" ca="1" si="11"/>
        <v>326</v>
      </c>
      <c r="AP150" s="47"/>
    </row>
    <row r="151" spans="1:42" ht="15.75" customHeight="1">
      <c r="A151" s="50" t="s">
        <v>1122</v>
      </c>
      <c r="B151" s="51" t="s">
        <v>1123</v>
      </c>
      <c r="C151" s="51" t="s">
        <v>1124</v>
      </c>
      <c r="D151" s="50" t="s">
        <v>64</v>
      </c>
      <c r="E151" s="50" t="s">
        <v>23</v>
      </c>
      <c r="F151" s="51" t="s">
        <v>366</v>
      </c>
      <c r="G151" s="50" t="s">
        <v>367</v>
      </c>
      <c r="H151" s="52">
        <v>28010</v>
      </c>
      <c r="I151" s="50">
        <f t="shared" ca="1" si="0"/>
        <v>50</v>
      </c>
      <c r="J151" s="50" t="s">
        <v>3</v>
      </c>
      <c r="K151" s="52">
        <v>46169</v>
      </c>
      <c r="L151" s="116">
        <v>170</v>
      </c>
      <c r="M151" s="116">
        <v>69.3</v>
      </c>
      <c r="N151" s="53">
        <f t="shared" si="18"/>
        <v>23.979238754325262</v>
      </c>
      <c r="O151" s="183">
        <v>114</v>
      </c>
      <c r="P151" s="183">
        <v>69</v>
      </c>
      <c r="Q151" s="116">
        <v>44</v>
      </c>
      <c r="R151" s="50" t="s">
        <v>4</v>
      </c>
      <c r="S151" s="50"/>
      <c r="T151" s="183">
        <v>100</v>
      </c>
      <c r="U151" s="183">
        <v>122</v>
      </c>
      <c r="V151" s="183">
        <v>110</v>
      </c>
      <c r="W151" s="183">
        <v>15</v>
      </c>
      <c r="X151" s="183">
        <v>13</v>
      </c>
      <c r="Y151" s="184">
        <v>5.7</v>
      </c>
      <c r="Z151" s="50" t="s">
        <v>4</v>
      </c>
      <c r="AA151" s="50"/>
      <c r="AB151" s="50" t="s">
        <v>4</v>
      </c>
      <c r="AC151" s="50"/>
      <c r="AD151" s="50" t="s">
        <v>8</v>
      </c>
      <c r="AE151" s="50" t="s">
        <v>1125</v>
      </c>
      <c r="AF151" s="50"/>
      <c r="AG151" s="50"/>
      <c r="AH151" s="50" t="s">
        <v>1126</v>
      </c>
      <c r="AI151" s="50" t="s">
        <v>137</v>
      </c>
      <c r="AJ151" s="50" t="s">
        <v>231</v>
      </c>
      <c r="AK151" s="138">
        <v>46180</v>
      </c>
      <c r="AL151" s="138"/>
      <c r="AM151" s="27"/>
      <c r="AN151" s="30" t="str">
        <f t="shared" ca="1" si="10"/>
        <v>ยังไม่หมด</v>
      </c>
      <c r="AO151" s="47">
        <f t="shared" ca="1" si="11"/>
        <v>282</v>
      </c>
      <c r="AP151" s="47"/>
    </row>
    <row r="152" spans="1:42" ht="15.75" customHeight="1">
      <c r="A152" s="23" t="s">
        <v>1127</v>
      </c>
      <c r="B152" s="23" t="s">
        <v>1128</v>
      </c>
      <c r="C152" s="23" t="s">
        <v>1129</v>
      </c>
      <c r="D152" s="23" t="s">
        <v>64</v>
      </c>
      <c r="E152" s="23" t="s">
        <v>23</v>
      </c>
      <c r="F152" s="26" t="s">
        <v>366</v>
      </c>
      <c r="G152" s="23" t="s">
        <v>367</v>
      </c>
      <c r="H152" s="28">
        <v>32529</v>
      </c>
      <c r="I152" s="23">
        <f t="shared" ca="1" si="0"/>
        <v>37</v>
      </c>
      <c r="J152" s="23" t="s">
        <v>3</v>
      </c>
      <c r="K152" s="28">
        <v>46128</v>
      </c>
      <c r="L152" s="31">
        <v>169</v>
      </c>
      <c r="M152" s="126">
        <v>84.96</v>
      </c>
      <c r="N152" s="31">
        <f t="shared" si="18"/>
        <v>29.746857603025106</v>
      </c>
      <c r="O152" s="23">
        <v>127</v>
      </c>
      <c r="P152" s="23">
        <v>77</v>
      </c>
      <c r="Q152" s="31">
        <v>46</v>
      </c>
      <c r="R152" s="23" t="s">
        <v>4</v>
      </c>
      <c r="S152" s="33"/>
      <c r="T152" s="23">
        <v>83</v>
      </c>
      <c r="U152" s="23">
        <v>132</v>
      </c>
      <c r="V152" s="59">
        <v>128</v>
      </c>
      <c r="W152" s="23">
        <v>22</v>
      </c>
      <c r="X152" s="23">
        <v>28</v>
      </c>
      <c r="Y152" s="37">
        <v>5.6</v>
      </c>
      <c r="Z152" s="23" t="s">
        <v>4</v>
      </c>
      <c r="AA152" s="33"/>
      <c r="AB152" s="23" t="s">
        <v>4</v>
      </c>
      <c r="AC152" s="33"/>
      <c r="AD152" s="23" t="s">
        <v>8</v>
      </c>
      <c r="AE152" s="59" t="s">
        <v>1130</v>
      </c>
      <c r="AF152" s="23" t="s">
        <v>4</v>
      </c>
      <c r="AG152" s="33"/>
      <c r="AH152" s="23" t="s">
        <v>1131</v>
      </c>
      <c r="AI152" s="23" t="s">
        <v>154</v>
      </c>
      <c r="AJ152" s="23" t="s">
        <v>1132</v>
      </c>
      <c r="AK152" s="58">
        <v>46147</v>
      </c>
      <c r="AL152" s="46" t="str">
        <f ca="1">IF((AK152+180)&lt;TODAY(),"เลยกำหนด",IF((AK152+180)-TODAY()&lt;=30,"ใกล้ถึง","ยังไม่ถึง"))</f>
        <v>ยังไม่ถึง</v>
      </c>
      <c r="AM152" s="47">
        <f ca="1">MAX(0, (AK152+180) - TODAY())</f>
        <v>76</v>
      </c>
      <c r="AN152" s="30" t="str">
        <f t="shared" ca="1" si="10"/>
        <v>ยังไม่หมด</v>
      </c>
      <c r="AO152" s="47">
        <f t="shared" ca="1" si="11"/>
        <v>241</v>
      </c>
      <c r="AP152" s="47"/>
    </row>
    <row r="153" spans="1:42" ht="15.75" customHeight="1">
      <c r="A153" s="50" t="s">
        <v>1133</v>
      </c>
      <c r="B153" s="50" t="s">
        <v>1134</v>
      </c>
      <c r="C153" s="50" t="s">
        <v>1135</v>
      </c>
      <c r="D153" s="50" t="s">
        <v>64</v>
      </c>
      <c r="E153" s="50" t="s">
        <v>23</v>
      </c>
      <c r="F153" s="51" t="s">
        <v>366</v>
      </c>
      <c r="G153" s="50" t="s">
        <v>367</v>
      </c>
      <c r="H153" s="52">
        <v>27457</v>
      </c>
      <c r="I153" s="50">
        <f t="shared" ca="1" si="0"/>
        <v>51</v>
      </c>
      <c r="J153" s="50" t="s">
        <v>3</v>
      </c>
      <c r="K153" s="52">
        <v>46094</v>
      </c>
      <c r="L153" s="116">
        <v>168</v>
      </c>
      <c r="M153" s="116">
        <v>58.1</v>
      </c>
      <c r="N153" s="53">
        <f t="shared" si="18"/>
        <v>20.585317460317462</v>
      </c>
      <c r="O153" s="50">
        <v>117</v>
      </c>
      <c r="P153" s="50">
        <v>80</v>
      </c>
      <c r="Q153" s="53">
        <v>45</v>
      </c>
      <c r="R153" s="50" t="s">
        <v>4</v>
      </c>
      <c r="S153" s="50"/>
      <c r="T153" s="50">
        <v>92</v>
      </c>
      <c r="U153" s="50">
        <v>84</v>
      </c>
      <c r="V153" s="50">
        <v>65</v>
      </c>
      <c r="W153" s="50">
        <v>34</v>
      </c>
      <c r="X153" s="50">
        <v>17</v>
      </c>
      <c r="Y153" s="54">
        <v>6.1</v>
      </c>
      <c r="Z153" s="50" t="s">
        <v>4</v>
      </c>
      <c r="AA153" s="50"/>
      <c r="AB153" s="50" t="s">
        <v>4</v>
      </c>
      <c r="AC153" s="50"/>
      <c r="AD153" s="50" t="s">
        <v>4</v>
      </c>
      <c r="AE153" s="50"/>
      <c r="AF153" s="50"/>
      <c r="AG153" s="50"/>
      <c r="AH153" s="50"/>
      <c r="AI153" s="50" t="s">
        <v>137</v>
      </c>
      <c r="AJ153" s="50" t="s">
        <v>231</v>
      </c>
      <c r="AK153" s="25">
        <v>46101</v>
      </c>
      <c r="AL153" s="25"/>
      <c r="AM153" s="27"/>
      <c r="AN153" s="30" t="str">
        <f t="shared" ca="1" si="10"/>
        <v>ยังไม่หมด</v>
      </c>
      <c r="AO153" s="47">
        <f t="shared" ca="1" si="11"/>
        <v>207</v>
      </c>
      <c r="AP153" s="47"/>
    </row>
    <row r="154" spans="1:42" ht="15.75" customHeight="1">
      <c r="A154" s="64" t="s">
        <v>1136</v>
      </c>
      <c r="B154" s="64" t="s">
        <v>1137</v>
      </c>
      <c r="C154" s="64" t="s">
        <v>1138</v>
      </c>
      <c r="D154" s="64" t="s">
        <v>64</v>
      </c>
      <c r="E154" s="64" t="s">
        <v>23</v>
      </c>
      <c r="F154" s="65" t="s">
        <v>366</v>
      </c>
      <c r="G154" s="64" t="s">
        <v>367</v>
      </c>
      <c r="H154" s="66">
        <v>33059</v>
      </c>
      <c r="I154" s="64">
        <f t="shared" ca="1" si="0"/>
        <v>36</v>
      </c>
      <c r="J154" s="64" t="s">
        <v>3</v>
      </c>
      <c r="K154" s="66">
        <v>46226</v>
      </c>
      <c r="L154" s="69">
        <v>164</v>
      </c>
      <c r="M154" s="69">
        <v>75.2</v>
      </c>
      <c r="N154" s="69">
        <f t="shared" si="18"/>
        <v>27.959547888161804</v>
      </c>
      <c r="O154" s="185">
        <v>126</v>
      </c>
      <c r="P154" s="185">
        <v>76</v>
      </c>
      <c r="Q154" s="69">
        <v>45</v>
      </c>
      <c r="R154" s="64" t="s">
        <v>4</v>
      </c>
      <c r="S154" s="185"/>
      <c r="T154" s="185">
        <v>89</v>
      </c>
      <c r="U154" s="185">
        <v>155</v>
      </c>
      <c r="V154" s="185">
        <v>71</v>
      </c>
      <c r="W154" s="185">
        <v>23</v>
      </c>
      <c r="X154" s="185">
        <v>46</v>
      </c>
      <c r="Y154" s="70">
        <v>6.8</v>
      </c>
      <c r="Z154" s="64" t="s">
        <v>8</v>
      </c>
      <c r="AA154" s="185" t="s">
        <v>135</v>
      </c>
      <c r="AB154" s="64" t="s">
        <v>4</v>
      </c>
      <c r="AC154" s="185"/>
      <c r="AD154" s="64" t="s">
        <v>8</v>
      </c>
      <c r="AE154" s="185" t="s">
        <v>1139</v>
      </c>
      <c r="AF154" s="64" t="s">
        <v>4</v>
      </c>
      <c r="AG154" s="185"/>
      <c r="AH154" s="185"/>
      <c r="AI154" s="185" t="s">
        <v>242</v>
      </c>
      <c r="AJ154" s="185" t="s">
        <v>1140</v>
      </c>
      <c r="AK154" s="182">
        <v>46237</v>
      </c>
      <c r="AL154" s="182"/>
      <c r="AM154" s="27"/>
      <c r="AN154" s="30" t="str">
        <f t="shared" ca="1" si="10"/>
        <v>ยังไม่หมด</v>
      </c>
      <c r="AO154" s="47">
        <f t="shared" ca="1" si="11"/>
        <v>339</v>
      </c>
      <c r="AP154" s="47"/>
    </row>
    <row r="155" spans="1:42" ht="18" customHeight="1">
      <c r="A155" s="23" t="s">
        <v>1141</v>
      </c>
      <c r="B155" s="23" t="s">
        <v>1142</v>
      </c>
      <c r="C155" s="23" t="s">
        <v>1143</v>
      </c>
      <c r="D155" s="23" t="s">
        <v>64</v>
      </c>
      <c r="E155" s="23" t="s">
        <v>23</v>
      </c>
      <c r="F155" s="26" t="s">
        <v>325</v>
      </c>
      <c r="G155" s="23" t="s">
        <v>328</v>
      </c>
      <c r="H155" s="28">
        <v>32437</v>
      </c>
      <c r="I155" s="23">
        <f t="shared" ca="1" si="0"/>
        <v>38</v>
      </c>
      <c r="J155" s="23" t="s">
        <v>24</v>
      </c>
      <c r="K155" s="28">
        <v>45940</v>
      </c>
      <c r="L155" s="31">
        <v>175.3</v>
      </c>
      <c r="M155" s="31">
        <v>74.099999999999994</v>
      </c>
      <c r="N155" s="31">
        <f t="shared" si="18"/>
        <v>24.113173765517768</v>
      </c>
      <c r="O155" s="89">
        <v>118</v>
      </c>
      <c r="P155" s="89">
        <v>74</v>
      </c>
      <c r="Q155" s="31">
        <v>43</v>
      </c>
      <c r="R155" s="23" t="s">
        <v>4</v>
      </c>
      <c r="S155" s="33"/>
      <c r="T155" s="89">
        <v>90</v>
      </c>
      <c r="U155" s="89">
        <v>164</v>
      </c>
      <c r="V155" s="89">
        <v>99</v>
      </c>
      <c r="W155" s="89">
        <v>32</v>
      </c>
      <c r="X155" s="89">
        <v>27</v>
      </c>
      <c r="Y155" s="37">
        <v>7.2</v>
      </c>
      <c r="Z155" s="23" t="s">
        <v>4</v>
      </c>
      <c r="AA155" s="33"/>
      <c r="AB155" s="23" t="s">
        <v>4</v>
      </c>
      <c r="AC155" s="33"/>
      <c r="AD155" s="23" t="s">
        <v>8</v>
      </c>
      <c r="AE155" s="89" t="s">
        <v>1144</v>
      </c>
      <c r="AF155" s="23" t="s">
        <v>4</v>
      </c>
      <c r="AG155" s="33"/>
      <c r="AH155" s="89" t="s">
        <v>1145</v>
      </c>
      <c r="AI155" s="89" t="s">
        <v>154</v>
      </c>
      <c r="AJ155" s="89" t="s">
        <v>1146</v>
      </c>
      <c r="AK155" s="46">
        <v>46187</v>
      </c>
      <c r="AL155" s="46" t="str">
        <f t="shared" ref="AL155:AL157" ca="1" si="19">IF((AK155+90)&lt;TODAY(),"เลยกำหนด",IF((AK155+90)-TODAY()&lt;=30,"ใกล้ถึง","ยังไม่ถึง"))</f>
        <v>ใกล้ถึง</v>
      </c>
      <c r="AM155" s="47">
        <f t="shared" ref="AM155:AM157" ca="1" si="20">MAX(0, (AK155+90) - TODAY())</f>
        <v>26</v>
      </c>
      <c r="AN155" s="30" t="str">
        <f t="shared" ca="1" si="10"/>
        <v>ใกล้หมด 3 เดือน</v>
      </c>
      <c r="AO155" s="47">
        <f t="shared" ca="1" si="11"/>
        <v>53</v>
      </c>
      <c r="AP155" s="47"/>
    </row>
    <row r="156" spans="1:42" ht="18" customHeight="1">
      <c r="A156" s="23" t="s">
        <v>1147</v>
      </c>
      <c r="B156" s="23" t="s">
        <v>1148</v>
      </c>
      <c r="C156" s="23" t="s">
        <v>1149</v>
      </c>
      <c r="D156" s="23" t="s">
        <v>64</v>
      </c>
      <c r="E156" s="23" t="s">
        <v>23</v>
      </c>
      <c r="F156" s="26" t="s">
        <v>325</v>
      </c>
      <c r="G156" s="23" t="s">
        <v>328</v>
      </c>
      <c r="H156" s="28">
        <v>28283</v>
      </c>
      <c r="I156" s="23">
        <f t="shared" ca="1" si="0"/>
        <v>49</v>
      </c>
      <c r="J156" s="80" t="s">
        <v>1150</v>
      </c>
      <c r="K156" s="28">
        <v>46206</v>
      </c>
      <c r="L156" s="31">
        <v>157</v>
      </c>
      <c r="M156" s="31">
        <v>60</v>
      </c>
      <c r="N156" s="31">
        <v>24.34</v>
      </c>
      <c r="O156" s="89">
        <v>124</v>
      </c>
      <c r="P156" s="89">
        <v>70</v>
      </c>
      <c r="Q156" s="31">
        <v>39</v>
      </c>
      <c r="R156" s="23" t="s">
        <v>4</v>
      </c>
      <c r="S156" s="89"/>
      <c r="T156" s="89">
        <v>98</v>
      </c>
      <c r="U156" s="89">
        <v>186</v>
      </c>
      <c r="V156" s="89">
        <v>176</v>
      </c>
      <c r="W156" s="89">
        <v>19</v>
      </c>
      <c r="X156" s="89">
        <v>17</v>
      </c>
      <c r="Y156" s="37">
        <v>5.5</v>
      </c>
      <c r="Z156" s="23" t="s">
        <v>4</v>
      </c>
      <c r="AA156" s="89"/>
      <c r="AB156" s="23" t="s">
        <v>4</v>
      </c>
      <c r="AC156" s="89"/>
      <c r="AD156" s="23" t="s">
        <v>4</v>
      </c>
      <c r="AE156" s="89"/>
      <c r="AF156" s="23" t="s">
        <v>4</v>
      </c>
      <c r="AG156" s="89"/>
      <c r="AH156" s="89"/>
      <c r="AI156" s="89" t="s">
        <v>154</v>
      </c>
      <c r="AJ156" s="89" t="s">
        <v>600</v>
      </c>
      <c r="AK156" s="46">
        <v>46212</v>
      </c>
      <c r="AL156" s="46" t="str">
        <f t="shared" ca="1" si="19"/>
        <v>ยังไม่ถึง</v>
      </c>
      <c r="AM156" s="47">
        <f t="shared" ca="1" si="20"/>
        <v>51</v>
      </c>
      <c r="AN156" s="48" t="str">
        <f t="shared" ca="1" si="10"/>
        <v>ยังไม่หมด</v>
      </c>
      <c r="AO156" s="47">
        <f t="shared" ca="1" si="11"/>
        <v>319</v>
      </c>
      <c r="AP156" s="47"/>
    </row>
    <row r="157" spans="1:42" ht="18" customHeight="1">
      <c r="A157" s="23" t="s">
        <v>1151</v>
      </c>
      <c r="B157" s="23" t="s">
        <v>1152</v>
      </c>
      <c r="C157" s="23" t="s">
        <v>1153</v>
      </c>
      <c r="D157" s="23" t="s">
        <v>64</v>
      </c>
      <c r="E157" s="23" t="s">
        <v>23</v>
      </c>
      <c r="F157" s="26" t="s">
        <v>238</v>
      </c>
      <c r="G157" s="23" t="s">
        <v>134</v>
      </c>
      <c r="H157" s="28">
        <v>33971</v>
      </c>
      <c r="I157" s="23">
        <f t="shared" ca="1" si="0"/>
        <v>33</v>
      </c>
      <c r="J157" s="23" t="s">
        <v>3</v>
      </c>
      <c r="K157" s="28">
        <v>46121</v>
      </c>
      <c r="L157" s="31">
        <v>169.8</v>
      </c>
      <c r="M157" s="31">
        <v>85.05</v>
      </c>
      <c r="N157" s="31">
        <f t="shared" ref="N157:N163" si="21">M157/(L157*0.01)^2</f>
        <v>29.498432993294951</v>
      </c>
      <c r="O157" s="33">
        <v>132</v>
      </c>
      <c r="P157" s="33">
        <v>77</v>
      </c>
      <c r="Q157" s="31">
        <v>47.3</v>
      </c>
      <c r="R157" s="23" t="s">
        <v>4</v>
      </c>
      <c r="S157" s="33"/>
      <c r="T157" s="33">
        <v>90</v>
      </c>
      <c r="U157" s="186">
        <v>185</v>
      </c>
      <c r="V157" s="33">
        <v>119</v>
      </c>
      <c r="W157" s="33">
        <v>25</v>
      </c>
      <c r="X157" s="33">
        <v>27</v>
      </c>
      <c r="Y157" s="37">
        <v>6.4</v>
      </c>
      <c r="Z157" s="23" t="s">
        <v>4</v>
      </c>
      <c r="AA157" s="33"/>
      <c r="AB157" s="23" t="s">
        <v>4</v>
      </c>
      <c r="AC157" s="33"/>
      <c r="AD157" s="23" t="s">
        <v>4</v>
      </c>
      <c r="AE157" s="33"/>
      <c r="AF157" s="33"/>
      <c r="AG157" s="33"/>
      <c r="AH157" s="33" t="s">
        <v>1154</v>
      </c>
      <c r="AI157" s="33" t="s">
        <v>154</v>
      </c>
      <c r="AJ157" s="33" t="s">
        <v>1155</v>
      </c>
      <c r="AK157" s="187">
        <v>46182</v>
      </c>
      <c r="AL157" s="46" t="str">
        <f t="shared" ca="1" si="19"/>
        <v>ใกล้ถึง</v>
      </c>
      <c r="AM157" s="47">
        <f t="shared" ca="1" si="20"/>
        <v>21</v>
      </c>
      <c r="AN157" s="30" t="str">
        <f t="shared" ca="1" si="10"/>
        <v>ยังไม่หมด</v>
      </c>
      <c r="AO157" s="47">
        <f t="shared" ca="1" si="11"/>
        <v>234</v>
      </c>
      <c r="AP157" s="47"/>
    </row>
    <row r="158" spans="1:42" ht="18" customHeight="1">
      <c r="A158" s="50" t="s">
        <v>1156</v>
      </c>
      <c r="B158" s="50" t="s">
        <v>1157</v>
      </c>
      <c r="C158" s="50" t="s">
        <v>1158</v>
      </c>
      <c r="D158" s="50" t="s">
        <v>64</v>
      </c>
      <c r="E158" s="50" t="s">
        <v>23</v>
      </c>
      <c r="F158" s="188" t="s">
        <v>260</v>
      </c>
      <c r="G158" s="50" t="s">
        <v>328</v>
      </c>
      <c r="H158" s="52">
        <v>27206</v>
      </c>
      <c r="I158" s="50">
        <f t="shared" ca="1" si="0"/>
        <v>52</v>
      </c>
      <c r="J158" s="50" t="s">
        <v>3</v>
      </c>
      <c r="K158" s="52">
        <v>46031</v>
      </c>
      <c r="L158" s="53">
        <v>160.5</v>
      </c>
      <c r="M158" s="53">
        <v>58.7</v>
      </c>
      <c r="N158" s="53">
        <f t="shared" si="21"/>
        <v>22.787045933172234</v>
      </c>
      <c r="O158" s="169">
        <v>136</v>
      </c>
      <c r="P158" s="169">
        <v>79</v>
      </c>
      <c r="Q158" s="53">
        <v>44.3</v>
      </c>
      <c r="R158" s="50" t="s">
        <v>4</v>
      </c>
      <c r="S158" s="169"/>
      <c r="T158" s="169">
        <v>98</v>
      </c>
      <c r="U158" s="169">
        <v>140</v>
      </c>
      <c r="V158" s="169">
        <v>100</v>
      </c>
      <c r="W158" s="169">
        <v>29</v>
      </c>
      <c r="X158" s="169">
        <v>20</v>
      </c>
      <c r="Y158" s="54">
        <v>3.4</v>
      </c>
      <c r="Z158" s="50" t="s">
        <v>4</v>
      </c>
      <c r="AA158" s="169"/>
      <c r="AB158" s="50" t="s">
        <v>4</v>
      </c>
      <c r="AC158" s="169"/>
      <c r="AD158" s="50" t="s">
        <v>8</v>
      </c>
      <c r="AE158" s="169" t="s">
        <v>1159</v>
      </c>
      <c r="AF158" s="50" t="s">
        <v>4</v>
      </c>
      <c r="AG158" s="169"/>
      <c r="AH158" s="169" t="s">
        <v>1160</v>
      </c>
      <c r="AI158" s="169" t="s">
        <v>137</v>
      </c>
      <c r="AJ158" s="169" t="s">
        <v>231</v>
      </c>
      <c r="AK158" s="189">
        <v>46035</v>
      </c>
      <c r="AL158" s="189"/>
      <c r="AM158" s="27"/>
      <c r="AN158" s="30" t="str">
        <f t="shared" ca="1" si="10"/>
        <v>ยังไม่หมด</v>
      </c>
      <c r="AO158" s="47">
        <f t="shared" ca="1" si="11"/>
        <v>144</v>
      </c>
      <c r="AP158" s="47"/>
    </row>
    <row r="159" spans="1:42" ht="15.75" customHeight="1">
      <c r="A159" s="23" t="s">
        <v>1161</v>
      </c>
      <c r="B159" s="23" t="s">
        <v>1162</v>
      </c>
      <c r="C159" s="23" t="s">
        <v>1163</v>
      </c>
      <c r="D159" s="23" t="s">
        <v>64</v>
      </c>
      <c r="E159" s="23" t="s">
        <v>23</v>
      </c>
      <c r="F159" s="26" t="s">
        <v>1164</v>
      </c>
      <c r="G159" s="23" t="s">
        <v>134</v>
      </c>
      <c r="H159" s="28">
        <v>32251</v>
      </c>
      <c r="I159" s="23">
        <f t="shared" ca="1" si="0"/>
        <v>38</v>
      </c>
      <c r="J159" s="23" t="s">
        <v>3</v>
      </c>
      <c r="K159" s="28">
        <v>46188</v>
      </c>
      <c r="L159" s="190">
        <v>170</v>
      </c>
      <c r="M159" s="190">
        <v>87.6</v>
      </c>
      <c r="N159" s="31">
        <f t="shared" si="21"/>
        <v>30.311418685121108</v>
      </c>
      <c r="O159" s="178">
        <v>118</v>
      </c>
      <c r="P159" s="178">
        <v>71</v>
      </c>
      <c r="Q159" s="190">
        <v>45.1</v>
      </c>
      <c r="R159" s="178" t="s">
        <v>8</v>
      </c>
      <c r="S159" s="178" t="s">
        <v>262</v>
      </c>
      <c r="T159" s="178">
        <v>94</v>
      </c>
      <c r="U159" s="178">
        <v>95</v>
      </c>
      <c r="V159" s="178">
        <v>69</v>
      </c>
      <c r="W159" s="178">
        <v>32</v>
      </c>
      <c r="X159" s="178">
        <v>27</v>
      </c>
      <c r="Y159" s="191">
        <v>6.8</v>
      </c>
      <c r="Z159" s="178" t="s">
        <v>4</v>
      </c>
      <c r="AA159" s="178"/>
      <c r="AB159" s="178" t="s">
        <v>4</v>
      </c>
      <c r="AC159" s="178"/>
      <c r="AD159" s="178" t="s">
        <v>8</v>
      </c>
      <c r="AE159" s="178" t="s">
        <v>1165</v>
      </c>
      <c r="AF159" s="23"/>
      <c r="AG159" s="178"/>
      <c r="AH159" s="178" t="s">
        <v>1166</v>
      </c>
      <c r="AI159" s="178" t="s">
        <v>154</v>
      </c>
      <c r="AJ159" s="178" t="s">
        <v>380</v>
      </c>
      <c r="AK159" s="192">
        <v>46198</v>
      </c>
      <c r="AL159" s="46"/>
      <c r="AM159" s="47"/>
      <c r="AN159" s="48" t="str">
        <f t="shared" ca="1" si="10"/>
        <v>ยังไม่หมด</v>
      </c>
      <c r="AO159" s="47">
        <f t="shared" ca="1" si="11"/>
        <v>301</v>
      </c>
      <c r="AP159" s="47"/>
    </row>
    <row r="160" spans="1:42" ht="18" customHeight="1">
      <c r="A160" s="50" t="s">
        <v>1167</v>
      </c>
      <c r="B160" s="50" t="s">
        <v>1168</v>
      </c>
      <c r="C160" s="50" t="s">
        <v>519</v>
      </c>
      <c r="D160" s="50" t="s">
        <v>64</v>
      </c>
      <c r="E160" s="50" t="s">
        <v>23</v>
      </c>
      <c r="F160" s="51" t="s">
        <v>238</v>
      </c>
      <c r="G160" s="50" t="s">
        <v>134</v>
      </c>
      <c r="H160" s="52">
        <v>37392</v>
      </c>
      <c r="I160" s="50">
        <f t="shared" ca="1" si="0"/>
        <v>24</v>
      </c>
      <c r="J160" s="50" t="s">
        <v>3</v>
      </c>
      <c r="K160" s="52">
        <v>46147</v>
      </c>
      <c r="L160" s="53">
        <v>176</v>
      </c>
      <c r="M160" s="53">
        <v>58.6</v>
      </c>
      <c r="N160" s="53">
        <f t="shared" si="21"/>
        <v>18.917871900826448</v>
      </c>
      <c r="O160" s="97">
        <v>135</v>
      </c>
      <c r="P160" s="97">
        <v>80</v>
      </c>
      <c r="Q160" s="53">
        <v>39</v>
      </c>
      <c r="R160" s="50" t="s">
        <v>4</v>
      </c>
      <c r="S160" s="97"/>
      <c r="T160" s="97">
        <v>105</v>
      </c>
      <c r="U160" s="97">
        <v>50</v>
      </c>
      <c r="V160" s="97">
        <v>50</v>
      </c>
      <c r="W160" s="97">
        <v>14</v>
      </c>
      <c r="X160" s="97">
        <v>10</v>
      </c>
      <c r="Y160" s="54">
        <v>6.5</v>
      </c>
      <c r="Z160" s="50" t="s">
        <v>4</v>
      </c>
      <c r="AA160" s="97"/>
      <c r="AB160" s="50" t="s">
        <v>4</v>
      </c>
      <c r="AC160" s="97"/>
      <c r="AD160" s="50" t="s">
        <v>8</v>
      </c>
      <c r="AE160" s="97" t="s">
        <v>1169</v>
      </c>
      <c r="AF160" s="97"/>
      <c r="AG160" s="97"/>
      <c r="AH160" s="97" t="s">
        <v>1170</v>
      </c>
      <c r="AI160" s="97" t="s">
        <v>137</v>
      </c>
      <c r="AJ160" s="97" t="s">
        <v>1171</v>
      </c>
      <c r="AK160" s="55">
        <v>46160</v>
      </c>
      <c r="AL160" s="55"/>
      <c r="AM160" s="27"/>
      <c r="AN160" s="30" t="str">
        <f t="shared" ca="1" si="10"/>
        <v>ยังไม่หมด</v>
      </c>
      <c r="AO160" s="47">
        <f t="shared" ca="1" si="11"/>
        <v>260</v>
      </c>
      <c r="AP160" s="47"/>
    </row>
    <row r="161" spans="1:42" ht="15.75" customHeight="1">
      <c r="A161" s="23" t="s">
        <v>1172</v>
      </c>
      <c r="B161" s="23" t="s">
        <v>1173</v>
      </c>
      <c r="C161" s="23" t="s">
        <v>1174</v>
      </c>
      <c r="D161" s="23" t="s">
        <v>64</v>
      </c>
      <c r="E161" s="23" t="s">
        <v>23</v>
      </c>
      <c r="F161" s="26" t="s">
        <v>629</v>
      </c>
      <c r="G161" s="23" t="s">
        <v>1175</v>
      </c>
      <c r="H161" s="28">
        <v>36762</v>
      </c>
      <c r="I161" s="23">
        <f t="shared" ca="1" si="0"/>
        <v>26</v>
      </c>
      <c r="J161" s="23" t="s">
        <v>3</v>
      </c>
      <c r="K161" s="28">
        <v>46059</v>
      </c>
      <c r="L161" s="31">
        <v>164</v>
      </c>
      <c r="M161" s="31">
        <v>61.8</v>
      </c>
      <c r="N161" s="31">
        <f t="shared" si="21"/>
        <v>22.977394408090419</v>
      </c>
      <c r="O161" s="33">
        <v>129</v>
      </c>
      <c r="P161" s="33">
        <v>83</v>
      </c>
      <c r="Q161" s="31">
        <v>45</v>
      </c>
      <c r="R161" s="23" t="s">
        <v>8</v>
      </c>
      <c r="S161" s="33" t="s">
        <v>1176</v>
      </c>
      <c r="T161" s="33">
        <v>92</v>
      </c>
      <c r="U161" s="186">
        <v>166.6</v>
      </c>
      <c r="V161" s="33">
        <v>61</v>
      </c>
      <c r="W161" s="33">
        <v>19</v>
      </c>
      <c r="X161" s="33">
        <v>7</v>
      </c>
      <c r="Y161" s="61">
        <v>7.59</v>
      </c>
      <c r="Z161" s="23" t="s">
        <v>14</v>
      </c>
      <c r="AA161" s="33" t="s">
        <v>645</v>
      </c>
      <c r="AB161" s="23" t="s">
        <v>4</v>
      </c>
      <c r="AC161" s="33"/>
      <c r="AD161" s="23" t="s">
        <v>4</v>
      </c>
      <c r="AE161" s="33"/>
      <c r="AF161" s="33"/>
      <c r="AG161" s="33"/>
      <c r="AH161" s="33" t="s">
        <v>1177</v>
      </c>
      <c r="AI161" s="33" t="s">
        <v>154</v>
      </c>
      <c r="AJ161" s="33" t="s">
        <v>1178</v>
      </c>
      <c r="AK161" s="187">
        <v>46233</v>
      </c>
      <c r="AL161" s="46" t="str">
        <f t="shared" ref="AL161:AL162" ca="1" si="22">IF((AK161+90)&lt;TODAY(),"เลยกำหนด",IF((AK161+90)-TODAY()&lt;=30,"ใกล้ถึง","ยังไม่ถึง"))</f>
        <v>ยังไม่ถึง</v>
      </c>
      <c r="AM161" s="47">
        <f t="shared" ref="AM161:AM162" ca="1" si="23">MAX(0, (AK161+90) - TODAY())</f>
        <v>72</v>
      </c>
      <c r="AN161" s="30" t="str">
        <f t="shared" ca="1" si="10"/>
        <v>ยังไม่หมด</v>
      </c>
      <c r="AO161" s="47">
        <f t="shared" ca="1" si="11"/>
        <v>172</v>
      </c>
      <c r="AP161" s="47"/>
    </row>
    <row r="162" spans="1:42" ht="15.75" customHeight="1">
      <c r="A162" s="23" t="s">
        <v>1179</v>
      </c>
      <c r="B162" s="23" t="s">
        <v>1180</v>
      </c>
      <c r="C162" s="23" t="s">
        <v>1181</v>
      </c>
      <c r="D162" s="23" t="s">
        <v>64</v>
      </c>
      <c r="E162" s="23" t="s">
        <v>23</v>
      </c>
      <c r="F162" s="26" t="s">
        <v>629</v>
      </c>
      <c r="G162" s="23" t="s">
        <v>1175</v>
      </c>
      <c r="H162" s="28">
        <v>37179</v>
      </c>
      <c r="I162" s="23">
        <f t="shared" ca="1" si="0"/>
        <v>25</v>
      </c>
      <c r="J162" s="23" t="s">
        <v>3</v>
      </c>
      <c r="K162" s="28">
        <v>45936</v>
      </c>
      <c r="L162" s="31">
        <v>162</v>
      </c>
      <c r="M162" s="31">
        <v>55.3</v>
      </c>
      <c r="N162" s="31">
        <f t="shared" si="21"/>
        <v>21.071483005639379</v>
      </c>
      <c r="O162" s="33">
        <v>102</v>
      </c>
      <c r="P162" s="33">
        <v>66</v>
      </c>
      <c r="Q162" s="31">
        <v>49.1</v>
      </c>
      <c r="R162" s="23" t="s">
        <v>4</v>
      </c>
      <c r="S162" s="33"/>
      <c r="T162" s="33">
        <v>88</v>
      </c>
      <c r="U162" s="33">
        <v>180</v>
      </c>
      <c r="V162" s="33">
        <v>86</v>
      </c>
      <c r="W162" s="33">
        <v>22</v>
      </c>
      <c r="X162" s="33">
        <v>17</v>
      </c>
      <c r="Y162" s="37">
        <v>6.1</v>
      </c>
      <c r="Z162" s="23" t="s">
        <v>14</v>
      </c>
      <c r="AA162" s="33" t="s">
        <v>645</v>
      </c>
      <c r="AB162" s="23" t="s">
        <v>4</v>
      </c>
      <c r="AC162" s="33"/>
      <c r="AD162" s="23" t="s">
        <v>8</v>
      </c>
      <c r="AE162" s="33" t="s">
        <v>1182</v>
      </c>
      <c r="AF162" s="33"/>
      <c r="AG162" s="33"/>
      <c r="AH162" s="33" t="s">
        <v>1183</v>
      </c>
      <c r="AI162" s="33" t="s">
        <v>154</v>
      </c>
      <c r="AJ162" s="33" t="s">
        <v>1184</v>
      </c>
      <c r="AK162" s="187">
        <v>46107</v>
      </c>
      <c r="AL162" s="46" t="str">
        <f t="shared" ca="1" si="22"/>
        <v>เลยกำหนด</v>
      </c>
      <c r="AM162" s="47">
        <f t="shared" ca="1" si="23"/>
        <v>0</v>
      </c>
      <c r="AN162" s="30" t="str">
        <f t="shared" ca="1" si="10"/>
        <v>ใกล้หมด 3 เดือน</v>
      </c>
      <c r="AO162" s="47">
        <f t="shared" ca="1" si="11"/>
        <v>49</v>
      </c>
      <c r="AP162" s="47"/>
    </row>
    <row r="163" spans="1:42">
      <c r="A163" s="169" t="s">
        <v>1185</v>
      </c>
      <c r="B163" s="169" t="s">
        <v>1186</v>
      </c>
      <c r="C163" s="169" t="s">
        <v>1187</v>
      </c>
      <c r="D163" s="50" t="s">
        <v>64</v>
      </c>
      <c r="E163" s="50" t="s">
        <v>23</v>
      </c>
      <c r="F163" s="193"/>
      <c r="G163" s="169" t="s">
        <v>134</v>
      </c>
      <c r="H163" s="52">
        <v>28381</v>
      </c>
      <c r="I163" s="50">
        <f t="shared" ca="1" si="0"/>
        <v>49</v>
      </c>
      <c r="J163" s="50" t="s">
        <v>3</v>
      </c>
      <c r="K163" s="52">
        <v>46076</v>
      </c>
      <c r="L163" s="53">
        <v>155.69999999999999</v>
      </c>
      <c r="M163" s="169">
        <v>59.45</v>
      </c>
      <c r="N163" s="53">
        <f t="shared" si="21"/>
        <v>24.523058481203876</v>
      </c>
      <c r="O163" s="194">
        <v>111</v>
      </c>
      <c r="P163" s="194">
        <v>76</v>
      </c>
      <c r="Q163" s="169">
        <v>43</v>
      </c>
      <c r="R163" s="50" t="s">
        <v>4</v>
      </c>
      <c r="S163" s="169"/>
      <c r="T163" s="169">
        <v>106</v>
      </c>
      <c r="U163" s="194">
        <v>169</v>
      </c>
      <c r="V163" s="194">
        <v>414</v>
      </c>
      <c r="W163" s="169">
        <v>26</v>
      </c>
      <c r="X163" s="169">
        <v>19</v>
      </c>
      <c r="Y163" s="169">
        <v>6.7</v>
      </c>
      <c r="Z163" s="50" t="s">
        <v>4</v>
      </c>
      <c r="AA163" s="169"/>
      <c r="AB163" s="50" t="s">
        <v>4</v>
      </c>
      <c r="AC163" s="169"/>
      <c r="AD163" s="50" t="s">
        <v>8</v>
      </c>
      <c r="AE163" s="169" t="s">
        <v>1188</v>
      </c>
      <c r="AF163" s="169"/>
      <c r="AG163" s="169"/>
      <c r="AH163" s="169" t="s">
        <v>1189</v>
      </c>
      <c r="AI163" s="169" t="s">
        <v>137</v>
      </c>
      <c r="AJ163" s="169" t="s">
        <v>241</v>
      </c>
      <c r="AK163" s="189">
        <v>46161</v>
      </c>
      <c r="AL163" s="55"/>
      <c r="AM163" s="47"/>
      <c r="AN163" s="30" t="str">
        <f t="shared" ca="1" si="10"/>
        <v>ยังไม่หมด</v>
      </c>
      <c r="AO163" s="47">
        <f t="shared" ca="1" si="11"/>
        <v>189</v>
      </c>
      <c r="AP163" s="47"/>
    </row>
    <row r="164" spans="1:42" ht="18" customHeight="1">
      <c r="A164" s="29"/>
      <c r="B164" s="195"/>
      <c r="C164" s="195"/>
      <c r="D164" s="23"/>
      <c r="E164" s="23"/>
      <c r="F164" s="196"/>
      <c r="G164" s="29"/>
      <c r="H164" s="197"/>
      <c r="I164" s="195"/>
      <c r="J164" s="23"/>
      <c r="K164" s="28"/>
      <c r="L164" s="31"/>
      <c r="M164" s="31"/>
      <c r="N164" s="33"/>
      <c r="O164" s="33"/>
      <c r="P164" s="33"/>
      <c r="Q164" s="31"/>
      <c r="R164" s="23"/>
      <c r="S164" s="33"/>
      <c r="T164" s="33"/>
      <c r="U164" s="33"/>
      <c r="V164" s="33"/>
      <c r="W164" s="33"/>
      <c r="X164" s="33"/>
      <c r="Y164" s="37"/>
      <c r="Z164" s="23"/>
      <c r="AA164" s="33"/>
      <c r="AB164" s="23"/>
      <c r="AC164" s="33"/>
      <c r="AD164" s="23"/>
      <c r="AE164" s="33"/>
      <c r="AF164" s="33"/>
      <c r="AG164" s="33"/>
      <c r="AI164" s="33"/>
      <c r="AJ164" s="33"/>
      <c r="AK164" s="33"/>
      <c r="AL164" s="33"/>
      <c r="AM164" s="27"/>
      <c r="AN164" s="30"/>
      <c r="AO164" s="30"/>
      <c r="AP164" s="30"/>
    </row>
    <row r="165" spans="1:42" ht="18" customHeight="1">
      <c r="A165" s="29"/>
      <c r="B165" s="195"/>
      <c r="C165" s="195"/>
      <c r="D165" s="23"/>
      <c r="E165" s="23"/>
      <c r="F165" s="196"/>
      <c r="G165" s="29"/>
      <c r="H165" s="197"/>
      <c r="I165" s="195"/>
      <c r="J165" s="23"/>
      <c r="K165" s="28"/>
      <c r="L165" s="31"/>
      <c r="M165" s="31"/>
      <c r="N165" s="33"/>
      <c r="O165" s="33"/>
      <c r="P165" s="33"/>
      <c r="Q165" s="31"/>
      <c r="R165" s="23"/>
      <c r="S165" s="33"/>
      <c r="T165" s="33"/>
      <c r="U165" s="33"/>
      <c r="V165" s="33"/>
      <c r="W165" s="33"/>
      <c r="X165" s="33"/>
      <c r="Y165" s="37"/>
      <c r="Z165" s="23"/>
      <c r="AA165" s="33"/>
      <c r="AB165" s="23"/>
      <c r="AC165" s="33"/>
      <c r="AD165" s="23"/>
      <c r="AE165" s="33"/>
      <c r="AF165" s="33"/>
      <c r="AG165" s="33"/>
      <c r="AI165" s="33"/>
      <c r="AJ165" s="33"/>
      <c r="AK165" s="33"/>
      <c r="AL165" s="33"/>
      <c r="AM165" s="27"/>
      <c r="AN165" s="30"/>
      <c r="AO165" s="30"/>
      <c r="AP165" s="30"/>
    </row>
    <row r="166" spans="1:42" ht="18" customHeight="1">
      <c r="A166" s="29"/>
      <c r="B166" s="195"/>
      <c r="C166" s="195"/>
      <c r="D166" s="23"/>
      <c r="E166" s="23"/>
      <c r="F166" s="196"/>
      <c r="G166" s="29"/>
      <c r="H166" s="197"/>
      <c r="I166" s="195"/>
      <c r="J166" s="23"/>
      <c r="K166" s="28"/>
      <c r="L166" s="31"/>
      <c r="M166" s="31"/>
      <c r="N166" s="33"/>
      <c r="O166" s="33"/>
      <c r="P166" s="33"/>
      <c r="Q166" s="31"/>
      <c r="R166" s="23"/>
      <c r="S166" s="33"/>
      <c r="T166" s="33"/>
      <c r="U166" s="33"/>
      <c r="V166" s="33"/>
      <c r="W166" s="33"/>
      <c r="X166" s="33"/>
      <c r="Y166" s="37"/>
      <c r="Z166" s="23"/>
      <c r="AA166" s="33"/>
      <c r="AB166" s="23"/>
      <c r="AC166" s="33"/>
      <c r="AD166" s="23"/>
      <c r="AE166" s="33"/>
      <c r="AF166" s="33"/>
      <c r="AG166" s="33"/>
      <c r="AI166" s="33"/>
      <c r="AJ166" s="33"/>
      <c r="AK166" s="33"/>
      <c r="AL166" s="33"/>
      <c r="AM166" s="27"/>
      <c r="AN166" s="30"/>
      <c r="AO166" s="30"/>
      <c r="AP166" s="30"/>
    </row>
    <row r="167" spans="1:42" ht="18" customHeight="1">
      <c r="A167" s="29"/>
      <c r="B167" s="195"/>
      <c r="C167" s="195"/>
      <c r="D167" s="195"/>
      <c r="E167" s="195"/>
      <c r="F167" s="196"/>
      <c r="G167" s="29"/>
      <c r="H167" s="197"/>
      <c r="I167" s="195"/>
      <c r="J167" s="23"/>
      <c r="K167" s="28"/>
      <c r="L167" s="31"/>
      <c r="M167" s="31"/>
      <c r="N167" s="33"/>
      <c r="O167" s="33"/>
      <c r="P167" s="33"/>
      <c r="Q167" s="31"/>
      <c r="R167" s="23"/>
      <c r="S167" s="33"/>
      <c r="T167" s="33"/>
      <c r="U167" s="33"/>
      <c r="V167" s="33"/>
      <c r="W167" s="33"/>
      <c r="X167" s="33"/>
      <c r="Y167" s="37"/>
      <c r="Z167" s="23"/>
      <c r="AA167" s="33"/>
      <c r="AB167" s="23"/>
      <c r="AC167" s="33"/>
      <c r="AD167" s="23"/>
      <c r="AE167" s="33"/>
      <c r="AF167" s="33"/>
      <c r="AG167" s="33"/>
      <c r="AI167" s="33"/>
      <c r="AJ167" s="33"/>
      <c r="AK167" s="33"/>
      <c r="AL167" s="33"/>
      <c r="AM167" s="27"/>
      <c r="AN167" s="30"/>
      <c r="AO167" s="30"/>
      <c r="AP167" s="30"/>
    </row>
    <row r="168" spans="1:42" ht="18" customHeight="1">
      <c r="A168" s="29"/>
      <c r="B168" s="195"/>
      <c r="C168" s="195"/>
      <c r="D168" s="195"/>
      <c r="E168" s="195"/>
      <c r="F168" s="196"/>
      <c r="G168" s="29"/>
      <c r="H168" s="197"/>
      <c r="I168" s="195"/>
      <c r="J168" s="23"/>
      <c r="K168" s="28"/>
      <c r="L168" s="31"/>
      <c r="M168" s="31"/>
      <c r="N168" s="33"/>
      <c r="O168" s="33"/>
      <c r="P168" s="33"/>
      <c r="Q168" s="31"/>
      <c r="R168" s="23"/>
      <c r="S168" s="33"/>
      <c r="T168" s="33"/>
      <c r="U168" s="33"/>
      <c r="V168" s="33"/>
      <c r="W168" s="33"/>
      <c r="X168" s="33"/>
      <c r="Y168" s="37"/>
      <c r="Z168" s="23"/>
      <c r="AA168" s="33"/>
      <c r="AB168" s="23"/>
      <c r="AC168" s="33"/>
      <c r="AD168" s="23"/>
      <c r="AE168" s="33"/>
      <c r="AF168" s="33"/>
      <c r="AG168" s="33"/>
      <c r="AI168" s="33"/>
      <c r="AJ168" s="33"/>
      <c r="AK168" s="33"/>
      <c r="AL168" s="33"/>
      <c r="AM168" s="27"/>
      <c r="AN168" s="30"/>
      <c r="AO168" s="30"/>
      <c r="AP168" s="30"/>
    </row>
    <row r="169" spans="1:42" ht="18" customHeight="1">
      <c r="A169" s="29"/>
      <c r="B169" s="195"/>
      <c r="C169" s="195"/>
      <c r="D169" s="195"/>
      <c r="E169" s="195"/>
      <c r="F169" s="196"/>
      <c r="G169" s="29"/>
      <c r="H169" s="197"/>
      <c r="I169" s="195"/>
      <c r="J169" s="23"/>
      <c r="K169" s="28"/>
      <c r="L169" s="31"/>
      <c r="M169" s="31"/>
      <c r="N169" s="33"/>
      <c r="O169" s="33"/>
      <c r="P169" s="33"/>
      <c r="Q169" s="31"/>
      <c r="R169" s="23"/>
      <c r="S169" s="33"/>
      <c r="T169" s="33"/>
      <c r="U169" s="33"/>
      <c r="V169" s="33"/>
      <c r="W169" s="33"/>
      <c r="X169" s="33"/>
      <c r="Y169" s="37"/>
      <c r="Z169" s="23"/>
      <c r="AA169" s="33"/>
      <c r="AB169" s="23"/>
      <c r="AC169" s="33"/>
      <c r="AD169" s="23"/>
      <c r="AE169" s="33"/>
      <c r="AF169" s="33"/>
      <c r="AG169" s="33"/>
      <c r="AI169" s="33"/>
      <c r="AJ169" s="33"/>
      <c r="AK169" s="33"/>
      <c r="AL169" s="33"/>
      <c r="AM169" s="27"/>
      <c r="AN169" s="30"/>
      <c r="AO169" s="30"/>
      <c r="AP169" s="30"/>
    </row>
    <row r="170" spans="1:42" ht="18" customHeight="1">
      <c r="A170" s="29"/>
      <c r="B170" s="195"/>
      <c r="C170" s="195"/>
      <c r="D170" s="195"/>
      <c r="E170" s="195"/>
      <c r="F170" s="196"/>
      <c r="G170" s="29"/>
      <c r="H170" s="197"/>
      <c r="I170" s="195"/>
      <c r="J170" s="23"/>
      <c r="K170" s="28"/>
      <c r="L170" s="31"/>
      <c r="M170" s="31"/>
      <c r="N170" s="33"/>
      <c r="O170" s="33"/>
      <c r="P170" s="33"/>
      <c r="Q170" s="31"/>
      <c r="R170" s="23"/>
      <c r="S170" s="33"/>
      <c r="T170" s="33"/>
      <c r="U170" s="33"/>
      <c r="V170" s="33"/>
      <c r="W170" s="33"/>
      <c r="X170" s="33"/>
      <c r="Y170" s="37"/>
      <c r="Z170" s="23"/>
      <c r="AA170" s="33"/>
      <c r="AB170" s="23"/>
      <c r="AC170" s="33"/>
      <c r="AD170" s="23"/>
      <c r="AE170" s="33"/>
      <c r="AF170" s="33"/>
      <c r="AG170" s="33"/>
      <c r="AI170" s="33"/>
      <c r="AJ170" s="33"/>
      <c r="AK170" s="33"/>
      <c r="AL170" s="33"/>
      <c r="AM170" s="27"/>
      <c r="AN170" s="30"/>
      <c r="AO170" s="30"/>
      <c r="AP170" s="30"/>
    </row>
    <row r="171" spans="1:42" ht="18" customHeight="1">
      <c r="A171" s="29"/>
      <c r="B171" s="195"/>
      <c r="C171" s="195"/>
      <c r="D171" s="195"/>
      <c r="E171" s="195"/>
      <c r="F171" s="196"/>
      <c r="G171" s="29"/>
      <c r="H171" s="197"/>
      <c r="I171" s="195"/>
      <c r="J171" s="23"/>
      <c r="K171" s="28"/>
      <c r="L171" s="31"/>
      <c r="M171" s="31"/>
      <c r="N171" s="33"/>
      <c r="O171" s="33"/>
      <c r="P171" s="33"/>
      <c r="Q171" s="31"/>
      <c r="R171" s="23"/>
      <c r="S171" s="33"/>
      <c r="T171" s="33"/>
      <c r="U171" s="33"/>
      <c r="V171" s="33"/>
      <c r="W171" s="33"/>
      <c r="X171" s="33"/>
      <c r="Y171" s="37"/>
      <c r="Z171" s="23"/>
      <c r="AA171" s="33"/>
      <c r="AB171" s="23"/>
      <c r="AC171" s="33"/>
      <c r="AD171" s="23"/>
      <c r="AE171" s="33"/>
      <c r="AF171" s="33"/>
      <c r="AG171" s="33"/>
      <c r="AI171" s="33"/>
      <c r="AJ171" s="33"/>
      <c r="AK171" s="33"/>
      <c r="AL171" s="33"/>
      <c r="AM171" s="27"/>
      <c r="AN171" s="30"/>
      <c r="AO171" s="30"/>
      <c r="AP171" s="30"/>
    </row>
    <row r="172" spans="1:42" ht="18" customHeight="1">
      <c r="A172" s="29"/>
      <c r="B172" s="195"/>
      <c r="C172" s="195"/>
      <c r="D172" s="195"/>
      <c r="E172" s="195"/>
      <c r="F172" s="196"/>
      <c r="G172" s="29"/>
      <c r="H172" s="197"/>
      <c r="I172" s="195"/>
      <c r="J172" s="23"/>
      <c r="K172" s="28"/>
      <c r="L172" s="31"/>
      <c r="M172" s="31"/>
      <c r="N172" s="33"/>
      <c r="O172" s="33"/>
      <c r="P172" s="33"/>
      <c r="Q172" s="31"/>
      <c r="R172" s="23"/>
      <c r="S172" s="33"/>
      <c r="T172" s="33"/>
      <c r="U172" s="33"/>
      <c r="V172" s="33"/>
      <c r="W172" s="33"/>
      <c r="X172" s="33"/>
      <c r="Y172" s="37"/>
      <c r="Z172" s="23"/>
      <c r="AA172" s="33"/>
      <c r="AB172" s="23"/>
      <c r="AC172" s="33"/>
      <c r="AD172" s="23"/>
      <c r="AE172" s="33"/>
      <c r="AF172" s="33"/>
      <c r="AG172" s="33"/>
      <c r="AI172" s="33"/>
      <c r="AJ172" s="33"/>
      <c r="AK172" s="33"/>
      <c r="AL172" s="33"/>
      <c r="AM172" s="27"/>
      <c r="AN172" s="30"/>
      <c r="AO172" s="30"/>
      <c r="AP172" s="30"/>
    </row>
    <row r="173" spans="1:42" ht="18" customHeight="1">
      <c r="A173" s="29"/>
      <c r="B173" s="195"/>
      <c r="C173" s="195"/>
      <c r="D173" s="195"/>
      <c r="E173" s="195"/>
      <c r="F173" s="196"/>
      <c r="G173" s="29"/>
      <c r="H173" s="197"/>
      <c r="I173" s="195"/>
      <c r="J173" s="23"/>
      <c r="K173" s="28"/>
      <c r="L173" s="31"/>
      <c r="M173" s="31"/>
      <c r="N173" s="33"/>
      <c r="O173" s="33"/>
      <c r="P173" s="33"/>
      <c r="Q173" s="31"/>
      <c r="R173" s="23"/>
      <c r="S173" s="33"/>
      <c r="T173" s="33"/>
      <c r="U173" s="33"/>
      <c r="V173" s="33"/>
      <c r="W173" s="33"/>
      <c r="X173" s="33"/>
      <c r="Y173" s="37"/>
      <c r="Z173" s="23"/>
      <c r="AA173" s="33"/>
      <c r="AB173" s="23"/>
      <c r="AC173" s="33"/>
      <c r="AD173" s="23"/>
      <c r="AE173" s="33"/>
      <c r="AF173" s="33"/>
      <c r="AG173" s="33"/>
      <c r="AI173" s="33"/>
      <c r="AJ173" s="33"/>
      <c r="AL173" s="33"/>
      <c r="AM173" s="27"/>
      <c r="AN173" s="30"/>
      <c r="AO173" s="30"/>
      <c r="AP173" s="30"/>
    </row>
    <row r="174" spans="1:42" ht="20.25" customHeight="1">
      <c r="A174" s="198" t="s">
        <v>1190</v>
      </c>
      <c r="B174" s="33"/>
      <c r="C174" s="33"/>
      <c r="D174" s="33"/>
      <c r="E174" s="33"/>
      <c r="F174" s="199"/>
      <c r="G174" s="23"/>
      <c r="H174" s="28"/>
      <c r="I174" s="33"/>
      <c r="J174" s="23"/>
      <c r="K174" s="28"/>
      <c r="L174" s="31"/>
      <c r="M174" s="31"/>
      <c r="N174" s="33"/>
      <c r="O174" s="33"/>
      <c r="P174" s="33"/>
      <c r="Q174" s="31"/>
      <c r="R174" s="23"/>
      <c r="S174" s="33"/>
      <c r="T174" s="33"/>
      <c r="U174" s="33"/>
      <c r="V174" s="33"/>
      <c r="W174" s="33"/>
      <c r="X174" s="33"/>
      <c r="Y174" s="37"/>
      <c r="Z174" s="23"/>
      <c r="AA174" s="33"/>
      <c r="AB174" s="23"/>
      <c r="AC174" s="33"/>
      <c r="AD174" s="23"/>
      <c r="AE174" s="33"/>
      <c r="AF174" s="33"/>
      <c r="AG174" s="33"/>
      <c r="AH174" s="33"/>
      <c r="AI174" s="33"/>
      <c r="AJ174" s="33"/>
      <c r="AK174" s="33"/>
      <c r="AL174" s="33"/>
      <c r="AM174" s="27"/>
      <c r="AN174" s="30"/>
      <c r="AO174" s="30"/>
      <c r="AP174" s="30"/>
    </row>
    <row r="175" spans="1:42" ht="15.75" customHeight="1">
      <c r="A175" s="179" t="s">
        <v>1191</v>
      </c>
      <c r="B175" s="179" t="s">
        <v>1192</v>
      </c>
      <c r="C175" s="179" t="s">
        <v>1193</v>
      </c>
      <c r="D175" s="179" t="s">
        <v>64</v>
      </c>
      <c r="E175" s="179" t="s">
        <v>23</v>
      </c>
      <c r="F175" s="51" t="s">
        <v>366</v>
      </c>
      <c r="G175" s="179" t="s">
        <v>367</v>
      </c>
      <c r="H175" s="200">
        <v>36892</v>
      </c>
      <c r="I175" s="50">
        <f t="shared" ref="I175:I201" ca="1" si="24">YEAR(NOW())-YEAR(H175)</f>
        <v>25</v>
      </c>
      <c r="J175" s="179" t="s">
        <v>3</v>
      </c>
      <c r="K175" s="200">
        <v>46177</v>
      </c>
      <c r="L175" s="201">
        <v>168.3</v>
      </c>
      <c r="M175" s="201">
        <v>65</v>
      </c>
      <c r="N175" s="201">
        <f t="shared" ref="N175:N201" si="25">M175/(L175*0.01)^2</f>
        <v>22.94801497905199</v>
      </c>
      <c r="O175" s="179">
        <v>137</v>
      </c>
      <c r="P175" s="179">
        <v>81</v>
      </c>
      <c r="Q175" s="201">
        <v>42.6</v>
      </c>
      <c r="R175" s="179" t="s">
        <v>4</v>
      </c>
      <c r="S175" s="78"/>
      <c r="T175" s="179">
        <v>90</v>
      </c>
      <c r="U175" s="179">
        <v>100</v>
      </c>
      <c r="V175" s="179">
        <v>160</v>
      </c>
      <c r="W175" s="179">
        <v>20</v>
      </c>
      <c r="X175" s="179">
        <v>30</v>
      </c>
      <c r="Y175" s="202">
        <v>6.4</v>
      </c>
      <c r="Z175" s="179" t="s">
        <v>4</v>
      </c>
      <c r="AA175" s="179"/>
      <c r="AB175" s="179" t="s">
        <v>4</v>
      </c>
      <c r="AC175" s="179"/>
      <c r="AD175" s="179" t="s">
        <v>8</v>
      </c>
      <c r="AE175" s="179" t="s">
        <v>230</v>
      </c>
      <c r="AF175" s="179"/>
      <c r="AG175" s="179"/>
      <c r="AH175" s="179"/>
      <c r="AI175" s="179" t="s">
        <v>137</v>
      </c>
      <c r="AJ175" s="179" t="s">
        <v>1194</v>
      </c>
      <c r="AK175" s="203">
        <v>46184</v>
      </c>
      <c r="AL175" s="203"/>
      <c r="AM175" s="27"/>
      <c r="AN175" s="48" t="str">
        <f t="shared" ref="AN175:AN194" ca="1" si="26">IF(K175+364&lt;TODAY(),
 "หมดอายุ",
 IF(K175+365-TODAY()&lt;=30,
  "ใกล้หมดอายุ 1 เดือน",
  IF(K175+365-TODAY()&lt;=90,
   "ใกล้หมด 3 เดือน",
   "ยังไม่หมด"
  )
 )
)</f>
        <v>ยังไม่หมด</v>
      </c>
      <c r="AO175" s="47">
        <f t="shared" ref="AO175:AO194" ca="1" si="27">MAX(0, (K175+364) - TODAY())</f>
        <v>290</v>
      </c>
      <c r="AP175" s="47"/>
    </row>
    <row r="176" spans="1:42" ht="15.75" customHeight="1">
      <c r="A176" s="179" t="s">
        <v>1195</v>
      </c>
      <c r="B176" s="204" t="s">
        <v>1196</v>
      </c>
      <c r="C176" s="179" t="s">
        <v>1197</v>
      </c>
      <c r="D176" s="179" t="s">
        <v>64</v>
      </c>
      <c r="E176" s="179" t="s">
        <v>23</v>
      </c>
      <c r="F176" s="51" t="s">
        <v>629</v>
      </c>
      <c r="G176" s="179" t="s">
        <v>134</v>
      </c>
      <c r="H176" s="200">
        <v>36629</v>
      </c>
      <c r="I176" s="50">
        <f t="shared" ca="1" si="24"/>
        <v>26</v>
      </c>
      <c r="J176" s="179" t="s">
        <v>3</v>
      </c>
      <c r="K176" s="200">
        <v>45957</v>
      </c>
      <c r="L176" s="201">
        <v>175</v>
      </c>
      <c r="M176" s="201">
        <v>61.8</v>
      </c>
      <c r="N176" s="201">
        <f t="shared" si="25"/>
        <v>20.179591836734694</v>
      </c>
      <c r="O176" s="179">
        <v>111</v>
      </c>
      <c r="P176" s="179">
        <v>71</v>
      </c>
      <c r="Q176" s="201">
        <v>47.4</v>
      </c>
      <c r="R176" s="179" t="s">
        <v>4</v>
      </c>
      <c r="S176" s="179"/>
      <c r="T176" s="179">
        <v>88</v>
      </c>
      <c r="U176" s="179">
        <v>156</v>
      </c>
      <c r="V176" s="179">
        <v>95</v>
      </c>
      <c r="W176" s="179">
        <v>15</v>
      </c>
      <c r="X176" s="179">
        <v>14</v>
      </c>
      <c r="Y176" s="202">
        <v>5.9</v>
      </c>
      <c r="Z176" s="179" t="s">
        <v>14</v>
      </c>
      <c r="AA176" s="179"/>
      <c r="AB176" s="179" t="s">
        <v>8</v>
      </c>
      <c r="AC176" s="179"/>
      <c r="AD176" s="179" t="s">
        <v>8</v>
      </c>
      <c r="AE176" s="179" t="s">
        <v>350</v>
      </c>
      <c r="AF176" s="179"/>
      <c r="AG176" s="179"/>
      <c r="AH176" s="179"/>
      <c r="AI176" s="179" t="s">
        <v>137</v>
      </c>
      <c r="AJ176" s="82" t="s">
        <v>1198</v>
      </c>
      <c r="AK176" s="203">
        <v>45961</v>
      </c>
      <c r="AL176" s="203"/>
      <c r="AM176" s="27"/>
      <c r="AN176" s="30" t="str">
        <f t="shared" ca="1" si="26"/>
        <v>ใกล้หมด 3 เดือน</v>
      </c>
      <c r="AO176" s="47">
        <f t="shared" ca="1" si="27"/>
        <v>70</v>
      </c>
      <c r="AP176" s="47"/>
    </row>
    <row r="177" spans="1:42" ht="18" customHeight="1">
      <c r="A177" s="97" t="s">
        <v>1199</v>
      </c>
      <c r="B177" s="97" t="s">
        <v>1200</v>
      </c>
      <c r="C177" s="97" t="s">
        <v>1201</v>
      </c>
      <c r="D177" s="50" t="s">
        <v>64</v>
      </c>
      <c r="E177" s="50" t="s">
        <v>23</v>
      </c>
      <c r="F177" s="100" t="s">
        <v>225</v>
      </c>
      <c r="G177" s="50" t="s">
        <v>134</v>
      </c>
      <c r="H177" s="52">
        <v>37805</v>
      </c>
      <c r="I177" s="50">
        <f t="shared" ca="1" si="24"/>
        <v>23</v>
      </c>
      <c r="J177" s="50" t="s">
        <v>3</v>
      </c>
      <c r="K177" s="52">
        <v>46106</v>
      </c>
      <c r="L177" s="53">
        <v>167</v>
      </c>
      <c r="M177" s="53">
        <v>65.599999999999994</v>
      </c>
      <c r="N177" s="53">
        <f t="shared" si="25"/>
        <v>23.521818638172753</v>
      </c>
      <c r="O177" s="97">
        <v>131</v>
      </c>
      <c r="P177" s="97">
        <v>80</v>
      </c>
      <c r="Q177" s="53">
        <v>48.2</v>
      </c>
      <c r="R177" s="50" t="s">
        <v>8</v>
      </c>
      <c r="S177" s="179" t="s">
        <v>1202</v>
      </c>
      <c r="T177" s="97">
        <v>96</v>
      </c>
      <c r="U177" s="97">
        <v>136</v>
      </c>
      <c r="V177" s="97">
        <v>78</v>
      </c>
      <c r="W177" s="97">
        <v>21</v>
      </c>
      <c r="X177" s="97">
        <v>18</v>
      </c>
      <c r="Y177" s="54">
        <v>6.8</v>
      </c>
      <c r="Z177" s="50" t="s">
        <v>4</v>
      </c>
      <c r="AA177" s="169"/>
      <c r="AB177" s="50" t="s">
        <v>4</v>
      </c>
      <c r="AC177" s="169"/>
      <c r="AD177" s="50" t="s">
        <v>8</v>
      </c>
      <c r="AE177" s="97" t="s">
        <v>1203</v>
      </c>
      <c r="AF177" s="169"/>
      <c r="AG177" s="169"/>
      <c r="AH177" s="97" t="s">
        <v>1204</v>
      </c>
      <c r="AI177" s="169" t="s">
        <v>137</v>
      </c>
      <c r="AJ177" s="97" t="s">
        <v>522</v>
      </c>
      <c r="AK177" s="55">
        <v>46135</v>
      </c>
      <c r="AL177" s="55"/>
      <c r="AM177" s="47"/>
      <c r="AN177" s="30" t="str">
        <f t="shared" ca="1" si="26"/>
        <v>ยังไม่หมด</v>
      </c>
      <c r="AO177" s="47">
        <f t="shared" ca="1" si="27"/>
        <v>219</v>
      </c>
      <c r="AP177" s="47"/>
    </row>
    <row r="178" spans="1:42" ht="18" customHeight="1">
      <c r="A178" s="50" t="s">
        <v>1205</v>
      </c>
      <c r="B178" s="50" t="s">
        <v>1206</v>
      </c>
      <c r="C178" s="50" t="s">
        <v>1207</v>
      </c>
      <c r="D178" s="50" t="s">
        <v>64</v>
      </c>
      <c r="E178" s="50" t="s">
        <v>23</v>
      </c>
      <c r="F178" s="100" t="s">
        <v>225</v>
      </c>
      <c r="G178" s="50" t="s">
        <v>134</v>
      </c>
      <c r="H178" s="52">
        <v>36863</v>
      </c>
      <c r="I178" s="50">
        <f t="shared" ca="1" si="24"/>
        <v>26</v>
      </c>
      <c r="J178" s="50" t="s">
        <v>3</v>
      </c>
      <c r="K178" s="52">
        <v>46183</v>
      </c>
      <c r="L178" s="53">
        <v>176</v>
      </c>
      <c r="M178" s="53">
        <v>71.7</v>
      </c>
      <c r="N178" s="53">
        <f t="shared" si="25"/>
        <v>23.146952479338843</v>
      </c>
      <c r="O178" s="50">
        <v>122</v>
      </c>
      <c r="P178" s="50">
        <v>60</v>
      </c>
      <c r="Q178" s="53">
        <v>44.3</v>
      </c>
      <c r="R178" s="50" t="s">
        <v>4</v>
      </c>
      <c r="S178" s="169"/>
      <c r="T178" s="97">
        <v>89</v>
      </c>
      <c r="U178" s="97">
        <v>119</v>
      </c>
      <c r="V178" s="97">
        <v>97</v>
      </c>
      <c r="W178" s="97">
        <v>23</v>
      </c>
      <c r="X178" s="97">
        <v>16</v>
      </c>
      <c r="Y178" s="54">
        <v>6</v>
      </c>
      <c r="Z178" s="50" t="s">
        <v>4</v>
      </c>
      <c r="AA178" s="169"/>
      <c r="AB178" s="50" t="s">
        <v>4</v>
      </c>
      <c r="AC178" s="169"/>
      <c r="AD178" s="50" t="s">
        <v>8</v>
      </c>
      <c r="AE178" s="97" t="s">
        <v>1208</v>
      </c>
      <c r="AF178" s="169"/>
      <c r="AG178" s="169"/>
      <c r="AH178" s="97"/>
      <c r="AI178" s="97" t="s">
        <v>137</v>
      </c>
      <c r="AJ178" s="97" t="s">
        <v>1194</v>
      </c>
      <c r="AK178" s="55">
        <v>46226</v>
      </c>
      <c r="AL178" s="97"/>
      <c r="AM178" s="47"/>
      <c r="AN178" s="48" t="str">
        <f t="shared" ca="1" si="26"/>
        <v>ยังไม่หมด</v>
      </c>
      <c r="AO178" s="47">
        <f t="shared" ca="1" si="27"/>
        <v>296</v>
      </c>
      <c r="AP178" s="47"/>
    </row>
    <row r="179" spans="1:42" ht="17.25" customHeight="1">
      <c r="A179" s="50" t="s">
        <v>1209</v>
      </c>
      <c r="B179" s="50" t="s">
        <v>1039</v>
      </c>
      <c r="C179" s="50" t="s">
        <v>1210</v>
      </c>
      <c r="D179" s="50" t="s">
        <v>64</v>
      </c>
      <c r="E179" s="50" t="s">
        <v>1211</v>
      </c>
      <c r="F179" s="51" t="s">
        <v>325</v>
      </c>
      <c r="G179" s="50" t="s">
        <v>328</v>
      </c>
      <c r="H179" s="52">
        <v>33725</v>
      </c>
      <c r="I179" s="50">
        <f t="shared" ca="1" si="24"/>
        <v>34</v>
      </c>
      <c r="J179" s="50" t="s">
        <v>3</v>
      </c>
      <c r="K179" s="52">
        <v>46132</v>
      </c>
      <c r="L179" s="53">
        <v>165.6</v>
      </c>
      <c r="M179" s="53">
        <v>64.099999999999994</v>
      </c>
      <c r="N179" s="53">
        <f t="shared" si="25"/>
        <v>23.374232770893137</v>
      </c>
      <c r="O179" s="50">
        <v>119</v>
      </c>
      <c r="P179" s="50">
        <v>76</v>
      </c>
      <c r="Q179" s="53">
        <v>40.9</v>
      </c>
      <c r="R179" s="50" t="s">
        <v>4</v>
      </c>
      <c r="S179" s="97"/>
      <c r="T179" s="97">
        <v>86</v>
      </c>
      <c r="U179" s="97">
        <v>121</v>
      </c>
      <c r="V179" s="97">
        <v>51</v>
      </c>
      <c r="W179" s="97">
        <v>18</v>
      </c>
      <c r="X179" s="97">
        <v>18</v>
      </c>
      <c r="Y179" s="54">
        <v>8.9</v>
      </c>
      <c r="Z179" s="50" t="s">
        <v>4</v>
      </c>
      <c r="AA179" s="97"/>
      <c r="AB179" s="50" t="s">
        <v>4</v>
      </c>
      <c r="AC179" s="97"/>
      <c r="AD179" s="50" t="s">
        <v>4</v>
      </c>
      <c r="AE179" s="97"/>
      <c r="AF179" s="97"/>
      <c r="AG179" s="97"/>
      <c r="AH179" s="97"/>
      <c r="AI179" s="97" t="s">
        <v>137</v>
      </c>
      <c r="AJ179" s="97" t="s">
        <v>241</v>
      </c>
      <c r="AK179" s="55">
        <v>46140</v>
      </c>
      <c r="AL179" s="55"/>
      <c r="AM179" s="27"/>
      <c r="AN179" s="30" t="str">
        <f t="shared" ca="1" si="26"/>
        <v>ยังไม่หมด</v>
      </c>
      <c r="AO179" s="47">
        <f t="shared" ca="1" si="27"/>
        <v>245</v>
      </c>
      <c r="AP179" s="47"/>
    </row>
    <row r="180" spans="1:42" ht="17.25" customHeight="1">
      <c r="A180" s="23" t="s">
        <v>1212</v>
      </c>
      <c r="B180" s="23" t="s">
        <v>407</v>
      </c>
      <c r="C180" s="23" t="s">
        <v>1213</v>
      </c>
      <c r="D180" s="23" t="s">
        <v>64</v>
      </c>
      <c r="E180" s="23" t="s">
        <v>23</v>
      </c>
      <c r="F180" s="26" t="s">
        <v>325</v>
      </c>
      <c r="G180" s="23" t="s">
        <v>328</v>
      </c>
      <c r="H180" s="28">
        <v>34518</v>
      </c>
      <c r="I180" s="23">
        <f t="shared" ca="1" si="24"/>
        <v>32</v>
      </c>
      <c r="J180" s="23" t="s">
        <v>3</v>
      </c>
      <c r="K180" s="28">
        <v>46106</v>
      </c>
      <c r="L180" s="31">
        <v>180</v>
      </c>
      <c r="M180" s="31">
        <v>96.5</v>
      </c>
      <c r="N180" s="31">
        <f t="shared" si="25"/>
        <v>29.783950617283949</v>
      </c>
      <c r="O180" s="59">
        <v>128</v>
      </c>
      <c r="P180" s="59">
        <v>83</v>
      </c>
      <c r="Q180" s="31">
        <v>43</v>
      </c>
      <c r="R180" s="23" t="s">
        <v>4</v>
      </c>
      <c r="S180" s="89"/>
      <c r="T180" s="89">
        <v>105</v>
      </c>
      <c r="U180" s="89">
        <v>150</v>
      </c>
      <c r="V180" s="89">
        <v>75</v>
      </c>
      <c r="W180" s="89">
        <v>29</v>
      </c>
      <c r="X180" s="89">
        <v>36</v>
      </c>
      <c r="Y180" s="37">
        <v>10.6</v>
      </c>
      <c r="Z180" s="23" t="s">
        <v>4</v>
      </c>
      <c r="AA180" s="33"/>
      <c r="AB180" s="23" t="s">
        <v>4</v>
      </c>
      <c r="AC180" s="89"/>
      <c r="AD180" s="23" t="s">
        <v>8</v>
      </c>
      <c r="AE180" s="89" t="s">
        <v>1214</v>
      </c>
      <c r="AF180" s="89"/>
      <c r="AG180" s="89"/>
      <c r="AH180" s="89" t="s">
        <v>1215</v>
      </c>
      <c r="AI180" s="89" t="s">
        <v>154</v>
      </c>
      <c r="AJ180" s="89" t="s">
        <v>1216</v>
      </c>
      <c r="AK180" s="46">
        <v>46219</v>
      </c>
      <c r="AL180" s="46" t="str">
        <f t="shared" ref="AL180:AL182" ca="1" si="28">IF((AK180+90)&lt;TODAY(),"เลยกำหนด",IF((AK180+90)-TODAY()&lt;=30,"ใกล้ถึง","ยังไม่ถึง"))</f>
        <v>ยังไม่ถึง</v>
      </c>
      <c r="AM180" s="47">
        <f t="shared" ref="AM180:AM182" ca="1" si="29">MAX(0, (AK180+90) - TODAY())</f>
        <v>58</v>
      </c>
      <c r="AN180" s="30" t="str">
        <f t="shared" ca="1" si="26"/>
        <v>ยังไม่หมด</v>
      </c>
      <c r="AO180" s="47">
        <f t="shared" ca="1" si="27"/>
        <v>219</v>
      </c>
      <c r="AP180" s="47"/>
    </row>
    <row r="181" spans="1:42" ht="17.25" customHeight="1">
      <c r="A181" s="23" t="s">
        <v>1217</v>
      </c>
      <c r="B181" s="23" t="s">
        <v>1218</v>
      </c>
      <c r="C181" s="23" t="s">
        <v>1219</v>
      </c>
      <c r="D181" s="23" t="s">
        <v>64</v>
      </c>
      <c r="E181" s="23" t="s">
        <v>23</v>
      </c>
      <c r="F181" s="26" t="s">
        <v>366</v>
      </c>
      <c r="G181" s="23" t="s">
        <v>367</v>
      </c>
      <c r="H181" s="28">
        <v>36183</v>
      </c>
      <c r="I181" s="23">
        <f t="shared" ca="1" si="24"/>
        <v>27</v>
      </c>
      <c r="J181" s="23" t="s">
        <v>3</v>
      </c>
      <c r="K181" s="28">
        <v>46177</v>
      </c>
      <c r="L181" s="31">
        <v>170</v>
      </c>
      <c r="M181" s="31">
        <v>72.849999999999994</v>
      </c>
      <c r="N181" s="31">
        <f t="shared" si="25"/>
        <v>25.207612456747405</v>
      </c>
      <c r="O181" s="23">
        <v>133</v>
      </c>
      <c r="P181" s="23">
        <v>67</v>
      </c>
      <c r="Q181" s="31">
        <v>45.2</v>
      </c>
      <c r="R181" s="23" t="s">
        <v>4</v>
      </c>
      <c r="S181" s="89"/>
      <c r="T181" s="89">
        <v>96</v>
      </c>
      <c r="U181" s="205">
        <v>175</v>
      </c>
      <c r="V181" s="205">
        <v>179</v>
      </c>
      <c r="W181" s="205">
        <v>24</v>
      </c>
      <c r="X181" s="205">
        <v>49</v>
      </c>
      <c r="Y181" s="37">
        <v>7.1</v>
      </c>
      <c r="Z181" s="23" t="s">
        <v>4</v>
      </c>
      <c r="AA181" s="33"/>
      <c r="AB181" s="23" t="s">
        <v>4</v>
      </c>
      <c r="AC181" s="89"/>
      <c r="AD181" s="23" t="s">
        <v>8</v>
      </c>
      <c r="AE181" s="89" t="s">
        <v>1220</v>
      </c>
      <c r="AF181" s="89"/>
      <c r="AG181" s="89"/>
      <c r="AH181" s="89" t="s">
        <v>1221</v>
      </c>
      <c r="AI181" s="89" t="s">
        <v>154</v>
      </c>
      <c r="AJ181" s="89" t="s">
        <v>1222</v>
      </c>
      <c r="AK181" s="46">
        <v>46237</v>
      </c>
      <c r="AL181" s="46" t="str">
        <f t="shared" ca="1" si="28"/>
        <v>ยังไม่ถึง</v>
      </c>
      <c r="AM181" s="47">
        <f t="shared" ca="1" si="29"/>
        <v>76</v>
      </c>
      <c r="AN181" s="48" t="str">
        <f t="shared" ca="1" si="26"/>
        <v>ยังไม่หมด</v>
      </c>
      <c r="AO181" s="47">
        <f t="shared" ca="1" si="27"/>
        <v>290</v>
      </c>
      <c r="AP181" s="47"/>
    </row>
    <row r="182" spans="1:42" ht="17.25" customHeight="1">
      <c r="A182" s="23" t="s">
        <v>1223</v>
      </c>
      <c r="B182" s="23" t="s">
        <v>1224</v>
      </c>
      <c r="C182" s="23" t="s">
        <v>1225</v>
      </c>
      <c r="D182" s="23" t="s">
        <v>64</v>
      </c>
      <c r="E182" s="23" t="s">
        <v>23</v>
      </c>
      <c r="F182" s="26" t="s">
        <v>366</v>
      </c>
      <c r="G182" s="23" t="s">
        <v>367</v>
      </c>
      <c r="H182" s="28">
        <v>33201</v>
      </c>
      <c r="I182" s="23">
        <f t="shared" ca="1" si="24"/>
        <v>36</v>
      </c>
      <c r="J182" s="23" t="s">
        <v>3</v>
      </c>
      <c r="K182" s="28">
        <v>46051</v>
      </c>
      <c r="L182" s="31">
        <v>170.9</v>
      </c>
      <c r="M182" s="31">
        <v>75.5</v>
      </c>
      <c r="N182" s="31">
        <f t="shared" si="25"/>
        <v>25.85013563617526</v>
      </c>
      <c r="O182" s="59">
        <v>129</v>
      </c>
      <c r="P182" s="59">
        <v>84</v>
      </c>
      <c r="Q182" s="31">
        <v>46</v>
      </c>
      <c r="R182" s="23" t="s">
        <v>4</v>
      </c>
      <c r="S182" s="89"/>
      <c r="T182" s="89">
        <v>99</v>
      </c>
      <c r="U182" s="89">
        <v>83</v>
      </c>
      <c r="V182" s="89">
        <v>126</v>
      </c>
      <c r="W182" s="89">
        <v>31</v>
      </c>
      <c r="X182" s="89">
        <v>53</v>
      </c>
      <c r="Y182" s="61">
        <v>6.8</v>
      </c>
      <c r="Z182" s="23" t="s">
        <v>4</v>
      </c>
      <c r="AA182" s="33"/>
      <c r="AB182" s="23" t="s">
        <v>4</v>
      </c>
      <c r="AC182" s="89" t="s">
        <v>1226</v>
      </c>
      <c r="AD182" s="23" t="s">
        <v>4</v>
      </c>
      <c r="AE182" s="89"/>
      <c r="AF182" s="89"/>
      <c r="AG182" s="89"/>
      <c r="AH182" s="89" t="s">
        <v>1227</v>
      </c>
      <c r="AI182" s="89" t="s">
        <v>154</v>
      </c>
      <c r="AJ182" s="89" t="s">
        <v>1228</v>
      </c>
      <c r="AK182" s="46">
        <v>46245</v>
      </c>
      <c r="AL182" s="46" t="str">
        <f t="shared" ca="1" si="28"/>
        <v>ยังไม่ถึง</v>
      </c>
      <c r="AM182" s="47">
        <f t="shared" ca="1" si="29"/>
        <v>84</v>
      </c>
      <c r="AN182" s="30" t="str">
        <f t="shared" ca="1" si="26"/>
        <v>ยังไม่หมด</v>
      </c>
      <c r="AO182" s="47">
        <f t="shared" ca="1" si="27"/>
        <v>164</v>
      </c>
      <c r="AP182" s="47"/>
    </row>
    <row r="183" spans="1:42" ht="17.25" customHeight="1">
      <c r="A183" s="50" t="s">
        <v>1229</v>
      </c>
      <c r="B183" s="50" t="s">
        <v>1230</v>
      </c>
      <c r="C183" s="50" t="s">
        <v>499</v>
      </c>
      <c r="D183" s="50" t="s">
        <v>64</v>
      </c>
      <c r="E183" s="50" t="s">
        <v>23</v>
      </c>
      <c r="F183" s="100" t="s">
        <v>225</v>
      </c>
      <c r="G183" s="50" t="s">
        <v>134</v>
      </c>
      <c r="H183" s="52">
        <v>33552</v>
      </c>
      <c r="I183" s="50">
        <f t="shared" ca="1" si="24"/>
        <v>35</v>
      </c>
      <c r="J183" s="50" t="s">
        <v>3</v>
      </c>
      <c r="K183" s="52">
        <v>45986</v>
      </c>
      <c r="L183" s="53">
        <v>174</v>
      </c>
      <c r="M183" s="53">
        <v>63.5</v>
      </c>
      <c r="N183" s="53">
        <f t="shared" si="25"/>
        <v>20.973708548024838</v>
      </c>
      <c r="O183" s="50">
        <v>123</v>
      </c>
      <c r="P183" s="50">
        <v>79</v>
      </c>
      <c r="Q183" s="53">
        <v>45</v>
      </c>
      <c r="R183" s="50" t="s">
        <v>8</v>
      </c>
      <c r="S183" s="97" t="s">
        <v>1008</v>
      </c>
      <c r="T183" s="97">
        <v>95</v>
      </c>
      <c r="U183" s="97">
        <v>79</v>
      </c>
      <c r="V183" s="97">
        <v>54</v>
      </c>
      <c r="W183" s="97">
        <v>21</v>
      </c>
      <c r="X183" s="97">
        <v>20</v>
      </c>
      <c r="Y183" s="54">
        <v>5.4</v>
      </c>
      <c r="Z183" s="50" t="s">
        <v>4</v>
      </c>
      <c r="AA183" s="169"/>
      <c r="AB183" s="50" t="s">
        <v>4</v>
      </c>
      <c r="AC183" s="97"/>
      <c r="AD183" s="50" t="s">
        <v>4</v>
      </c>
      <c r="AE183" s="97"/>
      <c r="AF183" s="97"/>
      <c r="AG183" s="97"/>
      <c r="AH183" s="97"/>
      <c r="AI183" s="206" t="s">
        <v>137</v>
      </c>
      <c r="AJ183" s="97" t="s">
        <v>231</v>
      </c>
      <c r="AK183" s="55">
        <v>46042</v>
      </c>
      <c r="AL183" s="55"/>
      <c r="AM183" s="27"/>
      <c r="AN183" s="30" t="str">
        <f t="shared" ca="1" si="26"/>
        <v>ยังไม่หมด</v>
      </c>
      <c r="AO183" s="47">
        <f t="shared" ca="1" si="27"/>
        <v>99</v>
      </c>
      <c r="AP183" s="47"/>
    </row>
    <row r="184" spans="1:42">
      <c r="A184" s="50" t="s">
        <v>1231</v>
      </c>
      <c r="B184" s="50" t="s">
        <v>1232</v>
      </c>
      <c r="C184" s="50" t="s">
        <v>1233</v>
      </c>
      <c r="D184" s="50" t="s">
        <v>64</v>
      </c>
      <c r="E184" s="50" t="s">
        <v>23</v>
      </c>
      <c r="F184" s="51" t="s">
        <v>366</v>
      </c>
      <c r="G184" s="50" t="s">
        <v>367</v>
      </c>
      <c r="H184" s="52">
        <v>31324</v>
      </c>
      <c r="I184" s="50">
        <f t="shared" ca="1" si="24"/>
        <v>41</v>
      </c>
      <c r="J184" s="50" t="s">
        <v>3</v>
      </c>
      <c r="K184" s="52">
        <v>45992</v>
      </c>
      <c r="L184" s="53">
        <v>167.7</v>
      </c>
      <c r="M184" s="50">
        <v>77.099999999999994</v>
      </c>
      <c r="N184" s="53">
        <f t="shared" si="25"/>
        <v>27.415000165343393</v>
      </c>
      <c r="O184" s="50">
        <v>133</v>
      </c>
      <c r="P184" s="50">
        <v>84</v>
      </c>
      <c r="Q184" s="169">
        <v>47.6</v>
      </c>
      <c r="R184" s="50" t="s">
        <v>4</v>
      </c>
      <c r="S184" s="169"/>
      <c r="T184" s="169">
        <v>90</v>
      </c>
      <c r="U184" s="169">
        <v>156</v>
      </c>
      <c r="V184" s="169">
        <v>164</v>
      </c>
      <c r="W184" s="169">
        <v>23</v>
      </c>
      <c r="X184" s="169">
        <v>37</v>
      </c>
      <c r="Y184" s="169">
        <v>7.7</v>
      </c>
      <c r="Z184" s="50" t="s">
        <v>4</v>
      </c>
      <c r="AA184" s="169"/>
      <c r="AB184" s="50" t="s">
        <v>4</v>
      </c>
      <c r="AC184" s="169"/>
      <c r="AD184" s="50" t="s">
        <v>4</v>
      </c>
      <c r="AE184" s="169"/>
      <c r="AF184" s="169"/>
      <c r="AG184" s="169"/>
      <c r="AH184" s="169"/>
      <c r="AI184" s="169" t="s">
        <v>137</v>
      </c>
      <c r="AJ184" s="169" t="s">
        <v>621</v>
      </c>
      <c r="AK184" s="189">
        <v>46063</v>
      </c>
      <c r="AL184" s="169"/>
      <c r="AM184" s="27"/>
      <c r="AN184" s="30" t="str">
        <f t="shared" ca="1" si="26"/>
        <v>ยังไม่หมด</v>
      </c>
      <c r="AO184" s="47">
        <f t="shared" ca="1" si="27"/>
        <v>105</v>
      </c>
      <c r="AP184" s="47"/>
    </row>
    <row r="185" spans="1:42">
      <c r="A185" s="50" t="s">
        <v>1234</v>
      </c>
      <c r="B185" s="50" t="s">
        <v>1235</v>
      </c>
      <c r="C185" s="50" t="s">
        <v>1236</v>
      </c>
      <c r="D185" s="50" t="s">
        <v>64</v>
      </c>
      <c r="E185" s="50" t="s">
        <v>23</v>
      </c>
      <c r="F185" s="51" t="s">
        <v>366</v>
      </c>
      <c r="G185" s="50" t="s">
        <v>367</v>
      </c>
      <c r="H185" s="52">
        <v>36926</v>
      </c>
      <c r="I185" s="50">
        <f t="shared" ca="1" si="24"/>
        <v>25</v>
      </c>
      <c r="J185" s="50" t="s">
        <v>3</v>
      </c>
      <c r="K185" s="52">
        <v>46056</v>
      </c>
      <c r="L185" s="53">
        <v>180</v>
      </c>
      <c r="M185" s="50">
        <v>64.2</v>
      </c>
      <c r="N185" s="53">
        <f t="shared" si="25"/>
        <v>19.814814814814813</v>
      </c>
      <c r="O185" s="50">
        <v>118</v>
      </c>
      <c r="P185" s="50">
        <v>61</v>
      </c>
      <c r="Q185" s="169">
        <v>48</v>
      </c>
      <c r="R185" s="50" t="s">
        <v>8</v>
      </c>
      <c r="S185" s="169"/>
      <c r="T185" s="169">
        <v>93</v>
      </c>
      <c r="U185" s="169">
        <v>140</v>
      </c>
      <c r="V185" s="169">
        <v>62</v>
      </c>
      <c r="W185" s="169">
        <v>27</v>
      </c>
      <c r="X185" s="169">
        <v>21</v>
      </c>
      <c r="Y185" s="169">
        <v>6.4</v>
      </c>
      <c r="Z185" s="50" t="s">
        <v>4</v>
      </c>
      <c r="AA185" s="169"/>
      <c r="AB185" s="50" t="s">
        <v>4</v>
      </c>
      <c r="AC185" s="169"/>
      <c r="AD185" s="50" t="s">
        <v>8</v>
      </c>
      <c r="AE185" s="169" t="s">
        <v>1237</v>
      </c>
      <c r="AF185" s="169"/>
      <c r="AG185" s="169"/>
      <c r="AH185" s="169" t="s">
        <v>1238</v>
      </c>
      <c r="AI185" s="169" t="s">
        <v>137</v>
      </c>
      <c r="AJ185" s="169" t="s">
        <v>1239</v>
      </c>
      <c r="AK185" s="189">
        <v>46190</v>
      </c>
      <c r="AL185" s="169"/>
      <c r="AM185" s="47"/>
      <c r="AN185" s="30" t="str">
        <f t="shared" ca="1" si="26"/>
        <v>ยังไม่หมด</v>
      </c>
      <c r="AO185" s="47">
        <f t="shared" ca="1" si="27"/>
        <v>169</v>
      </c>
      <c r="AP185" s="47"/>
    </row>
    <row r="186" spans="1:42">
      <c r="A186" s="50" t="s">
        <v>1240</v>
      </c>
      <c r="B186" s="50" t="s">
        <v>1241</v>
      </c>
      <c r="C186" s="50" t="s">
        <v>1242</v>
      </c>
      <c r="D186" s="50" t="s">
        <v>64</v>
      </c>
      <c r="E186" s="50" t="s">
        <v>23</v>
      </c>
      <c r="F186" s="51" t="s">
        <v>325</v>
      </c>
      <c r="G186" s="50" t="s">
        <v>328</v>
      </c>
      <c r="H186" s="52">
        <v>35847</v>
      </c>
      <c r="I186" s="50">
        <f t="shared" ca="1" si="24"/>
        <v>28</v>
      </c>
      <c r="J186" s="50" t="s">
        <v>3</v>
      </c>
      <c r="K186" s="52">
        <v>46038</v>
      </c>
      <c r="L186" s="53">
        <v>168.9</v>
      </c>
      <c r="M186" s="50">
        <v>68.25</v>
      </c>
      <c r="N186" s="53">
        <f t="shared" si="25"/>
        <v>23.924526793892564</v>
      </c>
      <c r="O186" s="50">
        <v>127</v>
      </c>
      <c r="P186" s="50">
        <v>76</v>
      </c>
      <c r="Q186" s="169">
        <v>51</v>
      </c>
      <c r="R186" s="50" t="s">
        <v>4</v>
      </c>
      <c r="S186" s="169"/>
      <c r="T186" s="169">
        <v>85</v>
      </c>
      <c r="U186" s="169">
        <v>110</v>
      </c>
      <c r="V186" s="169">
        <v>91</v>
      </c>
      <c r="W186" s="169">
        <v>27</v>
      </c>
      <c r="X186" s="169">
        <v>41</v>
      </c>
      <c r="Y186" s="169">
        <v>7.6</v>
      </c>
      <c r="Z186" s="50" t="s">
        <v>4</v>
      </c>
      <c r="AA186" s="169"/>
      <c r="AB186" s="50" t="s">
        <v>4</v>
      </c>
      <c r="AC186" s="169"/>
      <c r="AD186" s="50" t="s">
        <v>8</v>
      </c>
      <c r="AE186" s="169" t="s">
        <v>1243</v>
      </c>
      <c r="AF186" s="169"/>
      <c r="AG186" s="169"/>
      <c r="AH186" s="169"/>
      <c r="AI186" s="169" t="s">
        <v>137</v>
      </c>
      <c r="AJ186" s="169" t="s">
        <v>241</v>
      </c>
      <c r="AK186" s="189">
        <v>46091</v>
      </c>
      <c r="AL186" s="169"/>
      <c r="AM186" s="27"/>
      <c r="AN186" s="30" t="str">
        <f t="shared" ca="1" si="26"/>
        <v>ยังไม่หมด</v>
      </c>
      <c r="AO186" s="47">
        <f t="shared" ca="1" si="27"/>
        <v>151</v>
      </c>
      <c r="AP186" s="47"/>
    </row>
    <row r="187" spans="1:42">
      <c r="A187" s="50" t="s">
        <v>1244</v>
      </c>
      <c r="B187" s="50" t="s">
        <v>1245</v>
      </c>
      <c r="C187" s="50" t="s">
        <v>1246</v>
      </c>
      <c r="D187" s="50" t="s">
        <v>64</v>
      </c>
      <c r="E187" s="50" t="s">
        <v>23</v>
      </c>
      <c r="F187" s="51" t="s">
        <v>325</v>
      </c>
      <c r="G187" s="50" t="s">
        <v>328</v>
      </c>
      <c r="H187" s="52">
        <v>33994</v>
      </c>
      <c r="I187" s="50">
        <f t="shared" ca="1" si="24"/>
        <v>33</v>
      </c>
      <c r="J187" s="50" t="s">
        <v>24</v>
      </c>
      <c r="K187" s="52">
        <v>46041</v>
      </c>
      <c r="L187" s="53">
        <v>175</v>
      </c>
      <c r="M187" s="76">
        <v>91</v>
      </c>
      <c r="N187" s="207">
        <f t="shared" si="25"/>
        <v>29.714285714285715</v>
      </c>
      <c r="O187" s="50">
        <v>127</v>
      </c>
      <c r="P187" s="50">
        <v>86</v>
      </c>
      <c r="Q187" s="169">
        <v>48.4</v>
      </c>
      <c r="R187" s="50" t="s">
        <v>4</v>
      </c>
      <c r="S187" s="169"/>
      <c r="T187" s="169">
        <v>101</v>
      </c>
      <c r="U187" s="169">
        <v>137</v>
      </c>
      <c r="V187" s="194">
        <v>111</v>
      </c>
      <c r="W187" s="169">
        <v>36</v>
      </c>
      <c r="X187" s="169">
        <v>44</v>
      </c>
      <c r="Y187" s="194">
        <v>8.1</v>
      </c>
      <c r="Z187" s="50" t="s">
        <v>4</v>
      </c>
      <c r="AA187" s="169"/>
      <c r="AB187" s="50" t="s">
        <v>4</v>
      </c>
      <c r="AC187" s="169"/>
      <c r="AD187" s="50" t="s">
        <v>8</v>
      </c>
      <c r="AE187" s="169" t="s">
        <v>1247</v>
      </c>
      <c r="AF187" s="169"/>
      <c r="AG187" s="169"/>
      <c r="AH187" s="169" t="s">
        <v>1248</v>
      </c>
      <c r="AI187" s="169" t="s">
        <v>137</v>
      </c>
      <c r="AJ187" s="169" t="s">
        <v>621</v>
      </c>
      <c r="AK187" s="189">
        <v>46156</v>
      </c>
      <c r="AL187" s="55"/>
      <c r="AM187" s="47"/>
      <c r="AN187" s="30" t="str">
        <f t="shared" ca="1" si="26"/>
        <v>ยังไม่หมด</v>
      </c>
      <c r="AO187" s="47">
        <f t="shared" ca="1" si="27"/>
        <v>154</v>
      </c>
      <c r="AP187" s="47"/>
    </row>
    <row r="188" spans="1:42">
      <c r="A188" s="50" t="s">
        <v>1249</v>
      </c>
      <c r="B188" s="50" t="s">
        <v>1250</v>
      </c>
      <c r="C188" s="50" t="s">
        <v>1251</v>
      </c>
      <c r="D188" s="50" t="s">
        <v>64</v>
      </c>
      <c r="E188" s="50" t="s">
        <v>23</v>
      </c>
      <c r="F188" s="51" t="s">
        <v>325</v>
      </c>
      <c r="G188" s="50" t="s">
        <v>328</v>
      </c>
      <c r="H188" s="52">
        <v>28777</v>
      </c>
      <c r="I188" s="50">
        <f t="shared" ca="1" si="24"/>
        <v>48</v>
      </c>
      <c r="J188" s="50" t="s">
        <v>3</v>
      </c>
      <c r="K188" s="52">
        <v>46078</v>
      </c>
      <c r="L188" s="53">
        <v>175</v>
      </c>
      <c r="M188" s="50">
        <v>90.2</v>
      </c>
      <c r="N188" s="53">
        <f t="shared" si="25"/>
        <v>29.453061224489797</v>
      </c>
      <c r="O188" s="50">
        <v>131</v>
      </c>
      <c r="P188" s="50">
        <v>79</v>
      </c>
      <c r="Q188" s="169">
        <v>43</v>
      </c>
      <c r="R188" s="50" t="s">
        <v>4</v>
      </c>
      <c r="S188" s="169"/>
      <c r="T188" s="169">
        <v>86.5</v>
      </c>
      <c r="U188" s="169">
        <v>101.3</v>
      </c>
      <c r="V188" s="169">
        <v>72.599999999999994</v>
      </c>
      <c r="W188" s="169">
        <v>27</v>
      </c>
      <c r="X188" s="169">
        <v>44</v>
      </c>
      <c r="Y188" s="169">
        <v>6.79</v>
      </c>
      <c r="Z188" s="50" t="s">
        <v>4</v>
      </c>
      <c r="AA188" s="169"/>
      <c r="AB188" s="50" t="s">
        <v>4</v>
      </c>
      <c r="AC188" s="169"/>
      <c r="AD188" s="50" t="s">
        <v>4</v>
      </c>
      <c r="AE188" s="169"/>
      <c r="AF188" s="169"/>
      <c r="AG188" s="169"/>
      <c r="AH188" s="169" t="s">
        <v>1252</v>
      </c>
      <c r="AI188" s="169" t="s">
        <v>137</v>
      </c>
      <c r="AJ188" s="169" t="s">
        <v>1253</v>
      </c>
      <c r="AK188" s="189">
        <v>46154</v>
      </c>
      <c r="AL188" s="55"/>
      <c r="AM188" s="47"/>
      <c r="AN188" s="30" t="str">
        <f t="shared" ca="1" si="26"/>
        <v>ยังไม่หมด</v>
      </c>
      <c r="AO188" s="47">
        <f t="shared" ca="1" si="27"/>
        <v>191</v>
      </c>
      <c r="AP188" s="47"/>
    </row>
    <row r="189" spans="1:42">
      <c r="A189" s="50" t="s">
        <v>1254</v>
      </c>
      <c r="B189" s="50" t="s">
        <v>1255</v>
      </c>
      <c r="C189" s="50" t="s">
        <v>1256</v>
      </c>
      <c r="D189" s="50" t="s">
        <v>64</v>
      </c>
      <c r="E189" s="50" t="s">
        <v>23</v>
      </c>
      <c r="F189" s="51" t="s">
        <v>366</v>
      </c>
      <c r="G189" s="50" t="s">
        <v>367</v>
      </c>
      <c r="H189" s="52">
        <v>36257</v>
      </c>
      <c r="I189" s="50">
        <f t="shared" ca="1" si="24"/>
        <v>27</v>
      </c>
      <c r="J189" s="50" t="s">
        <v>3</v>
      </c>
      <c r="K189" s="52">
        <v>46052</v>
      </c>
      <c r="L189" s="53">
        <v>165</v>
      </c>
      <c r="M189" s="50">
        <v>61.39</v>
      </c>
      <c r="N189" s="53">
        <f t="shared" si="25"/>
        <v>22.549127640036726</v>
      </c>
      <c r="O189" s="76">
        <v>126</v>
      </c>
      <c r="P189" s="76">
        <v>71</v>
      </c>
      <c r="Q189" s="169">
        <v>45.8</v>
      </c>
      <c r="R189" s="50" t="s">
        <v>4</v>
      </c>
      <c r="S189" s="169"/>
      <c r="T189" s="169">
        <v>93</v>
      </c>
      <c r="U189" s="194">
        <v>109</v>
      </c>
      <c r="V189" s="169">
        <v>67</v>
      </c>
      <c r="W189" s="169">
        <v>24</v>
      </c>
      <c r="X189" s="169">
        <v>26</v>
      </c>
      <c r="Y189" s="169">
        <v>5.7</v>
      </c>
      <c r="Z189" s="50" t="s">
        <v>8</v>
      </c>
      <c r="AA189" s="169" t="s">
        <v>135</v>
      </c>
      <c r="AB189" s="50" t="s">
        <v>8</v>
      </c>
      <c r="AC189" s="169" t="s">
        <v>1226</v>
      </c>
      <c r="AD189" s="50" t="s">
        <v>8</v>
      </c>
      <c r="AE189" s="169" t="s">
        <v>1257</v>
      </c>
      <c r="AF189" s="169"/>
      <c r="AG189" s="169"/>
      <c r="AH189" s="169" t="s">
        <v>1258</v>
      </c>
      <c r="AI189" s="169" t="s">
        <v>137</v>
      </c>
      <c r="AJ189" s="169" t="s">
        <v>1259</v>
      </c>
      <c r="AK189" s="189">
        <v>46240</v>
      </c>
      <c r="AL189" s="55"/>
      <c r="AM189" s="47"/>
      <c r="AN189" s="30" t="str">
        <f t="shared" ca="1" si="26"/>
        <v>ยังไม่หมด</v>
      </c>
      <c r="AO189" s="47">
        <f t="shared" ca="1" si="27"/>
        <v>165</v>
      </c>
      <c r="AP189" s="47"/>
    </row>
    <row r="190" spans="1:42">
      <c r="A190" s="50" t="s">
        <v>1260</v>
      </c>
      <c r="B190" s="50" t="s">
        <v>1261</v>
      </c>
      <c r="C190" s="50" t="s">
        <v>1262</v>
      </c>
      <c r="D190" s="50" t="s">
        <v>64</v>
      </c>
      <c r="E190" s="50" t="s">
        <v>23</v>
      </c>
      <c r="F190" s="51" t="s">
        <v>325</v>
      </c>
      <c r="G190" s="50" t="s">
        <v>328</v>
      </c>
      <c r="H190" s="52">
        <v>35447</v>
      </c>
      <c r="I190" s="50">
        <f t="shared" ca="1" si="24"/>
        <v>29</v>
      </c>
      <c r="J190" s="50" t="s">
        <v>3</v>
      </c>
      <c r="K190" s="52">
        <v>46178</v>
      </c>
      <c r="L190" s="53">
        <v>167</v>
      </c>
      <c r="M190" s="50">
        <v>63.7</v>
      </c>
      <c r="N190" s="53">
        <f t="shared" si="25"/>
        <v>22.840546452006169</v>
      </c>
      <c r="O190" s="50">
        <v>139</v>
      </c>
      <c r="P190" s="50">
        <v>83</v>
      </c>
      <c r="Q190" s="169">
        <v>41.9</v>
      </c>
      <c r="R190" s="50" t="s">
        <v>4</v>
      </c>
      <c r="S190" s="169"/>
      <c r="T190" s="169">
        <v>100</v>
      </c>
      <c r="U190" s="169">
        <v>100</v>
      </c>
      <c r="V190" s="169">
        <v>76</v>
      </c>
      <c r="W190" s="169">
        <v>25</v>
      </c>
      <c r="X190" s="169">
        <v>15</v>
      </c>
      <c r="Y190" s="169">
        <v>5.6</v>
      </c>
      <c r="Z190" s="50" t="s">
        <v>4</v>
      </c>
      <c r="AA190" s="169"/>
      <c r="AB190" s="50" t="s">
        <v>4</v>
      </c>
      <c r="AC190" s="169"/>
      <c r="AD190" s="50" t="s">
        <v>8</v>
      </c>
      <c r="AE190" s="169" t="s">
        <v>350</v>
      </c>
      <c r="AF190" s="169"/>
      <c r="AG190" s="169"/>
      <c r="AH190" s="169" t="s">
        <v>1263</v>
      </c>
      <c r="AI190" s="169" t="s">
        <v>137</v>
      </c>
      <c r="AJ190" s="169" t="s">
        <v>1194</v>
      </c>
      <c r="AK190" s="189">
        <v>46190</v>
      </c>
      <c r="AL190" s="55"/>
      <c r="AM190" s="165"/>
      <c r="AN190" s="30" t="str">
        <f t="shared" ca="1" si="26"/>
        <v>ยังไม่หมด</v>
      </c>
      <c r="AO190" s="47">
        <f t="shared" ca="1" si="27"/>
        <v>291</v>
      </c>
      <c r="AP190" s="47"/>
    </row>
    <row r="191" spans="1:42">
      <c r="A191" s="23" t="s">
        <v>1264</v>
      </c>
      <c r="B191" s="23" t="s">
        <v>1265</v>
      </c>
      <c r="C191" s="23" t="s">
        <v>1266</v>
      </c>
      <c r="D191" s="23" t="s">
        <v>64</v>
      </c>
      <c r="E191" s="23" t="s">
        <v>23</v>
      </c>
      <c r="F191" s="26" t="s">
        <v>325</v>
      </c>
      <c r="G191" s="23" t="s">
        <v>328</v>
      </c>
      <c r="H191" s="28">
        <v>36883</v>
      </c>
      <c r="I191" s="23">
        <f t="shared" ca="1" si="24"/>
        <v>26</v>
      </c>
      <c r="J191" s="23" t="s">
        <v>3</v>
      </c>
      <c r="K191" s="28">
        <v>46168</v>
      </c>
      <c r="L191" s="31">
        <v>172</v>
      </c>
      <c r="M191" s="23">
        <v>53.3</v>
      </c>
      <c r="N191" s="31">
        <f t="shared" si="25"/>
        <v>18.016495402920498</v>
      </c>
      <c r="O191" s="23">
        <v>118</v>
      </c>
      <c r="P191" s="23">
        <v>74</v>
      </c>
      <c r="Q191" s="33">
        <v>44</v>
      </c>
      <c r="R191" s="23" t="s">
        <v>4</v>
      </c>
      <c r="S191" s="33"/>
      <c r="T191" s="33">
        <v>85</v>
      </c>
      <c r="U191" s="33">
        <v>162</v>
      </c>
      <c r="V191" s="33">
        <v>52</v>
      </c>
      <c r="W191" s="33">
        <v>21</v>
      </c>
      <c r="X191" s="33">
        <v>14</v>
      </c>
      <c r="Y191" s="33">
        <v>8.9</v>
      </c>
      <c r="Z191" s="23" t="s">
        <v>4</v>
      </c>
      <c r="AA191" s="33"/>
      <c r="AB191" s="23" t="s">
        <v>4</v>
      </c>
      <c r="AC191" s="33"/>
      <c r="AD191" s="23" t="s">
        <v>8</v>
      </c>
      <c r="AE191" s="33" t="s">
        <v>1267</v>
      </c>
      <c r="AF191" s="33"/>
      <c r="AG191" s="33"/>
      <c r="AH191" s="33" t="s">
        <v>1268</v>
      </c>
      <c r="AI191" s="208" t="s">
        <v>154</v>
      </c>
      <c r="AJ191" s="33" t="s">
        <v>1269</v>
      </c>
      <c r="AK191" s="187">
        <v>46240</v>
      </c>
      <c r="AL191" s="46" t="str">
        <f ca="1">IF((AK191+90)&lt;TODAY(),"เลยกำหนด",IF((AK191+90)-TODAY()&lt;=30,"ใกล้ถึง","ยังไม่ถึง"))</f>
        <v>ยังไม่ถึง</v>
      </c>
      <c r="AM191" s="47">
        <f ca="1">MAX(0, (AK191+90) - TODAY())</f>
        <v>79</v>
      </c>
      <c r="AN191" s="30" t="str">
        <f t="shared" ca="1" si="26"/>
        <v>ยังไม่หมด</v>
      </c>
      <c r="AO191" s="47">
        <f t="shared" ca="1" si="27"/>
        <v>281</v>
      </c>
      <c r="AP191" s="47"/>
    </row>
    <row r="192" spans="1:42">
      <c r="A192" s="23" t="s">
        <v>1270</v>
      </c>
      <c r="B192" s="23" t="s">
        <v>1271</v>
      </c>
      <c r="C192" s="23" t="s">
        <v>1272</v>
      </c>
      <c r="D192" s="23" t="s">
        <v>64</v>
      </c>
      <c r="E192" s="23" t="s">
        <v>23</v>
      </c>
      <c r="F192" s="26" t="s">
        <v>325</v>
      </c>
      <c r="G192" s="23" t="s">
        <v>328</v>
      </c>
      <c r="H192" s="28">
        <v>36470</v>
      </c>
      <c r="I192" s="23">
        <f t="shared" ca="1" si="24"/>
        <v>27</v>
      </c>
      <c r="J192" s="23" t="s">
        <v>3</v>
      </c>
      <c r="K192" s="28">
        <v>46191</v>
      </c>
      <c r="L192" s="31">
        <v>182</v>
      </c>
      <c r="M192" s="23">
        <v>81.2</v>
      </c>
      <c r="N192" s="31">
        <f t="shared" si="25"/>
        <v>24.513947590870668</v>
      </c>
      <c r="O192" s="23">
        <v>116</v>
      </c>
      <c r="P192" s="23">
        <v>63</v>
      </c>
      <c r="Q192" s="33">
        <v>45</v>
      </c>
      <c r="R192" s="23" t="s">
        <v>4</v>
      </c>
      <c r="S192" s="33"/>
      <c r="T192" s="33">
        <v>105</v>
      </c>
      <c r="U192" s="33">
        <v>114</v>
      </c>
      <c r="V192" s="33">
        <v>141</v>
      </c>
      <c r="W192" s="186">
        <v>18</v>
      </c>
      <c r="X192" s="186">
        <v>26</v>
      </c>
      <c r="Y192" s="33">
        <v>6.1</v>
      </c>
      <c r="Z192" s="23" t="s">
        <v>8</v>
      </c>
      <c r="AA192" s="33" t="s">
        <v>135</v>
      </c>
      <c r="AB192" s="23" t="s">
        <v>4</v>
      </c>
      <c r="AC192" s="33"/>
      <c r="AD192" s="23" t="s">
        <v>8</v>
      </c>
      <c r="AE192" s="33" t="s">
        <v>1273</v>
      </c>
      <c r="AF192" s="33"/>
      <c r="AG192" s="33"/>
      <c r="AH192" s="33" t="s">
        <v>1274</v>
      </c>
      <c r="AI192" s="209" t="s">
        <v>154</v>
      </c>
      <c r="AJ192" s="209" t="s">
        <v>1275</v>
      </c>
      <c r="AK192" s="210">
        <v>46240</v>
      </c>
      <c r="AL192" s="46"/>
      <c r="AM192" s="47"/>
      <c r="AN192" s="48" t="str">
        <f t="shared" ca="1" si="26"/>
        <v>ยังไม่หมด</v>
      </c>
      <c r="AO192" s="47">
        <f t="shared" ca="1" si="27"/>
        <v>304</v>
      </c>
      <c r="AP192" s="47"/>
    </row>
    <row r="193" spans="1:42">
      <c r="A193" s="23" t="s">
        <v>1276</v>
      </c>
      <c r="B193" s="23" t="s">
        <v>1277</v>
      </c>
      <c r="C193" s="23" t="s">
        <v>1278</v>
      </c>
      <c r="D193" s="23" t="s">
        <v>64</v>
      </c>
      <c r="E193" s="23" t="s">
        <v>23</v>
      </c>
      <c r="F193" s="26" t="s">
        <v>325</v>
      </c>
      <c r="G193" s="23" t="s">
        <v>328</v>
      </c>
      <c r="H193" s="28">
        <v>36202</v>
      </c>
      <c r="I193" s="23">
        <f t="shared" ca="1" si="24"/>
        <v>27</v>
      </c>
      <c r="J193" s="23" t="s">
        <v>3</v>
      </c>
      <c r="K193" s="28">
        <v>46189</v>
      </c>
      <c r="L193" s="31">
        <v>178.5</v>
      </c>
      <c r="M193" s="23">
        <v>75.900000000000006</v>
      </c>
      <c r="N193" s="31">
        <f t="shared" si="25"/>
        <v>23.821293223171622</v>
      </c>
      <c r="O193" s="23">
        <v>117</v>
      </c>
      <c r="P193" s="23">
        <v>68</v>
      </c>
      <c r="Q193" s="33">
        <v>49</v>
      </c>
      <c r="R193" s="23" t="s">
        <v>8</v>
      </c>
      <c r="S193" s="33" t="s">
        <v>1279</v>
      </c>
      <c r="T193" s="33">
        <v>99</v>
      </c>
      <c r="U193" s="186">
        <v>158</v>
      </c>
      <c r="V193" s="186">
        <v>234</v>
      </c>
      <c r="W193" s="186">
        <v>23</v>
      </c>
      <c r="X193" s="186">
        <v>26</v>
      </c>
      <c r="Y193" s="186">
        <v>9.1999999999999993</v>
      </c>
      <c r="Z193" s="23" t="s">
        <v>4</v>
      </c>
      <c r="AA193" s="33"/>
      <c r="AB193" s="23" t="s">
        <v>4</v>
      </c>
      <c r="AC193" s="33"/>
      <c r="AD193" s="23" t="s">
        <v>4</v>
      </c>
      <c r="AE193" s="33"/>
      <c r="AF193" s="33"/>
      <c r="AG193" s="33"/>
      <c r="AH193" s="33"/>
      <c r="AI193" s="209" t="s">
        <v>218</v>
      </c>
      <c r="AJ193" s="209" t="s">
        <v>1280</v>
      </c>
      <c r="AK193" s="210">
        <v>46197</v>
      </c>
      <c r="AL193" s="46"/>
      <c r="AM193" s="47"/>
      <c r="AN193" s="48" t="str">
        <f t="shared" ca="1" si="26"/>
        <v>ยังไม่หมด</v>
      </c>
      <c r="AO193" s="47">
        <f t="shared" ca="1" si="27"/>
        <v>302</v>
      </c>
      <c r="AP193" s="47"/>
    </row>
    <row r="194" spans="1:42" ht="15.6">
      <c r="A194" s="50" t="s">
        <v>1281</v>
      </c>
      <c r="B194" s="50" t="s">
        <v>1282</v>
      </c>
      <c r="C194" s="211" t="s">
        <v>1283</v>
      </c>
      <c r="D194" s="50" t="s">
        <v>64</v>
      </c>
      <c r="E194" s="50" t="s">
        <v>23</v>
      </c>
      <c r="F194" s="51" t="s">
        <v>366</v>
      </c>
      <c r="G194" s="50" t="s">
        <v>367</v>
      </c>
      <c r="H194" s="52">
        <v>30300</v>
      </c>
      <c r="I194" s="50">
        <f t="shared" ca="1" si="24"/>
        <v>44</v>
      </c>
      <c r="J194" s="50" t="s">
        <v>24</v>
      </c>
      <c r="K194" s="52">
        <v>46170</v>
      </c>
      <c r="L194" s="53">
        <v>176</v>
      </c>
      <c r="M194" s="50">
        <v>78.650000000000006</v>
      </c>
      <c r="N194" s="53">
        <f t="shared" si="25"/>
        <v>25.390625000000004</v>
      </c>
      <c r="O194" s="50">
        <v>133</v>
      </c>
      <c r="P194" s="50">
        <v>78</v>
      </c>
      <c r="Q194" s="169">
        <v>46.6</v>
      </c>
      <c r="R194" s="50" t="s">
        <v>4</v>
      </c>
      <c r="S194" s="169"/>
      <c r="T194" s="169">
        <v>104</v>
      </c>
      <c r="U194" s="169">
        <v>125</v>
      </c>
      <c r="V194" s="169">
        <v>69</v>
      </c>
      <c r="W194" s="169">
        <v>30</v>
      </c>
      <c r="X194" s="169">
        <v>41</v>
      </c>
      <c r="Y194" s="169">
        <v>5.4</v>
      </c>
      <c r="Z194" s="50" t="s">
        <v>4</v>
      </c>
      <c r="AA194" s="169"/>
      <c r="AB194" s="50" t="s">
        <v>4</v>
      </c>
      <c r="AC194" s="169"/>
      <c r="AD194" s="50" t="s">
        <v>4</v>
      </c>
      <c r="AE194" s="169"/>
      <c r="AF194" s="169"/>
      <c r="AG194" s="169"/>
      <c r="AH194" s="169" t="s">
        <v>1284</v>
      </c>
      <c r="AI194" s="169" t="s">
        <v>137</v>
      </c>
      <c r="AJ194" s="169" t="s">
        <v>254</v>
      </c>
      <c r="AK194" s="189">
        <v>46182</v>
      </c>
      <c r="AL194" s="55"/>
      <c r="AM194" s="47"/>
      <c r="AN194" s="30" t="str">
        <f t="shared" ca="1" si="26"/>
        <v>ยังไม่หมด</v>
      </c>
      <c r="AO194" s="47">
        <f t="shared" ca="1" si="27"/>
        <v>283</v>
      </c>
      <c r="AP194" s="47"/>
    </row>
    <row r="195" spans="1:42" ht="17.25" customHeight="1">
      <c r="A195" s="23" t="s">
        <v>1285</v>
      </c>
      <c r="B195" s="23" t="s">
        <v>1286</v>
      </c>
      <c r="C195" s="23" t="s">
        <v>578</v>
      </c>
      <c r="D195" s="23" t="s">
        <v>64</v>
      </c>
      <c r="E195" s="23" t="s">
        <v>23</v>
      </c>
      <c r="F195" s="26" t="s">
        <v>366</v>
      </c>
      <c r="G195" s="23" t="s">
        <v>367</v>
      </c>
      <c r="H195" s="28">
        <v>25724</v>
      </c>
      <c r="I195" s="23">
        <f t="shared" ca="1" si="24"/>
        <v>56</v>
      </c>
      <c r="J195" s="23" t="s">
        <v>19</v>
      </c>
      <c r="K195" s="28">
        <v>46224</v>
      </c>
      <c r="L195" s="31">
        <v>162</v>
      </c>
      <c r="M195" s="23">
        <v>79.8</v>
      </c>
      <c r="N195" s="31">
        <f t="shared" si="25"/>
        <v>30.406950160036573</v>
      </c>
      <c r="O195" s="23">
        <v>128</v>
      </c>
      <c r="P195" s="23">
        <v>73</v>
      </c>
      <c r="Q195" s="31">
        <v>41.4</v>
      </c>
      <c r="R195" s="23" t="s">
        <v>8</v>
      </c>
      <c r="S195" s="89" t="s">
        <v>1287</v>
      </c>
      <c r="T195" s="89">
        <v>137</v>
      </c>
      <c r="U195" s="89">
        <v>214</v>
      </c>
      <c r="V195" s="89">
        <v>75</v>
      </c>
      <c r="W195" s="89">
        <v>21</v>
      </c>
      <c r="X195" s="89">
        <v>19</v>
      </c>
      <c r="Y195" s="37">
        <v>6.6</v>
      </c>
      <c r="Z195" s="23" t="s">
        <v>4</v>
      </c>
      <c r="AA195" s="89"/>
      <c r="AB195" s="23" t="s">
        <v>4</v>
      </c>
      <c r="AC195" s="89"/>
      <c r="AD195" s="23" t="s">
        <v>4</v>
      </c>
      <c r="AE195" s="89"/>
      <c r="AF195" s="89"/>
      <c r="AH195" s="89"/>
      <c r="AI195" s="212" t="s">
        <v>218</v>
      </c>
      <c r="AJ195" s="212" t="s">
        <v>1288</v>
      </c>
      <c r="AK195" s="77">
        <v>46238</v>
      </c>
      <c r="AL195" s="46" t="str">
        <f ca="1">IF((AK195+90)&lt;TODAY(),"เลยกำหนด",IF((AK195+90)-TODAY()&lt;=30,"ใกล้ถึง","ยังไม่ถึง"))</f>
        <v>ยังไม่ถึง</v>
      </c>
      <c r="AM195" s="47">
        <f ca="1">MAX(0, (AK195+90) - TODAY())</f>
        <v>77</v>
      </c>
      <c r="AN195" s="30"/>
      <c r="AO195" s="30"/>
      <c r="AP195" s="30"/>
    </row>
    <row r="196" spans="1:42" ht="17.25" customHeight="1">
      <c r="A196" s="50" t="s">
        <v>1289</v>
      </c>
      <c r="B196" s="50" t="s">
        <v>1290</v>
      </c>
      <c r="C196" s="50" t="s">
        <v>1291</v>
      </c>
      <c r="D196" s="50" t="s">
        <v>64</v>
      </c>
      <c r="E196" s="50" t="s">
        <v>23</v>
      </c>
      <c r="F196" s="51" t="s">
        <v>366</v>
      </c>
      <c r="G196" s="50" t="s">
        <v>367</v>
      </c>
      <c r="H196" s="52">
        <v>26336</v>
      </c>
      <c r="I196" s="50">
        <f t="shared" ca="1" si="24"/>
        <v>54</v>
      </c>
      <c r="J196" s="50" t="s">
        <v>24</v>
      </c>
      <c r="K196" s="52">
        <v>46146</v>
      </c>
      <c r="L196" s="53">
        <v>166</v>
      </c>
      <c r="M196" s="53">
        <v>73.5</v>
      </c>
      <c r="N196" s="53">
        <f t="shared" si="25"/>
        <v>26.672956887792129</v>
      </c>
      <c r="O196" s="50">
        <v>107</v>
      </c>
      <c r="P196" s="50">
        <v>61</v>
      </c>
      <c r="Q196" s="53">
        <v>44</v>
      </c>
      <c r="R196" s="50" t="s">
        <v>4</v>
      </c>
      <c r="S196" s="97"/>
      <c r="T196" s="97">
        <v>104</v>
      </c>
      <c r="U196" s="97">
        <v>191</v>
      </c>
      <c r="V196" s="97">
        <v>199</v>
      </c>
      <c r="W196" s="97">
        <v>22</v>
      </c>
      <c r="X196" s="97">
        <v>21</v>
      </c>
      <c r="Y196" s="54">
        <v>6.8</v>
      </c>
      <c r="Z196" s="50" t="s">
        <v>8</v>
      </c>
      <c r="AA196" s="97"/>
      <c r="AB196" s="50" t="s">
        <v>4</v>
      </c>
      <c r="AC196" s="97"/>
      <c r="AD196" s="50" t="s">
        <v>8</v>
      </c>
      <c r="AE196" s="97" t="s">
        <v>1292</v>
      </c>
      <c r="AF196" s="97"/>
      <c r="AG196" s="78"/>
      <c r="AH196" s="97" t="s">
        <v>1293</v>
      </c>
      <c r="AI196" s="97" t="s">
        <v>137</v>
      </c>
      <c r="AJ196" s="97" t="s">
        <v>254</v>
      </c>
      <c r="AK196" s="55">
        <v>46197</v>
      </c>
      <c r="AL196" s="46"/>
      <c r="AM196" s="47"/>
      <c r="AN196" s="30"/>
      <c r="AO196" s="30"/>
      <c r="AP196" s="30"/>
    </row>
    <row r="197" spans="1:42" ht="14.4">
      <c r="A197" s="78" t="s">
        <v>1294</v>
      </c>
      <c r="B197" s="78" t="s">
        <v>1295</v>
      </c>
      <c r="C197" s="78" t="s">
        <v>1296</v>
      </c>
      <c r="D197" s="50" t="s">
        <v>64</v>
      </c>
      <c r="E197" s="50" t="s">
        <v>23</v>
      </c>
      <c r="F197" s="51" t="s">
        <v>366</v>
      </c>
      <c r="G197" s="50" t="s">
        <v>367</v>
      </c>
      <c r="H197" s="52">
        <v>35894</v>
      </c>
      <c r="I197" s="50">
        <f t="shared" ca="1" si="24"/>
        <v>28</v>
      </c>
      <c r="J197" s="50" t="s">
        <v>3</v>
      </c>
      <c r="K197" s="52">
        <v>46106</v>
      </c>
      <c r="L197" s="78">
        <v>181.4</v>
      </c>
      <c r="M197" s="78">
        <v>62.75</v>
      </c>
      <c r="N197" s="53">
        <f t="shared" si="25"/>
        <v>19.069493793829444</v>
      </c>
      <c r="O197" s="78">
        <v>117</v>
      </c>
      <c r="P197" s="78">
        <v>70</v>
      </c>
      <c r="Q197" s="78">
        <v>41.8</v>
      </c>
      <c r="R197" s="50" t="s">
        <v>4</v>
      </c>
      <c r="S197" s="78"/>
      <c r="T197" s="78">
        <v>97</v>
      </c>
      <c r="U197" s="78">
        <v>131</v>
      </c>
      <c r="V197" s="78">
        <v>72</v>
      </c>
      <c r="W197" s="78">
        <v>19</v>
      </c>
      <c r="X197" s="78">
        <v>13</v>
      </c>
      <c r="Y197" s="78">
        <v>6.9</v>
      </c>
      <c r="Z197" s="50" t="s">
        <v>4</v>
      </c>
      <c r="AA197" s="78"/>
      <c r="AB197" s="50" t="s">
        <v>4</v>
      </c>
      <c r="AC197" s="78"/>
      <c r="AD197" s="50" t="s">
        <v>4</v>
      </c>
      <c r="AE197" s="78"/>
      <c r="AF197" s="78"/>
      <c r="AG197" s="78"/>
      <c r="AH197" s="78"/>
      <c r="AI197" s="78" t="s">
        <v>137</v>
      </c>
      <c r="AJ197" s="213" t="s">
        <v>231</v>
      </c>
      <c r="AK197" s="214">
        <v>46230</v>
      </c>
      <c r="AN197" s="215"/>
    </row>
    <row r="198" spans="1:42" ht="15.75" customHeight="1">
      <c r="A198" s="169" t="s">
        <v>1297</v>
      </c>
      <c r="B198" s="169" t="s">
        <v>1298</v>
      </c>
      <c r="C198" s="169" t="s">
        <v>1299</v>
      </c>
      <c r="D198" s="50" t="s">
        <v>64</v>
      </c>
      <c r="E198" s="50" t="s">
        <v>23</v>
      </c>
      <c r="F198" s="51" t="s">
        <v>366</v>
      </c>
      <c r="G198" s="50" t="s">
        <v>367</v>
      </c>
      <c r="H198" s="52">
        <v>35101</v>
      </c>
      <c r="I198" s="50">
        <f t="shared" ca="1" si="24"/>
        <v>30</v>
      </c>
      <c r="J198" s="50" t="s">
        <v>3</v>
      </c>
      <c r="K198" s="52">
        <v>46167</v>
      </c>
      <c r="L198" s="53">
        <v>175</v>
      </c>
      <c r="M198" s="53">
        <v>66</v>
      </c>
      <c r="N198" s="53">
        <f t="shared" si="25"/>
        <v>21.551020408163264</v>
      </c>
      <c r="O198" s="169">
        <v>130</v>
      </c>
      <c r="P198" s="169">
        <v>79</v>
      </c>
      <c r="Q198" s="53">
        <v>40</v>
      </c>
      <c r="R198" s="50" t="s">
        <v>4</v>
      </c>
      <c r="S198" s="169"/>
      <c r="T198" s="169">
        <v>95</v>
      </c>
      <c r="U198" s="169">
        <v>82</v>
      </c>
      <c r="V198" s="169">
        <v>95</v>
      </c>
      <c r="W198" s="169">
        <v>17</v>
      </c>
      <c r="X198" s="169">
        <v>11</v>
      </c>
      <c r="Y198" s="54">
        <v>6.9</v>
      </c>
      <c r="Z198" s="50" t="s">
        <v>4</v>
      </c>
      <c r="AA198" s="169"/>
      <c r="AB198" s="50" t="s">
        <v>4</v>
      </c>
      <c r="AC198" s="169"/>
      <c r="AD198" s="50" t="s">
        <v>8</v>
      </c>
      <c r="AE198" s="169" t="s">
        <v>350</v>
      </c>
      <c r="AF198" s="169"/>
      <c r="AG198" s="169"/>
      <c r="AH198" s="169" t="s">
        <v>1300</v>
      </c>
      <c r="AI198" s="169" t="s">
        <v>1301</v>
      </c>
      <c r="AJ198" s="169" t="s">
        <v>1302</v>
      </c>
      <c r="AK198" s="189">
        <v>46233</v>
      </c>
      <c r="AL198" s="33"/>
      <c r="AM198" s="27"/>
      <c r="AN198" s="33"/>
      <c r="AO198" s="33"/>
      <c r="AP198" s="33"/>
    </row>
    <row r="199" spans="1:42" ht="15.75" customHeight="1">
      <c r="A199" s="169" t="s">
        <v>1303</v>
      </c>
      <c r="B199" s="169" t="s">
        <v>1304</v>
      </c>
      <c r="C199" s="169" t="s">
        <v>1305</v>
      </c>
      <c r="D199" s="50" t="s">
        <v>64</v>
      </c>
      <c r="E199" s="50" t="s">
        <v>23</v>
      </c>
      <c r="F199" s="51" t="s">
        <v>366</v>
      </c>
      <c r="G199" s="50" t="s">
        <v>367</v>
      </c>
      <c r="H199" s="52">
        <v>38337</v>
      </c>
      <c r="I199" s="50">
        <f t="shared" ca="1" si="24"/>
        <v>22</v>
      </c>
      <c r="J199" s="50" t="s">
        <v>3</v>
      </c>
      <c r="K199" s="52">
        <v>46006</v>
      </c>
      <c r="L199" s="53">
        <v>169.5</v>
      </c>
      <c r="M199" s="53">
        <v>72.75</v>
      </c>
      <c r="N199" s="53">
        <f t="shared" si="25"/>
        <v>25.321742762419401</v>
      </c>
      <c r="O199" s="169">
        <v>133</v>
      </c>
      <c r="P199" s="169">
        <v>76</v>
      </c>
      <c r="Q199" s="53">
        <v>45</v>
      </c>
      <c r="R199" s="50" t="s">
        <v>4</v>
      </c>
      <c r="S199" s="169"/>
      <c r="T199" s="169">
        <v>82</v>
      </c>
      <c r="U199" s="169">
        <v>79</v>
      </c>
      <c r="V199" s="169">
        <v>35</v>
      </c>
      <c r="W199" s="169">
        <v>28</v>
      </c>
      <c r="X199" s="169">
        <v>46</v>
      </c>
      <c r="Y199" s="54">
        <v>6.3</v>
      </c>
      <c r="Z199" s="50" t="s">
        <v>4</v>
      </c>
      <c r="AA199" s="169"/>
      <c r="AB199" s="50" t="s">
        <v>4</v>
      </c>
      <c r="AC199" s="169"/>
      <c r="AD199" s="50" t="s">
        <v>4</v>
      </c>
      <c r="AE199" s="169" t="s">
        <v>1306</v>
      </c>
      <c r="AF199" s="169"/>
      <c r="AG199" s="169"/>
      <c r="AH199" s="169" t="s">
        <v>1307</v>
      </c>
      <c r="AI199" s="169" t="s">
        <v>137</v>
      </c>
      <c r="AJ199" s="169" t="s">
        <v>1308</v>
      </c>
      <c r="AK199" s="189">
        <v>46233</v>
      </c>
      <c r="AL199" s="33"/>
      <c r="AM199" s="27"/>
      <c r="AN199" s="33"/>
      <c r="AO199" s="33"/>
      <c r="AP199" s="33"/>
    </row>
    <row r="200" spans="1:42" ht="15.75" customHeight="1">
      <c r="A200" s="33" t="s">
        <v>1309</v>
      </c>
      <c r="B200" s="33" t="s">
        <v>1310</v>
      </c>
      <c r="C200" s="33" t="s">
        <v>1311</v>
      </c>
      <c r="D200" s="23" t="s">
        <v>64</v>
      </c>
      <c r="E200" s="23" t="s">
        <v>23</v>
      </c>
      <c r="F200" s="199" t="s">
        <v>1312</v>
      </c>
      <c r="G200" s="33" t="s">
        <v>134</v>
      </c>
      <c r="H200" s="28">
        <v>33922</v>
      </c>
      <c r="I200" s="23">
        <f t="shared" ca="1" si="24"/>
        <v>34</v>
      </c>
      <c r="J200" s="23" t="s">
        <v>3</v>
      </c>
      <c r="K200" s="28">
        <v>46157</v>
      </c>
      <c r="L200" s="31">
        <v>171</v>
      </c>
      <c r="M200" s="31">
        <v>90</v>
      </c>
      <c r="N200" s="31">
        <f t="shared" si="25"/>
        <v>30.778701138811947</v>
      </c>
      <c r="O200" s="33">
        <v>128</v>
      </c>
      <c r="P200" s="33">
        <v>72</v>
      </c>
      <c r="Q200" s="31">
        <v>44</v>
      </c>
      <c r="R200" s="23" t="s">
        <v>4</v>
      </c>
      <c r="S200" s="33"/>
      <c r="T200" s="33">
        <v>105</v>
      </c>
      <c r="U200" s="33">
        <v>135</v>
      </c>
      <c r="V200" s="33">
        <v>316</v>
      </c>
      <c r="W200" s="33">
        <v>22</v>
      </c>
      <c r="X200" s="33">
        <v>35</v>
      </c>
      <c r="Y200" s="37">
        <v>8.3000000000000007</v>
      </c>
      <c r="Z200" s="23" t="s">
        <v>4</v>
      </c>
      <c r="AA200" s="33"/>
      <c r="AB200" s="23" t="s">
        <v>4</v>
      </c>
      <c r="AC200" s="33"/>
      <c r="AD200" s="23" t="s">
        <v>8</v>
      </c>
      <c r="AE200" s="33" t="s">
        <v>1313</v>
      </c>
      <c r="AF200" s="33"/>
      <c r="AG200" s="33"/>
      <c r="AH200" s="33" t="s">
        <v>1314</v>
      </c>
      <c r="AI200" s="33" t="s">
        <v>154</v>
      </c>
      <c r="AJ200" s="33" t="s">
        <v>1315</v>
      </c>
      <c r="AK200" s="187">
        <v>46237</v>
      </c>
      <c r="AL200" s="33"/>
      <c r="AM200" s="27"/>
      <c r="AN200" s="33"/>
      <c r="AO200" s="33"/>
      <c r="AP200" s="33"/>
    </row>
    <row r="201" spans="1:42" ht="15.75" customHeight="1">
      <c r="A201" s="169" t="s">
        <v>1316</v>
      </c>
      <c r="B201" s="169" t="s">
        <v>1317</v>
      </c>
      <c r="C201" s="169" t="s">
        <v>1318</v>
      </c>
      <c r="D201" s="50" t="s">
        <v>64</v>
      </c>
      <c r="E201" s="50" t="s">
        <v>23</v>
      </c>
      <c r="F201" s="193" t="s">
        <v>1319</v>
      </c>
      <c r="G201" s="169" t="s">
        <v>1175</v>
      </c>
      <c r="H201" s="52">
        <v>35772</v>
      </c>
      <c r="I201" s="50">
        <f t="shared" ca="1" si="24"/>
        <v>29</v>
      </c>
      <c r="J201" s="50" t="s">
        <v>3</v>
      </c>
      <c r="K201" s="52">
        <v>244319</v>
      </c>
      <c r="L201" s="53">
        <v>181</v>
      </c>
      <c r="M201" s="53">
        <v>72.5</v>
      </c>
      <c r="N201" s="53">
        <f t="shared" si="25"/>
        <v>22.12997161258814</v>
      </c>
      <c r="O201" s="169">
        <v>117</v>
      </c>
      <c r="P201" s="169">
        <v>62</v>
      </c>
      <c r="Q201" s="53">
        <v>45</v>
      </c>
      <c r="R201" s="50" t="s">
        <v>4</v>
      </c>
      <c r="S201" s="169"/>
      <c r="T201" s="169">
        <v>86</v>
      </c>
      <c r="U201" s="169">
        <v>56</v>
      </c>
      <c r="V201" s="169">
        <v>66</v>
      </c>
      <c r="W201" s="169">
        <v>25</v>
      </c>
      <c r="X201" s="169">
        <v>18</v>
      </c>
      <c r="Y201" s="54">
        <v>6.7</v>
      </c>
      <c r="Z201" s="50" t="s">
        <v>14</v>
      </c>
      <c r="AA201" s="169"/>
      <c r="AB201" s="50" t="s">
        <v>4</v>
      </c>
      <c r="AC201" s="169"/>
      <c r="AD201" s="50" t="s">
        <v>4</v>
      </c>
      <c r="AE201" s="169"/>
      <c r="AF201" s="169"/>
      <c r="AG201" s="169"/>
      <c r="AH201" s="169"/>
      <c r="AI201" s="169" t="s">
        <v>137</v>
      </c>
      <c r="AJ201" s="169" t="s">
        <v>231</v>
      </c>
      <c r="AK201" s="189">
        <v>46240</v>
      </c>
      <c r="AL201" s="33"/>
      <c r="AM201" s="27"/>
      <c r="AN201" s="33"/>
      <c r="AO201" s="33"/>
      <c r="AP201" s="33"/>
    </row>
    <row r="202" spans="1:42" ht="15.75" customHeight="1">
      <c r="A202" s="33"/>
      <c r="B202" s="33"/>
      <c r="C202" s="33"/>
      <c r="D202" s="33"/>
      <c r="E202" s="33"/>
      <c r="F202" s="199"/>
      <c r="G202" s="33"/>
      <c r="H202" s="28"/>
      <c r="I202" s="33"/>
      <c r="J202" s="23"/>
      <c r="K202" s="28"/>
      <c r="L202" s="31"/>
      <c r="M202" s="31"/>
      <c r="N202" s="33"/>
      <c r="O202" s="33"/>
      <c r="P202" s="33"/>
      <c r="Q202" s="31"/>
      <c r="R202" s="23"/>
      <c r="S202" s="33"/>
      <c r="T202" s="33"/>
      <c r="U202" s="33"/>
      <c r="V202" s="33"/>
      <c r="W202" s="33"/>
      <c r="X202" s="33"/>
      <c r="Y202" s="37"/>
      <c r="Z202" s="23"/>
      <c r="AA202" s="33"/>
      <c r="AB202" s="23"/>
      <c r="AC202" s="33"/>
      <c r="AD202" s="23"/>
      <c r="AE202" s="33"/>
      <c r="AF202" s="33"/>
      <c r="AG202" s="33"/>
      <c r="AH202" s="33"/>
      <c r="AI202" s="33"/>
      <c r="AJ202" s="33"/>
      <c r="AK202" s="33"/>
      <c r="AL202" s="33"/>
      <c r="AM202" s="27"/>
      <c r="AN202" s="33"/>
      <c r="AO202" s="33"/>
      <c r="AP202" s="33"/>
    </row>
    <row r="203" spans="1:42" ht="15.75" customHeight="1">
      <c r="A203" s="33"/>
      <c r="B203" s="33"/>
      <c r="C203" s="33"/>
      <c r="D203" s="33"/>
      <c r="E203" s="33"/>
      <c r="F203" s="199"/>
      <c r="G203" s="33"/>
      <c r="H203" s="28"/>
      <c r="I203" s="33"/>
      <c r="J203" s="23"/>
      <c r="K203" s="28"/>
      <c r="L203" s="31"/>
      <c r="M203" s="31"/>
      <c r="N203" s="33"/>
      <c r="O203" s="33"/>
      <c r="P203" s="33"/>
      <c r="Q203" s="31"/>
      <c r="R203" s="23"/>
      <c r="S203" s="33"/>
      <c r="T203" s="33"/>
      <c r="U203" s="33"/>
      <c r="V203" s="33"/>
      <c r="W203" s="33"/>
      <c r="X203" s="33"/>
      <c r="Y203" s="37"/>
      <c r="Z203" s="23"/>
      <c r="AA203" s="33"/>
      <c r="AB203" s="23"/>
      <c r="AC203" s="33"/>
      <c r="AD203" s="23"/>
      <c r="AE203" s="33"/>
      <c r="AF203" s="33"/>
      <c r="AG203" s="33"/>
      <c r="AH203" s="33"/>
      <c r="AI203" s="33"/>
      <c r="AJ203" s="33"/>
      <c r="AK203" s="33"/>
      <c r="AL203" s="33"/>
      <c r="AM203" s="27"/>
      <c r="AN203" s="33"/>
      <c r="AO203" s="33"/>
      <c r="AP203" s="33"/>
    </row>
    <row r="204" spans="1:42" ht="15.75" customHeight="1">
      <c r="A204" s="33"/>
      <c r="B204" s="33"/>
      <c r="C204" s="33"/>
      <c r="D204" s="33"/>
      <c r="E204" s="33"/>
      <c r="F204" s="199"/>
      <c r="G204" s="33"/>
      <c r="H204" s="28"/>
      <c r="I204" s="33"/>
      <c r="J204" s="23"/>
      <c r="K204" s="28"/>
      <c r="L204" s="31"/>
      <c r="M204" s="31"/>
      <c r="N204" s="33"/>
      <c r="O204" s="33"/>
      <c r="P204" s="33"/>
      <c r="Q204" s="31"/>
      <c r="R204" s="23"/>
      <c r="S204" s="33"/>
      <c r="T204" s="33"/>
      <c r="U204" s="33"/>
      <c r="V204" s="33"/>
      <c r="W204" s="33"/>
      <c r="X204" s="33"/>
      <c r="Y204" s="37"/>
      <c r="Z204" s="23"/>
      <c r="AA204" s="33"/>
      <c r="AB204" s="23"/>
      <c r="AC204" s="33"/>
      <c r="AD204" s="23"/>
      <c r="AE204" s="33"/>
      <c r="AF204" s="33"/>
      <c r="AG204" s="33"/>
      <c r="AH204" s="33"/>
      <c r="AI204" s="33"/>
      <c r="AJ204" s="33"/>
      <c r="AK204" s="33"/>
      <c r="AL204" s="33"/>
      <c r="AM204" s="27"/>
      <c r="AN204" s="33"/>
      <c r="AO204" s="33"/>
      <c r="AP204" s="33"/>
    </row>
    <row r="205" spans="1:42" ht="15.75" customHeight="1">
      <c r="A205" s="33"/>
      <c r="B205" s="33"/>
      <c r="C205" s="33"/>
      <c r="D205" s="33"/>
      <c r="E205" s="33"/>
      <c r="F205" s="199"/>
      <c r="G205" s="33"/>
      <c r="H205" s="28"/>
      <c r="I205" s="33"/>
      <c r="J205" s="23"/>
      <c r="K205" s="28"/>
      <c r="L205" s="31"/>
      <c r="M205" s="31"/>
      <c r="N205" s="33"/>
      <c r="O205" s="33"/>
      <c r="P205" s="33"/>
      <c r="Q205" s="31"/>
      <c r="R205" s="23"/>
      <c r="S205" s="33"/>
      <c r="T205" s="33"/>
      <c r="U205" s="33"/>
      <c r="V205" s="33"/>
      <c r="W205" s="33"/>
      <c r="X205" s="33"/>
      <c r="Y205" s="37"/>
      <c r="Z205" s="23"/>
      <c r="AA205" s="33"/>
      <c r="AB205" s="23"/>
      <c r="AC205" s="33"/>
      <c r="AD205" s="23"/>
      <c r="AE205" s="33"/>
      <c r="AF205" s="33"/>
      <c r="AG205" s="33"/>
      <c r="AH205" s="33"/>
      <c r="AI205" s="33"/>
      <c r="AJ205" s="33"/>
      <c r="AK205" s="33"/>
      <c r="AL205" s="33"/>
      <c r="AM205" s="27"/>
      <c r="AN205" s="33"/>
      <c r="AO205" s="33"/>
      <c r="AP205" s="33"/>
    </row>
    <row r="206" spans="1:42" ht="15.75" customHeight="1">
      <c r="A206" s="33"/>
      <c r="B206" s="33"/>
      <c r="C206" s="33"/>
      <c r="D206" s="33"/>
      <c r="E206" s="33"/>
      <c r="F206" s="199"/>
      <c r="G206" s="33"/>
      <c r="H206" s="28"/>
      <c r="I206" s="33"/>
      <c r="J206" s="23"/>
      <c r="K206" s="28"/>
      <c r="L206" s="31"/>
      <c r="M206" s="31"/>
      <c r="N206" s="33"/>
      <c r="O206" s="33"/>
      <c r="P206" s="33"/>
      <c r="Q206" s="31"/>
      <c r="R206" s="23"/>
      <c r="S206" s="33"/>
      <c r="T206" s="33"/>
      <c r="U206" s="33"/>
      <c r="V206" s="33"/>
      <c r="W206" s="33"/>
      <c r="X206" s="33"/>
      <c r="Y206" s="37"/>
      <c r="Z206" s="23"/>
      <c r="AA206" s="33"/>
      <c r="AB206" s="23"/>
      <c r="AC206" s="33"/>
      <c r="AD206" s="23"/>
      <c r="AE206" s="33"/>
      <c r="AF206" s="33"/>
      <c r="AG206" s="33"/>
      <c r="AH206" s="33"/>
      <c r="AI206" s="33"/>
      <c r="AJ206" s="33"/>
      <c r="AK206" s="33"/>
      <c r="AL206" s="33"/>
      <c r="AM206" s="27"/>
      <c r="AN206" s="33"/>
      <c r="AO206" s="33"/>
      <c r="AP206" s="33"/>
    </row>
    <row r="207" spans="1:42" ht="15.75" customHeight="1">
      <c r="A207" s="33"/>
      <c r="B207" s="33"/>
      <c r="C207" s="33"/>
      <c r="D207" s="33"/>
      <c r="E207" s="33"/>
      <c r="F207" s="199"/>
      <c r="G207" s="33"/>
      <c r="H207" s="28"/>
      <c r="I207" s="33"/>
      <c r="J207" s="23"/>
      <c r="K207" s="28"/>
      <c r="L207" s="31"/>
      <c r="M207" s="31"/>
      <c r="N207" s="33"/>
      <c r="O207" s="33"/>
      <c r="P207" s="33"/>
      <c r="Q207" s="31"/>
      <c r="R207" s="23"/>
      <c r="S207" s="33"/>
      <c r="T207" s="33"/>
      <c r="U207" s="33"/>
      <c r="V207" s="33"/>
      <c r="W207" s="33"/>
      <c r="X207" s="33"/>
      <c r="Y207" s="37"/>
      <c r="Z207" s="23"/>
      <c r="AA207" s="33"/>
      <c r="AB207" s="23"/>
      <c r="AC207" s="33"/>
      <c r="AD207" s="23"/>
      <c r="AE207" s="33"/>
      <c r="AF207" s="33"/>
      <c r="AG207" s="33"/>
      <c r="AH207" s="33"/>
      <c r="AI207" s="33"/>
      <c r="AJ207" s="33"/>
      <c r="AK207" s="33"/>
      <c r="AL207" s="33"/>
      <c r="AM207" s="27"/>
      <c r="AN207" s="33"/>
      <c r="AO207" s="33"/>
      <c r="AP207" s="33"/>
    </row>
    <row r="208" spans="1:42" ht="15.75" customHeight="1">
      <c r="A208" s="33"/>
      <c r="B208" s="33"/>
      <c r="C208" s="33"/>
      <c r="D208" s="33"/>
      <c r="E208" s="33"/>
      <c r="F208" s="199"/>
      <c r="G208" s="33"/>
      <c r="H208" s="28"/>
      <c r="I208" s="33"/>
      <c r="J208" s="23"/>
      <c r="K208" s="28"/>
      <c r="L208" s="31"/>
      <c r="M208" s="31"/>
      <c r="N208" s="33"/>
      <c r="O208" s="33"/>
      <c r="P208" s="33"/>
      <c r="Q208" s="31"/>
      <c r="R208" s="23"/>
      <c r="S208" s="33"/>
      <c r="T208" s="33"/>
      <c r="U208" s="33"/>
      <c r="V208" s="33"/>
      <c r="W208" s="33"/>
      <c r="X208" s="33"/>
      <c r="Y208" s="37"/>
      <c r="Z208" s="23"/>
      <c r="AA208" s="33"/>
      <c r="AB208" s="23"/>
      <c r="AC208" s="33"/>
      <c r="AD208" s="23"/>
      <c r="AE208" s="33"/>
      <c r="AF208" s="33"/>
      <c r="AG208" s="33"/>
      <c r="AH208" s="33"/>
      <c r="AI208" s="33"/>
      <c r="AJ208" s="33"/>
      <c r="AK208" s="33"/>
      <c r="AL208" s="33"/>
      <c r="AM208" s="27"/>
      <c r="AN208" s="33"/>
      <c r="AO208" s="33"/>
      <c r="AP208" s="33"/>
    </row>
    <row r="209" spans="1:42" ht="15.75" customHeight="1">
      <c r="A209" s="33"/>
      <c r="B209" s="33"/>
      <c r="C209" s="33"/>
      <c r="D209" s="33"/>
      <c r="E209" s="33"/>
      <c r="F209" s="199"/>
      <c r="G209" s="33"/>
      <c r="H209" s="28"/>
      <c r="I209" s="33"/>
      <c r="J209" s="23"/>
      <c r="K209" s="28"/>
      <c r="L209" s="31"/>
      <c r="M209" s="31"/>
      <c r="N209" s="33"/>
      <c r="O209" s="33"/>
      <c r="P209" s="33"/>
      <c r="Q209" s="31"/>
      <c r="R209" s="23"/>
      <c r="S209" s="33"/>
      <c r="T209" s="33"/>
      <c r="U209" s="33"/>
      <c r="V209" s="33"/>
      <c r="W209" s="33"/>
      <c r="X209" s="33"/>
      <c r="Y209" s="37"/>
      <c r="Z209" s="23"/>
      <c r="AA209" s="33"/>
      <c r="AB209" s="23"/>
      <c r="AC209" s="33"/>
      <c r="AD209" s="23"/>
      <c r="AE209" s="33"/>
      <c r="AF209" s="33"/>
      <c r="AG209" s="33"/>
      <c r="AH209" s="33"/>
      <c r="AI209" s="33"/>
      <c r="AJ209" s="33"/>
      <c r="AK209" s="33"/>
      <c r="AL209" s="33"/>
      <c r="AM209" s="27"/>
      <c r="AN209" s="33"/>
      <c r="AO209" s="33"/>
      <c r="AP209" s="33"/>
    </row>
    <row r="210" spans="1:42" ht="15.75" customHeight="1">
      <c r="A210" s="33"/>
      <c r="B210" s="33"/>
      <c r="C210" s="33"/>
      <c r="D210" s="33"/>
      <c r="E210" s="33"/>
      <c r="F210" s="199"/>
      <c r="G210" s="33"/>
      <c r="H210" s="28"/>
      <c r="I210" s="33"/>
      <c r="J210" s="23"/>
      <c r="K210" s="28"/>
      <c r="L210" s="31"/>
      <c r="M210" s="31"/>
      <c r="N210" s="33"/>
      <c r="O210" s="33"/>
      <c r="P210" s="33"/>
      <c r="Q210" s="31"/>
      <c r="R210" s="23"/>
      <c r="S210" s="33"/>
      <c r="T210" s="33"/>
      <c r="U210" s="33"/>
      <c r="V210" s="33"/>
      <c r="W210" s="33"/>
      <c r="X210" s="33"/>
      <c r="Y210" s="37"/>
      <c r="Z210" s="23"/>
      <c r="AA210" s="33"/>
      <c r="AB210" s="23"/>
      <c r="AC210" s="33"/>
      <c r="AD210" s="23"/>
      <c r="AE210" s="33"/>
      <c r="AF210" s="33"/>
      <c r="AG210" s="33"/>
      <c r="AH210" s="33"/>
      <c r="AI210" s="33"/>
      <c r="AJ210" s="33"/>
      <c r="AK210" s="33"/>
      <c r="AL210" s="33"/>
      <c r="AM210" s="27"/>
      <c r="AN210" s="33"/>
      <c r="AO210" s="33"/>
      <c r="AP210" s="33"/>
    </row>
    <row r="211" spans="1:42" ht="15.75" customHeight="1">
      <c r="A211" s="33"/>
      <c r="B211" s="33"/>
      <c r="C211" s="33"/>
      <c r="D211" s="33"/>
      <c r="E211" s="33"/>
      <c r="F211" s="199"/>
      <c r="G211" s="33"/>
      <c r="H211" s="28"/>
      <c r="I211" s="33"/>
      <c r="J211" s="23"/>
      <c r="K211" s="28"/>
      <c r="L211" s="31"/>
      <c r="M211" s="31"/>
      <c r="N211" s="33"/>
      <c r="O211" s="33"/>
      <c r="P211" s="33"/>
      <c r="Q211" s="31"/>
      <c r="R211" s="23"/>
      <c r="S211" s="33"/>
      <c r="T211" s="33"/>
      <c r="U211" s="33"/>
      <c r="V211" s="33"/>
      <c r="W211" s="33"/>
      <c r="X211" s="33"/>
      <c r="Y211" s="37"/>
      <c r="Z211" s="23"/>
      <c r="AA211" s="33"/>
      <c r="AB211" s="23"/>
      <c r="AC211" s="33"/>
      <c r="AD211" s="23"/>
      <c r="AE211" s="33"/>
      <c r="AF211" s="33"/>
      <c r="AG211" s="33"/>
      <c r="AH211" s="33"/>
      <c r="AI211" s="33"/>
      <c r="AJ211" s="33"/>
      <c r="AK211" s="33"/>
      <c r="AL211" s="33"/>
      <c r="AM211" s="27"/>
      <c r="AN211" s="33"/>
      <c r="AO211" s="33"/>
      <c r="AP211" s="33"/>
    </row>
    <row r="212" spans="1:42" ht="15.75" customHeight="1">
      <c r="A212" s="33"/>
      <c r="B212" s="33"/>
      <c r="C212" s="33"/>
      <c r="D212" s="33"/>
      <c r="E212" s="33"/>
      <c r="F212" s="199"/>
      <c r="G212" s="33"/>
      <c r="H212" s="28"/>
      <c r="I212" s="33"/>
      <c r="J212" s="23"/>
      <c r="K212" s="28"/>
      <c r="L212" s="31"/>
      <c r="M212" s="31"/>
      <c r="N212" s="33"/>
      <c r="O212" s="33"/>
      <c r="P212" s="33"/>
      <c r="Q212" s="31"/>
      <c r="R212" s="23"/>
      <c r="S212" s="33"/>
      <c r="T212" s="33"/>
      <c r="U212" s="33"/>
      <c r="V212" s="33"/>
      <c r="W212" s="33"/>
      <c r="X212" s="33"/>
      <c r="Y212" s="37"/>
      <c r="Z212" s="23"/>
      <c r="AA212" s="33"/>
      <c r="AB212" s="23"/>
      <c r="AC212" s="33"/>
      <c r="AD212" s="23"/>
      <c r="AE212" s="33"/>
      <c r="AF212" s="33"/>
      <c r="AG212" s="33"/>
      <c r="AH212" s="33"/>
      <c r="AI212" s="33"/>
      <c r="AJ212" s="33"/>
      <c r="AK212" s="33"/>
      <c r="AL212" s="33"/>
      <c r="AM212" s="27"/>
      <c r="AN212" s="33"/>
      <c r="AO212" s="33"/>
      <c r="AP212" s="33"/>
    </row>
    <row r="213" spans="1:42" ht="15.75" customHeight="1">
      <c r="A213" s="33"/>
      <c r="B213" s="33"/>
      <c r="C213" s="33"/>
      <c r="D213" s="33"/>
      <c r="E213" s="33"/>
      <c r="F213" s="199"/>
      <c r="G213" s="33"/>
      <c r="H213" s="28"/>
      <c r="I213" s="33"/>
      <c r="J213" s="23"/>
      <c r="K213" s="28"/>
      <c r="L213" s="31"/>
      <c r="M213" s="31"/>
      <c r="N213" s="33"/>
      <c r="O213" s="33"/>
      <c r="P213" s="33"/>
      <c r="Q213" s="31"/>
      <c r="R213" s="23"/>
      <c r="S213" s="33"/>
      <c r="T213" s="33"/>
      <c r="U213" s="33"/>
      <c r="V213" s="33"/>
      <c r="W213" s="33"/>
      <c r="X213" s="33"/>
      <c r="Y213" s="37"/>
      <c r="Z213" s="23"/>
      <c r="AA213" s="33"/>
      <c r="AB213" s="23"/>
      <c r="AC213" s="33"/>
      <c r="AD213" s="23"/>
      <c r="AE213" s="33"/>
      <c r="AF213" s="33"/>
      <c r="AG213" s="33"/>
      <c r="AH213" s="33"/>
      <c r="AI213" s="33"/>
      <c r="AJ213" s="33"/>
      <c r="AK213" s="33"/>
      <c r="AL213" s="33"/>
      <c r="AM213" s="27"/>
      <c r="AN213" s="33"/>
      <c r="AO213" s="33"/>
      <c r="AP213" s="33"/>
    </row>
    <row r="214" spans="1:42" ht="15.75" customHeight="1">
      <c r="A214" s="33"/>
      <c r="B214" s="33"/>
      <c r="C214" s="33"/>
      <c r="D214" s="33"/>
      <c r="E214" s="33"/>
      <c r="F214" s="199"/>
      <c r="G214" s="33"/>
      <c r="H214" s="28"/>
      <c r="I214" s="33"/>
      <c r="J214" s="23"/>
      <c r="K214" s="28"/>
      <c r="L214" s="31"/>
      <c r="M214" s="31"/>
      <c r="N214" s="33"/>
      <c r="O214" s="33"/>
      <c r="P214" s="33"/>
      <c r="Q214" s="31"/>
      <c r="R214" s="23"/>
      <c r="S214" s="33"/>
      <c r="T214" s="33"/>
      <c r="U214" s="33"/>
      <c r="V214" s="33"/>
      <c r="W214" s="33"/>
      <c r="X214" s="33"/>
      <c r="Y214" s="37"/>
      <c r="Z214" s="23"/>
      <c r="AA214" s="33"/>
      <c r="AB214" s="23"/>
      <c r="AC214" s="33"/>
      <c r="AD214" s="23"/>
      <c r="AE214" s="33"/>
      <c r="AF214" s="33"/>
      <c r="AG214" s="33"/>
      <c r="AH214" s="33"/>
      <c r="AI214" s="33"/>
      <c r="AJ214" s="33"/>
      <c r="AK214" s="33"/>
      <c r="AL214" s="33"/>
      <c r="AM214" s="27"/>
      <c r="AN214" s="33"/>
      <c r="AO214" s="33"/>
      <c r="AP214" s="33"/>
    </row>
    <row r="215" spans="1:42" ht="15.75" customHeight="1">
      <c r="A215" s="33"/>
      <c r="B215" s="33"/>
      <c r="C215" s="33"/>
      <c r="D215" s="33"/>
      <c r="E215" s="33"/>
      <c r="F215" s="199"/>
      <c r="G215" s="33"/>
      <c r="H215" s="28"/>
      <c r="I215" s="33"/>
      <c r="J215" s="23"/>
      <c r="K215" s="28"/>
      <c r="L215" s="31"/>
      <c r="M215" s="31"/>
      <c r="N215" s="33"/>
      <c r="O215" s="33"/>
      <c r="P215" s="33"/>
      <c r="Q215" s="31"/>
      <c r="R215" s="23"/>
      <c r="S215" s="33"/>
      <c r="T215" s="33"/>
      <c r="U215" s="33"/>
      <c r="V215" s="33"/>
      <c r="W215" s="33"/>
      <c r="X215" s="33"/>
      <c r="Y215" s="37"/>
      <c r="Z215" s="23"/>
      <c r="AA215" s="33"/>
      <c r="AB215" s="23"/>
      <c r="AC215" s="33"/>
      <c r="AD215" s="23"/>
      <c r="AE215" s="33"/>
      <c r="AF215" s="33"/>
      <c r="AG215" s="33"/>
      <c r="AH215" s="33"/>
      <c r="AI215" s="33"/>
      <c r="AJ215" s="33"/>
      <c r="AK215" s="33"/>
      <c r="AL215" s="33"/>
      <c r="AM215" s="27"/>
      <c r="AN215" s="33"/>
      <c r="AO215" s="33"/>
      <c r="AP215" s="33"/>
    </row>
    <row r="216" spans="1:42" ht="15.75" customHeight="1">
      <c r="A216" s="33"/>
      <c r="B216" s="33"/>
      <c r="C216" s="33"/>
      <c r="D216" s="33"/>
      <c r="E216" s="33"/>
      <c r="F216" s="199"/>
      <c r="G216" s="33"/>
      <c r="H216" s="28"/>
      <c r="I216" s="33"/>
      <c r="J216" s="23"/>
      <c r="K216" s="28"/>
      <c r="L216" s="31"/>
      <c r="M216" s="31"/>
      <c r="N216" s="33"/>
      <c r="O216" s="33"/>
      <c r="P216" s="33"/>
      <c r="Q216" s="31"/>
      <c r="R216" s="23"/>
      <c r="S216" s="33"/>
      <c r="T216" s="33"/>
      <c r="U216" s="33"/>
      <c r="V216" s="33"/>
      <c r="W216" s="33"/>
      <c r="X216" s="33"/>
      <c r="Y216" s="37"/>
      <c r="Z216" s="23"/>
      <c r="AA216" s="33"/>
      <c r="AB216" s="23"/>
      <c r="AC216" s="33"/>
      <c r="AD216" s="23"/>
      <c r="AE216" s="33"/>
      <c r="AF216" s="33"/>
      <c r="AG216" s="33"/>
      <c r="AH216" s="33"/>
      <c r="AI216" s="33"/>
      <c r="AJ216" s="33"/>
      <c r="AK216" s="33"/>
      <c r="AL216" s="33"/>
      <c r="AM216" s="27"/>
      <c r="AN216" s="33"/>
      <c r="AO216" s="33"/>
      <c r="AP216" s="33"/>
    </row>
    <row r="217" spans="1:42" ht="15.75" customHeight="1">
      <c r="A217" s="33"/>
      <c r="B217" s="33"/>
      <c r="C217" s="33"/>
      <c r="D217" s="33"/>
      <c r="E217" s="33"/>
      <c r="F217" s="199"/>
      <c r="G217" s="33"/>
      <c r="H217" s="28"/>
      <c r="I217" s="33"/>
      <c r="J217" s="23"/>
      <c r="K217" s="28"/>
      <c r="L217" s="31"/>
      <c r="M217" s="31"/>
      <c r="N217" s="33"/>
      <c r="O217" s="33"/>
      <c r="P217" s="33"/>
      <c r="Q217" s="31"/>
      <c r="R217" s="23"/>
      <c r="S217" s="33"/>
      <c r="T217" s="33"/>
      <c r="U217" s="33"/>
      <c r="V217" s="33"/>
      <c r="W217" s="33"/>
      <c r="X217" s="33"/>
      <c r="Y217" s="37"/>
      <c r="Z217" s="23"/>
      <c r="AA217" s="33"/>
      <c r="AB217" s="23"/>
      <c r="AC217" s="33"/>
      <c r="AD217" s="23"/>
      <c r="AE217" s="33"/>
      <c r="AF217" s="33"/>
      <c r="AG217" s="33"/>
      <c r="AH217" s="33"/>
      <c r="AI217" s="33"/>
      <c r="AJ217" s="33"/>
      <c r="AK217" s="33"/>
      <c r="AL217" s="33"/>
      <c r="AM217" s="27"/>
      <c r="AN217" s="33"/>
      <c r="AO217" s="33"/>
      <c r="AP217" s="33"/>
    </row>
    <row r="218" spans="1:42" ht="15.75" customHeight="1">
      <c r="A218" s="33"/>
      <c r="B218" s="33"/>
      <c r="C218" s="33"/>
      <c r="D218" s="33"/>
      <c r="E218" s="33"/>
      <c r="F218" s="199"/>
      <c r="G218" s="33"/>
      <c r="H218" s="28"/>
      <c r="I218" s="33"/>
      <c r="J218" s="23"/>
      <c r="K218" s="28"/>
      <c r="L218" s="31"/>
      <c r="M218" s="31"/>
      <c r="N218" s="33"/>
      <c r="O218" s="33"/>
      <c r="P218" s="33"/>
      <c r="Q218" s="31"/>
      <c r="R218" s="23"/>
      <c r="S218" s="33"/>
      <c r="T218" s="33"/>
      <c r="U218" s="33"/>
      <c r="V218" s="33"/>
      <c r="W218" s="33"/>
      <c r="X218" s="33"/>
      <c r="Y218" s="37"/>
      <c r="Z218" s="23"/>
      <c r="AA218" s="33"/>
      <c r="AB218" s="23"/>
      <c r="AC218" s="33"/>
      <c r="AD218" s="23"/>
      <c r="AE218" s="33"/>
      <c r="AF218" s="33"/>
      <c r="AG218" s="33"/>
      <c r="AH218" s="33"/>
      <c r="AI218" s="33"/>
      <c r="AJ218" s="33"/>
      <c r="AK218" s="33"/>
      <c r="AL218" s="33"/>
      <c r="AM218" s="27"/>
      <c r="AN218" s="33"/>
      <c r="AO218" s="33"/>
      <c r="AP218" s="33"/>
    </row>
    <row r="219" spans="1:42" ht="15.75" customHeight="1">
      <c r="A219" s="33"/>
      <c r="B219" s="33"/>
      <c r="C219" s="33"/>
      <c r="D219" s="33"/>
      <c r="E219" s="33"/>
      <c r="F219" s="199"/>
      <c r="G219" s="33"/>
      <c r="H219" s="28"/>
      <c r="I219" s="33"/>
      <c r="J219" s="23"/>
      <c r="K219" s="28"/>
      <c r="L219" s="31"/>
      <c r="M219" s="31"/>
      <c r="N219" s="33"/>
      <c r="O219" s="33"/>
      <c r="P219" s="33"/>
      <c r="Q219" s="31"/>
      <c r="R219" s="23"/>
      <c r="S219" s="33"/>
      <c r="T219" s="33"/>
      <c r="U219" s="33"/>
      <c r="V219" s="33"/>
      <c r="W219" s="33"/>
      <c r="X219" s="33"/>
      <c r="Y219" s="37"/>
      <c r="Z219" s="23"/>
      <c r="AA219" s="33"/>
      <c r="AB219" s="23"/>
      <c r="AC219" s="33"/>
      <c r="AD219" s="23"/>
      <c r="AE219" s="33"/>
      <c r="AF219" s="33"/>
      <c r="AG219" s="33"/>
      <c r="AH219" s="33"/>
      <c r="AI219" s="33"/>
      <c r="AJ219" s="33"/>
      <c r="AK219" s="33"/>
      <c r="AL219" s="33"/>
      <c r="AM219" s="27"/>
      <c r="AN219" s="33"/>
      <c r="AO219" s="33"/>
      <c r="AP219" s="33"/>
    </row>
    <row r="220" spans="1:42" ht="15.75" customHeight="1">
      <c r="A220" s="33"/>
      <c r="B220" s="33"/>
      <c r="C220" s="33"/>
      <c r="D220" s="33"/>
      <c r="E220" s="33"/>
      <c r="F220" s="199"/>
      <c r="G220" s="33"/>
      <c r="H220" s="28"/>
      <c r="I220" s="33"/>
      <c r="J220" s="23"/>
      <c r="K220" s="28"/>
      <c r="L220" s="31"/>
      <c r="M220" s="31"/>
      <c r="N220" s="33"/>
      <c r="O220" s="33"/>
      <c r="P220" s="33"/>
      <c r="Q220" s="31"/>
      <c r="R220" s="23"/>
      <c r="S220" s="33"/>
      <c r="T220" s="33"/>
      <c r="U220" s="33"/>
      <c r="V220" s="33"/>
      <c r="W220" s="33"/>
      <c r="X220" s="33"/>
      <c r="Y220" s="37"/>
      <c r="Z220" s="23"/>
      <c r="AA220" s="33"/>
      <c r="AB220" s="23"/>
      <c r="AC220" s="33"/>
      <c r="AD220" s="23"/>
      <c r="AE220" s="33"/>
      <c r="AF220" s="33"/>
      <c r="AG220" s="33"/>
      <c r="AH220" s="33"/>
      <c r="AI220" s="33"/>
      <c r="AJ220" s="33"/>
      <c r="AK220" s="33"/>
      <c r="AL220" s="33"/>
      <c r="AM220" s="27"/>
      <c r="AN220" s="33"/>
      <c r="AO220" s="33"/>
      <c r="AP220" s="33"/>
    </row>
    <row r="221" spans="1:42" ht="15.75" customHeight="1">
      <c r="A221" s="33"/>
      <c r="B221" s="33"/>
      <c r="C221" s="33"/>
      <c r="D221" s="33"/>
      <c r="E221" s="33"/>
      <c r="F221" s="199"/>
      <c r="G221" s="33"/>
      <c r="H221" s="28"/>
      <c r="I221" s="33"/>
      <c r="J221" s="23"/>
      <c r="K221" s="28"/>
      <c r="L221" s="31"/>
      <c r="M221" s="31"/>
      <c r="N221" s="33"/>
      <c r="O221" s="33"/>
      <c r="P221" s="33"/>
      <c r="Q221" s="31"/>
      <c r="R221" s="23"/>
      <c r="S221" s="33"/>
      <c r="T221" s="33"/>
      <c r="U221" s="33"/>
      <c r="V221" s="33"/>
      <c r="W221" s="33"/>
      <c r="X221" s="33"/>
      <c r="Y221" s="37"/>
      <c r="Z221" s="23"/>
      <c r="AA221" s="33"/>
      <c r="AB221" s="23"/>
      <c r="AC221" s="33"/>
      <c r="AD221" s="23"/>
      <c r="AE221" s="33"/>
      <c r="AF221" s="33"/>
      <c r="AG221" s="33"/>
      <c r="AH221" s="33"/>
      <c r="AI221" s="33"/>
      <c r="AJ221" s="33"/>
      <c r="AK221" s="33"/>
      <c r="AL221" s="33"/>
      <c r="AM221" s="27"/>
      <c r="AN221" s="33"/>
      <c r="AO221" s="33"/>
      <c r="AP221" s="33"/>
    </row>
    <row r="222" spans="1:42" ht="15.75" customHeight="1">
      <c r="A222" s="33"/>
      <c r="B222" s="33"/>
      <c r="C222" s="33"/>
      <c r="D222" s="33"/>
      <c r="E222" s="33"/>
      <c r="F222" s="199"/>
      <c r="G222" s="33"/>
      <c r="H222" s="28"/>
      <c r="I222" s="33"/>
      <c r="J222" s="23"/>
      <c r="K222" s="28"/>
      <c r="L222" s="31"/>
      <c r="M222" s="31"/>
      <c r="N222" s="33"/>
      <c r="O222" s="33"/>
      <c r="P222" s="33"/>
      <c r="Q222" s="31"/>
      <c r="R222" s="23"/>
      <c r="S222" s="33"/>
      <c r="T222" s="33"/>
      <c r="U222" s="33"/>
      <c r="V222" s="33"/>
      <c r="W222" s="33"/>
      <c r="X222" s="33"/>
      <c r="Y222" s="37"/>
      <c r="Z222" s="23"/>
      <c r="AA222" s="33"/>
      <c r="AB222" s="23"/>
      <c r="AC222" s="33"/>
      <c r="AD222" s="23"/>
      <c r="AE222" s="33"/>
      <c r="AF222" s="33"/>
      <c r="AG222" s="33"/>
      <c r="AH222" s="33"/>
      <c r="AI222" s="33"/>
      <c r="AJ222" s="33"/>
      <c r="AK222" s="33"/>
      <c r="AL222" s="33"/>
      <c r="AM222" s="27"/>
      <c r="AN222" s="33"/>
      <c r="AO222" s="33"/>
      <c r="AP222" s="33"/>
    </row>
    <row r="223" spans="1:42" ht="15.75" customHeight="1">
      <c r="A223" s="33"/>
      <c r="B223" s="33"/>
      <c r="C223" s="33"/>
      <c r="D223" s="33"/>
      <c r="E223" s="33"/>
      <c r="F223" s="199"/>
      <c r="G223" s="33"/>
      <c r="H223" s="28"/>
      <c r="I223" s="33"/>
      <c r="J223" s="23"/>
      <c r="K223" s="28"/>
      <c r="L223" s="31"/>
      <c r="M223" s="31"/>
      <c r="N223" s="33"/>
      <c r="O223" s="33"/>
      <c r="P223" s="33"/>
      <c r="Q223" s="31"/>
      <c r="R223" s="23"/>
      <c r="S223" s="33"/>
      <c r="T223" s="33"/>
      <c r="U223" s="33"/>
      <c r="V223" s="33"/>
      <c r="W223" s="33"/>
      <c r="X223" s="33"/>
      <c r="Y223" s="37"/>
      <c r="Z223" s="23"/>
      <c r="AA223" s="33"/>
      <c r="AB223" s="23"/>
      <c r="AC223" s="33"/>
      <c r="AD223" s="23"/>
      <c r="AE223" s="33"/>
      <c r="AF223" s="33"/>
      <c r="AG223" s="33"/>
      <c r="AH223" s="33"/>
      <c r="AI223" s="33"/>
      <c r="AJ223" s="33"/>
      <c r="AK223" s="33"/>
      <c r="AL223" s="33"/>
      <c r="AM223" s="27"/>
      <c r="AN223" s="33"/>
      <c r="AO223" s="33"/>
      <c r="AP223" s="33"/>
    </row>
    <row r="224" spans="1:42" ht="15.75" customHeight="1">
      <c r="A224" s="33"/>
      <c r="B224" s="33"/>
      <c r="C224" s="33"/>
      <c r="D224" s="33"/>
      <c r="E224" s="33"/>
      <c r="F224" s="199"/>
      <c r="G224" s="33"/>
      <c r="H224" s="28"/>
      <c r="I224" s="33"/>
      <c r="J224" s="23"/>
      <c r="K224" s="28"/>
      <c r="L224" s="31"/>
      <c r="M224" s="31"/>
      <c r="N224" s="33"/>
      <c r="O224" s="33"/>
      <c r="P224" s="33"/>
      <c r="Q224" s="31"/>
      <c r="R224" s="23"/>
      <c r="S224" s="33"/>
      <c r="T224" s="33"/>
      <c r="U224" s="33"/>
      <c r="V224" s="33"/>
      <c r="W224" s="33"/>
      <c r="X224" s="33"/>
      <c r="Y224" s="37"/>
      <c r="Z224" s="23"/>
      <c r="AA224" s="33"/>
      <c r="AB224" s="23"/>
      <c r="AC224" s="33"/>
      <c r="AD224" s="23"/>
      <c r="AE224" s="33"/>
      <c r="AF224" s="33"/>
      <c r="AG224" s="33"/>
      <c r="AH224" s="33"/>
      <c r="AI224" s="33"/>
      <c r="AJ224" s="33"/>
      <c r="AK224" s="33"/>
      <c r="AL224" s="33"/>
      <c r="AM224" s="27"/>
      <c r="AN224" s="33"/>
      <c r="AO224" s="33"/>
      <c r="AP224" s="33"/>
    </row>
    <row r="225" spans="1:42" ht="15.75" customHeight="1">
      <c r="A225" s="33"/>
      <c r="B225" s="33"/>
      <c r="C225" s="33"/>
      <c r="D225" s="33"/>
      <c r="E225" s="33"/>
      <c r="F225" s="199"/>
      <c r="G225" s="33"/>
      <c r="H225" s="28"/>
      <c r="I225" s="33"/>
      <c r="J225" s="23"/>
      <c r="K225" s="28"/>
      <c r="L225" s="31"/>
      <c r="M225" s="31"/>
      <c r="N225" s="33"/>
      <c r="O225" s="33"/>
      <c r="P225" s="33"/>
      <c r="Q225" s="31"/>
      <c r="R225" s="23"/>
      <c r="S225" s="33"/>
      <c r="T225" s="33"/>
      <c r="U225" s="33"/>
      <c r="V225" s="33"/>
      <c r="W225" s="33"/>
      <c r="X225" s="33"/>
      <c r="Y225" s="37"/>
      <c r="Z225" s="23"/>
      <c r="AA225" s="33"/>
      <c r="AB225" s="23"/>
      <c r="AC225" s="33"/>
      <c r="AD225" s="23"/>
      <c r="AE225" s="33"/>
      <c r="AF225" s="33"/>
      <c r="AG225" s="33"/>
      <c r="AH225" s="33"/>
      <c r="AI225" s="33"/>
      <c r="AJ225" s="33"/>
      <c r="AK225" s="33"/>
      <c r="AL225" s="33"/>
      <c r="AM225" s="27"/>
      <c r="AN225" s="33"/>
      <c r="AO225" s="33"/>
      <c r="AP225" s="33"/>
    </row>
    <row r="226" spans="1:42" ht="15.75" customHeight="1">
      <c r="A226" s="33"/>
      <c r="B226" s="33"/>
      <c r="C226" s="33"/>
      <c r="D226" s="33"/>
      <c r="E226" s="33"/>
      <c r="F226" s="199"/>
      <c r="G226" s="33"/>
      <c r="H226" s="28"/>
      <c r="I226" s="33"/>
      <c r="J226" s="23"/>
      <c r="K226" s="28"/>
      <c r="L226" s="31"/>
      <c r="M226" s="31"/>
      <c r="N226" s="33"/>
      <c r="O226" s="33"/>
      <c r="P226" s="33"/>
      <c r="Q226" s="31"/>
      <c r="R226" s="23"/>
      <c r="S226" s="33"/>
      <c r="T226" s="33"/>
      <c r="U226" s="33"/>
      <c r="V226" s="33"/>
      <c r="W226" s="33"/>
      <c r="X226" s="33"/>
      <c r="Y226" s="37"/>
      <c r="Z226" s="23"/>
      <c r="AA226" s="33"/>
      <c r="AB226" s="23"/>
      <c r="AC226" s="33"/>
      <c r="AD226" s="23"/>
      <c r="AE226" s="33"/>
      <c r="AF226" s="33"/>
      <c r="AG226" s="33"/>
      <c r="AH226" s="33"/>
      <c r="AI226" s="33"/>
      <c r="AJ226" s="33"/>
      <c r="AK226" s="33"/>
      <c r="AL226" s="33"/>
      <c r="AM226" s="27"/>
      <c r="AN226" s="33"/>
      <c r="AO226" s="33"/>
      <c r="AP226" s="33"/>
    </row>
    <row r="227" spans="1:42" ht="15.75" customHeight="1">
      <c r="A227" s="33"/>
      <c r="B227" s="33"/>
      <c r="C227" s="33"/>
      <c r="D227" s="33"/>
      <c r="E227" s="33"/>
      <c r="F227" s="199"/>
      <c r="G227" s="33"/>
      <c r="H227" s="28"/>
      <c r="I227" s="33"/>
      <c r="J227" s="23"/>
      <c r="K227" s="28"/>
      <c r="L227" s="31"/>
      <c r="M227" s="31"/>
      <c r="N227" s="33"/>
      <c r="O227" s="33"/>
      <c r="P227" s="33"/>
      <c r="Q227" s="31"/>
      <c r="R227" s="23"/>
      <c r="S227" s="33"/>
      <c r="T227" s="33"/>
      <c r="U227" s="33"/>
      <c r="V227" s="33"/>
      <c r="W227" s="33"/>
      <c r="X227" s="33"/>
      <c r="Y227" s="37"/>
      <c r="Z227" s="23"/>
      <c r="AA227" s="33"/>
      <c r="AB227" s="23"/>
      <c r="AC227" s="33"/>
      <c r="AD227" s="23"/>
      <c r="AE227" s="33"/>
      <c r="AF227" s="33"/>
      <c r="AG227" s="33"/>
      <c r="AH227" s="33"/>
      <c r="AI227" s="33"/>
      <c r="AJ227" s="33"/>
      <c r="AK227" s="33"/>
      <c r="AL227" s="33"/>
      <c r="AM227" s="27"/>
      <c r="AN227" s="33"/>
      <c r="AO227" s="33"/>
      <c r="AP227" s="33"/>
    </row>
    <row r="228" spans="1:42" ht="15.75" customHeight="1">
      <c r="A228" s="33"/>
      <c r="B228" s="33"/>
      <c r="C228" s="33"/>
      <c r="D228" s="33"/>
      <c r="E228" s="33"/>
      <c r="F228" s="199"/>
      <c r="G228" s="33"/>
      <c r="H228" s="28"/>
      <c r="I228" s="33"/>
      <c r="J228" s="23"/>
      <c r="K228" s="28"/>
      <c r="L228" s="31"/>
      <c r="M228" s="31"/>
      <c r="N228" s="33"/>
      <c r="O228" s="33"/>
      <c r="P228" s="33"/>
      <c r="Q228" s="31"/>
      <c r="R228" s="23"/>
      <c r="S228" s="33"/>
      <c r="T228" s="33"/>
      <c r="U228" s="33"/>
      <c r="V228" s="33"/>
      <c r="W228" s="33"/>
      <c r="X228" s="33"/>
      <c r="Y228" s="37"/>
      <c r="Z228" s="23"/>
      <c r="AA228" s="33"/>
      <c r="AB228" s="23"/>
      <c r="AC228" s="33"/>
      <c r="AD228" s="23"/>
      <c r="AE228" s="33"/>
      <c r="AF228" s="33"/>
      <c r="AG228" s="33"/>
      <c r="AH228" s="33"/>
      <c r="AI228" s="33"/>
      <c r="AJ228" s="33"/>
      <c r="AK228" s="33"/>
      <c r="AL228" s="33"/>
      <c r="AM228" s="216"/>
      <c r="AN228" s="33"/>
      <c r="AO228" s="33"/>
      <c r="AP228" s="33"/>
    </row>
    <row r="229" spans="1:42" ht="15.75" customHeight="1">
      <c r="A229" s="33"/>
      <c r="B229" s="33"/>
      <c r="C229" s="33"/>
      <c r="D229" s="33"/>
      <c r="E229" s="33"/>
      <c r="F229" s="199"/>
      <c r="G229" s="33"/>
      <c r="H229" s="28"/>
      <c r="I229" s="33"/>
      <c r="J229" s="23"/>
      <c r="K229" s="28"/>
      <c r="L229" s="31"/>
      <c r="M229" s="31"/>
      <c r="N229" s="33"/>
      <c r="O229" s="33"/>
      <c r="P229" s="33"/>
      <c r="Q229" s="31"/>
      <c r="R229" s="23"/>
      <c r="S229" s="33"/>
      <c r="T229" s="33"/>
      <c r="U229" s="33"/>
      <c r="V229" s="33"/>
      <c r="W229" s="33"/>
      <c r="X229" s="33"/>
      <c r="Y229" s="37"/>
      <c r="Z229" s="23"/>
      <c r="AA229" s="33"/>
      <c r="AB229" s="23"/>
      <c r="AC229" s="33"/>
      <c r="AD229" s="23"/>
      <c r="AE229" s="33"/>
      <c r="AF229" s="33"/>
      <c r="AG229" s="33"/>
      <c r="AH229" s="33"/>
      <c r="AI229" s="33"/>
      <c r="AJ229" s="33"/>
      <c r="AK229" s="33"/>
      <c r="AL229" s="33"/>
      <c r="AM229" s="216"/>
      <c r="AN229" s="33"/>
      <c r="AO229" s="33"/>
      <c r="AP229" s="33"/>
    </row>
    <row r="230" spans="1:42" ht="15.75" customHeight="1">
      <c r="A230" s="33"/>
      <c r="B230" s="33"/>
      <c r="C230" s="33"/>
      <c r="D230" s="33"/>
      <c r="E230" s="33"/>
      <c r="F230" s="199"/>
      <c r="G230" s="33"/>
      <c r="H230" s="28"/>
      <c r="I230" s="33"/>
      <c r="J230" s="23"/>
      <c r="K230" s="28"/>
      <c r="L230" s="31"/>
      <c r="M230" s="31"/>
      <c r="N230" s="33"/>
      <c r="O230" s="33"/>
      <c r="P230" s="33"/>
      <c r="Q230" s="31"/>
      <c r="R230" s="23"/>
      <c r="S230" s="33"/>
      <c r="T230" s="33"/>
      <c r="U230" s="33"/>
      <c r="V230" s="33"/>
      <c r="W230" s="33"/>
      <c r="X230" s="33"/>
      <c r="Y230" s="37"/>
      <c r="Z230" s="23"/>
      <c r="AA230" s="33"/>
      <c r="AB230" s="23"/>
      <c r="AC230" s="33"/>
      <c r="AD230" s="23"/>
      <c r="AE230" s="33"/>
      <c r="AF230" s="33"/>
      <c r="AG230" s="33"/>
      <c r="AH230" s="33"/>
      <c r="AI230" s="33"/>
      <c r="AJ230" s="33"/>
      <c r="AK230" s="33"/>
      <c r="AL230" s="33"/>
      <c r="AM230" s="216"/>
      <c r="AN230" s="33"/>
      <c r="AO230" s="33"/>
      <c r="AP230" s="33"/>
    </row>
    <row r="231" spans="1:42" ht="15.75" customHeight="1">
      <c r="A231" s="33"/>
      <c r="B231" s="33"/>
      <c r="C231" s="33"/>
      <c r="D231" s="33"/>
      <c r="E231" s="33"/>
      <c r="F231" s="199"/>
      <c r="G231" s="33"/>
      <c r="H231" s="28"/>
      <c r="I231" s="33"/>
      <c r="J231" s="23"/>
      <c r="K231" s="28"/>
      <c r="L231" s="31"/>
      <c r="M231" s="31"/>
      <c r="N231" s="33"/>
      <c r="O231" s="33"/>
      <c r="P231" s="33"/>
      <c r="Q231" s="31"/>
      <c r="R231" s="23"/>
      <c r="S231" s="33"/>
      <c r="T231" s="33"/>
      <c r="U231" s="33"/>
      <c r="V231" s="33"/>
      <c r="W231" s="33"/>
      <c r="X231" s="33"/>
      <c r="Y231" s="37"/>
      <c r="Z231" s="23"/>
      <c r="AA231" s="33"/>
      <c r="AB231" s="23"/>
      <c r="AC231" s="33"/>
      <c r="AD231" s="23"/>
      <c r="AE231" s="33"/>
      <c r="AF231" s="33"/>
      <c r="AG231" s="33"/>
      <c r="AH231" s="33"/>
      <c r="AI231" s="33"/>
      <c r="AJ231" s="33"/>
      <c r="AK231" s="33"/>
      <c r="AL231" s="33"/>
      <c r="AM231" s="216"/>
      <c r="AN231" s="33"/>
      <c r="AO231" s="33"/>
      <c r="AP231" s="33"/>
    </row>
    <row r="232" spans="1:42" ht="15.75" customHeight="1">
      <c r="A232" s="33"/>
      <c r="B232" s="33"/>
      <c r="C232" s="33"/>
      <c r="D232" s="33"/>
      <c r="E232" s="33"/>
      <c r="F232" s="199"/>
      <c r="G232" s="33"/>
      <c r="H232" s="28"/>
      <c r="I232" s="33"/>
      <c r="J232" s="23"/>
      <c r="K232" s="28"/>
      <c r="L232" s="31"/>
      <c r="M232" s="31"/>
      <c r="N232" s="33"/>
      <c r="O232" s="33"/>
      <c r="P232" s="33"/>
      <c r="Q232" s="31"/>
      <c r="R232" s="23"/>
      <c r="S232" s="33"/>
      <c r="T232" s="33"/>
      <c r="U232" s="33"/>
      <c r="V232" s="33"/>
      <c r="W232" s="33"/>
      <c r="X232" s="33"/>
      <c r="Y232" s="37"/>
      <c r="Z232" s="23"/>
      <c r="AA232" s="33"/>
      <c r="AB232" s="23"/>
      <c r="AC232" s="33"/>
      <c r="AD232" s="23"/>
      <c r="AE232" s="33"/>
      <c r="AF232" s="33"/>
      <c r="AG232" s="33"/>
      <c r="AH232" s="33"/>
      <c r="AI232" s="33"/>
      <c r="AJ232" s="33"/>
      <c r="AK232" s="33"/>
      <c r="AL232" s="33"/>
      <c r="AM232" s="216"/>
      <c r="AN232" s="33"/>
      <c r="AO232" s="33"/>
      <c r="AP232" s="33"/>
    </row>
    <row r="233" spans="1:42" ht="15.75" customHeight="1">
      <c r="A233" s="33"/>
      <c r="B233" s="33"/>
      <c r="C233" s="33"/>
      <c r="D233" s="33"/>
      <c r="E233" s="33"/>
      <c r="F233" s="199"/>
      <c r="G233" s="33"/>
      <c r="H233" s="28"/>
      <c r="I233" s="33"/>
      <c r="J233" s="23"/>
      <c r="K233" s="28"/>
      <c r="L233" s="31"/>
      <c r="M233" s="31"/>
      <c r="N233" s="33"/>
      <c r="O233" s="33"/>
      <c r="P233" s="33"/>
      <c r="Q233" s="31"/>
      <c r="R233" s="23"/>
      <c r="S233" s="33"/>
      <c r="T233" s="33"/>
      <c r="U233" s="33"/>
      <c r="V233" s="33"/>
      <c r="W233" s="33"/>
      <c r="X233" s="33"/>
      <c r="Y233" s="37"/>
      <c r="Z233" s="23"/>
      <c r="AA233" s="33"/>
      <c r="AB233" s="23"/>
      <c r="AC233" s="33"/>
      <c r="AD233" s="23"/>
      <c r="AE233" s="33"/>
      <c r="AF233" s="33"/>
      <c r="AG233" s="33"/>
      <c r="AH233" s="33"/>
      <c r="AI233" s="33"/>
      <c r="AJ233" s="33"/>
      <c r="AK233" s="33"/>
      <c r="AL233" s="33"/>
      <c r="AM233" s="216"/>
      <c r="AN233" s="33"/>
      <c r="AO233" s="33"/>
      <c r="AP233" s="33"/>
    </row>
    <row r="234" spans="1:42" ht="15.75" customHeight="1">
      <c r="A234" s="33"/>
      <c r="B234" s="33"/>
      <c r="C234" s="33"/>
      <c r="D234" s="33"/>
      <c r="E234" s="33"/>
      <c r="F234" s="199"/>
      <c r="G234" s="33"/>
      <c r="H234" s="28"/>
      <c r="I234" s="33"/>
      <c r="J234" s="23"/>
      <c r="K234" s="28"/>
      <c r="L234" s="31"/>
      <c r="M234" s="31"/>
      <c r="N234" s="33"/>
      <c r="O234" s="33"/>
      <c r="P234" s="33"/>
      <c r="Q234" s="31"/>
      <c r="R234" s="23"/>
      <c r="S234" s="33"/>
      <c r="T234" s="33"/>
      <c r="U234" s="33"/>
      <c r="V234" s="33"/>
      <c r="W234" s="33"/>
      <c r="X234" s="33"/>
      <c r="Y234" s="37"/>
      <c r="Z234" s="23"/>
      <c r="AA234" s="33"/>
      <c r="AB234" s="23"/>
      <c r="AC234" s="33"/>
      <c r="AD234" s="23"/>
      <c r="AE234" s="33"/>
      <c r="AF234" s="33"/>
      <c r="AG234" s="33"/>
      <c r="AH234" s="33"/>
      <c r="AI234" s="33"/>
      <c r="AJ234" s="33"/>
      <c r="AK234" s="33"/>
      <c r="AL234" s="33"/>
      <c r="AM234" s="216"/>
      <c r="AN234" s="33"/>
      <c r="AO234" s="33"/>
      <c r="AP234" s="33"/>
    </row>
    <row r="235" spans="1:42" ht="15.75" customHeight="1">
      <c r="A235" s="33"/>
      <c r="B235" s="33"/>
      <c r="C235" s="33"/>
      <c r="D235" s="33"/>
      <c r="E235" s="33"/>
      <c r="F235" s="199"/>
      <c r="G235" s="33"/>
      <c r="H235" s="28"/>
      <c r="I235" s="33"/>
      <c r="J235" s="23"/>
      <c r="K235" s="28"/>
      <c r="L235" s="31"/>
      <c r="M235" s="31"/>
      <c r="N235" s="33"/>
      <c r="O235" s="33"/>
      <c r="P235" s="33"/>
      <c r="Q235" s="31"/>
      <c r="R235" s="23"/>
      <c r="S235" s="33"/>
      <c r="T235" s="33"/>
      <c r="U235" s="33"/>
      <c r="V235" s="33"/>
      <c r="W235" s="33"/>
      <c r="X235" s="33"/>
      <c r="Y235" s="37"/>
      <c r="Z235" s="23"/>
      <c r="AA235" s="33"/>
      <c r="AB235" s="23"/>
      <c r="AC235" s="33"/>
      <c r="AD235" s="23"/>
      <c r="AE235" s="33"/>
      <c r="AF235" s="33"/>
      <c r="AG235" s="33"/>
      <c r="AH235" s="33"/>
      <c r="AI235" s="33"/>
      <c r="AJ235" s="33"/>
      <c r="AK235" s="33"/>
      <c r="AL235" s="33"/>
      <c r="AM235" s="216"/>
      <c r="AN235" s="33"/>
      <c r="AO235" s="33"/>
      <c r="AP235" s="33"/>
    </row>
    <row r="236" spans="1:42" ht="15.75" customHeight="1">
      <c r="A236" s="33"/>
      <c r="B236" s="33"/>
      <c r="C236" s="33"/>
      <c r="D236" s="33"/>
      <c r="E236" s="33"/>
      <c r="F236" s="199"/>
      <c r="G236" s="33"/>
      <c r="H236" s="28"/>
      <c r="I236" s="33"/>
      <c r="J236" s="23"/>
      <c r="K236" s="28"/>
      <c r="L236" s="31"/>
      <c r="M236" s="31"/>
      <c r="N236" s="33"/>
      <c r="O236" s="33"/>
      <c r="P236" s="33"/>
      <c r="Q236" s="31"/>
      <c r="R236" s="23"/>
      <c r="S236" s="33"/>
      <c r="T236" s="33"/>
      <c r="U236" s="33"/>
      <c r="V236" s="33"/>
      <c r="W236" s="33"/>
      <c r="X236" s="33"/>
      <c r="Y236" s="37"/>
      <c r="Z236" s="23"/>
      <c r="AA236" s="33"/>
      <c r="AB236" s="23"/>
      <c r="AC236" s="33"/>
      <c r="AD236" s="23"/>
      <c r="AE236" s="33"/>
      <c r="AF236" s="33"/>
      <c r="AG236" s="33"/>
      <c r="AH236" s="33"/>
      <c r="AI236" s="33"/>
      <c r="AJ236" s="33"/>
      <c r="AK236" s="33"/>
      <c r="AL236" s="33"/>
      <c r="AM236" s="216"/>
      <c r="AN236" s="33"/>
      <c r="AO236" s="33"/>
      <c r="AP236" s="33"/>
    </row>
    <row r="237" spans="1:42" ht="15.75" customHeight="1">
      <c r="A237" s="33"/>
      <c r="B237" s="33"/>
      <c r="C237" s="33"/>
      <c r="D237" s="33"/>
      <c r="E237" s="33"/>
      <c r="F237" s="199"/>
      <c r="G237" s="33"/>
      <c r="H237" s="28"/>
      <c r="I237" s="33"/>
      <c r="J237" s="23"/>
      <c r="K237" s="28"/>
      <c r="L237" s="31"/>
      <c r="M237" s="31"/>
      <c r="N237" s="33"/>
      <c r="O237" s="33"/>
      <c r="P237" s="33"/>
      <c r="Q237" s="31"/>
      <c r="R237" s="23"/>
      <c r="S237" s="33"/>
      <c r="T237" s="33"/>
      <c r="U237" s="33"/>
      <c r="V237" s="33"/>
      <c r="W237" s="33"/>
      <c r="X237" s="33"/>
      <c r="Y237" s="37"/>
      <c r="Z237" s="23"/>
      <c r="AA237" s="33"/>
      <c r="AB237" s="23"/>
      <c r="AC237" s="33"/>
      <c r="AD237" s="23"/>
      <c r="AE237" s="33"/>
      <c r="AF237" s="33"/>
      <c r="AG237" s="33"/>
      <c r="AH237" s="33"/>
      <c r="AI237" s="33"/>
      <c r="AJ237" s="33"/>
      <c r="AK237" s="33"/>
      <c r="AL237" s="33"/>
      <c r="AM237" s="216"/>
      <c r="AN237" s="33"/>
      <c r="AO237" s="33"/>
      <c r="AP237" s="33"/>
    </row>
    <row r="238" spans="1:42" ht="15.75" customHeight="1">
      <c r="A238" s="33"/>
      <c r="B238" s="33"/>
      <c r="C238" s="33"/>
      <c r="D238" s="33"/>
      <c r="E238" s="33"/>
      <c r="F238" s="199"/>
      <c r="G238" s="33"/>
      <c r="H238" s="28"/>
      <c r="I238" s="33"/>
      <c r="J238" s="23"/>
      <c r="K238" s="28"/>
      <c r="L238" s="31"/>
      <c r="M238" s="31"/>
      <c r="N238" s="33"/>
      <c r="O238" s="33"/>
      <c r="P238" s="33"/>
      <c r="Q238" s="31"/>
      <c r="R238" s="23"/>
      <c r="S238" s="33"/>
      <c r="T238" s="33"/>
      <c r="U238" s="33"/>
      <c r="V238" s="33"/>
      <c r="W238" s="33"/>
      <c r="X238" s="33"/>
      <c r="Y238" s="37"/>
      <c r="Z238" s="23"/>
      <c r="AA238" s="33"/>
      <c r="AB238" s="23"/>
      <c r="AC238" s="33"/>
      <c r="AD238" s="23"/>
      <c r="AE238" s="33"/>
      <c r="AF238" s="33"/>
      <c r="AG238" s="33"/>
      <c r="AH238" s="33"/>
      <c r="AI238" s="33"/>
      <c r="AJ238" s="33"/>
      <c r="AK238" s="33"/>
      <c r="AL238" s="33"/>
      <c r="AM238" s="216"/>
      <c r="AN238" s="33"/>
      <c r="AO238" s="33"/>
      <c r="AP238" s="33"/>
    </row>
    <row r="239" spans="1:42" ht="15.75" customHeight="1">
      <c r="A239" s="33"/>
      <c r="B239" s="33"/>
      <c r="C239" s="33"/>
      <c r="D239" s="33"/>
      <c r="E239" s="33"/>
      <c r="F239" s="199"/>
      <c r="G239" s="33"/>
      <c r="H239" s="28"/>
      <c r="I239" s="33"/>
      <c r="J239" s="23"/>
      <c r="K239" s="28"/>
      <c r="L239" s="31"/>
      <c r="M239" s="31"/>
      <c r="N239" s="33"/>
      <c r="O239" s="33"/>
      <c r="P239" s="33"/>
      <c r="Q239" s="31"/>
      <c r="R239" s="23"/>
      <c r="S239" s="33"/>
      <c r="T239" s="33"/>
      <c r="U239" s="33"/>
      <c r="V239" s="33"/>
      <c r="W239" s="33"/>
      <c r="X239" s="33"/>
      <c r="Y239" s="37"/>
      <c r="Z239" s="23"/>
      <c r="AA239" s="33"/>
      <c r="AB239" s="23"/>
      <c r="AC239" s="33"/>
      <c r="AD239" s="23"/>
      <c r="AE239" s="33"/>
      <c r="AF239" s="33"/>
      <c r="AG239" s="33"/>
      <c r="AH239" s="33"/>
      <c r="AI239" s="33"/>
      <c r="AJ239" s="33"/>
      <c r="AK239" s="33"/>
      <c r="AL239" s="33"/>
      <c r="AM239" s="216"/>
      <c r="AN239" s="33"/>
      <c r="AO239" s="33"/>
      <c r="AP239" s="33"/>
    </row>
    <row r="240" spans="1:42" ht="15.75" customHeight="1">
      <c r="A240" s="33"/>
      <c r="B240" s="33"/>
      <c r="C240" s="33"/>
      <c r="D240" s="33"/>
      <c r="E240" s="33"/>
      <c r="F240" s="199"/>
      <c r="G240" s="33"/>
      <c r="H240" s="28"/>
      <c r="I240" s="33"/>
      <c r="J240" s="23"/>
      <c r="K240" s="28"/>
      <c r="L240" s="31"/>
      <c r="M240" s="31"/>
      <c r="N240" s="33"/>
      <c r="O240" s="33"/>
      <c r="P240" s="33"/>
      <c r="Q240" s="31"/>
      <c r="R240" s="23"/>
      <c r="S240" s="33"/>
      <c r="T240" s="33"/>
      <c r="U240" s="33"/>
      <c r="V240" s="33"/>
      <c r="W240" s="33"/>
      <c r="X240" s="33"/>
      <c r="Y240" s="37"/>
      <c r="Z240" s="23"/>
      <c r="AA240" s="33"/>
      <c r="AB240" s="23"/>
      <c r="AC240" s="33"/>
      <c r="AD240" s="23"/>
      <c r="AE240" s="33"/>
      <c r="AF240" s="33"/>
      <c r="AG240" s="33"/>
      <c r="AH240" s="33"/>
      <c r="AI240" s="33"/>
      <c r="AJ240" s="33"/>
      <c r="AK240" s="33"/>
      <c r="AL240" s="33"/>
      <c r="AM240" s="216"/>
      <c r="AN240" s="33"/>
      <c r="AO240" s="33"/>
      <c r="AP240" s="33"/>
    </row>
    <row r="241" spans="1:42" ht="15.75" customHeight="1">
      <c r="A241" s="33"/>
      <c r="B241" s="33"/>
      <c r="C241" s="33"/>
      <c r="D241" s="33"/>
      <c r="E241" s="33"/>
      <c r="F241" s="199"/>
      <c r="G241" s="33"/>
      <c r="H241" s="28"/>
      <c r="I241" s="33"/>
      <c r="J241" s="23"/>
      <c r="K241" s="28"/>
      <c r="L241" s="31"/>
      <c r="M241" s="31"/>
      <c r="N241" s="33"/>
      <c r="O241" s="33"/>
      <c r="P241" s="33"/>
      <c r="Q241" s="31"/>
      <c r="R241" s="23"/>
      <c r="S241" s="33"/>
      <c r="T241" s="33"/>
      <c r="U241" s="33"/>
      <c r="V241" s="33"/>
      <c r="W241" s="33"/>
      <c r="X241" s="33"/>
      <c r="Y241" s="37"/>
      <c r="Z241" s="23"/>
      <c r="AA241" s="33"/>
      <c r="AB241" s="23"/>
      <c r="AC241" s="33"/>
      <c r="AD241" s="23"/>
      <c r="AE241" s="33"/>
      <c r="AF241" s="33"/>
      <c r="AG241" s="33"/>
      <c r="AH241" s="33"/>
      <c r="AI241" s="33"/>
      <c r="AJ241" s="33"/>
      <c r="AK241" s="33"/>
      <c r="AL241" s="33"/>
      <c r="AM241" s="216"/>
      <c r="AN241" s="33"/>
      <c r="AO241" s="33"/>
      <c r="AP241" s="33"/>
    </row>
    <row r="242" spans="1:42" ht="15.75" customHeight="1">
      <c r="A242" s="33"/>
      <c r="B242" s="33"/>
      <c r="C242" s="33"/>
      <c r="D242" s="33"/>
      <c r="E242" s="33"/>
      <c r="F242" s="199"/>
      <c r="G242" s="33"/>
      <c r="H242" s="28"/>
      <c r="I242" s="33"/>
      <c r="J242" s="23"/>
      <c r="K242" s="28"/>
      <c r="L242" s="31"/>
      <c r="M242" s="31"/>
      <c r="N242" s="33"/>
      <c r="O242" s="33"/>
      <c r="P242" s="33"/>
      <c r="Q242" s="31"/>
      <c r="R242" s="23"/>
      <c r="S242" s="33"/>
      <c r="T242" s="33"/>
      <c r="U242" s="33"/>
      <c r="V242" s="33"/>
      <c r="W242" s="33"/>
      <c r="X242" s="33"/>
      <c r="Y242" s="37"/>
      <c r="Z242" s="23"/>
      <c r="AA242" s="33"/>
      <c r="AB242" s="23"/>
      <c r="AC242" s="33"/>
      <c r="AD242" s="23"/>
      <c r="AE242" s="33"/>
      <c r="AF242" s="33"/>
      <c r="AG242" s="33"/>
      <c r="AH242" s="33"/>
      <c r="AI242" s="33"/>
      <c r="AJ242" s="33"/>
      <c r="AK242" s="33"/>
      <c r="AL242" s="33"/>
      <c r="AM242" s="216"/>
      <c r="AN242" s="33"/>
      <c r="AO242" s="33"/>
      <c r="AP242" s="33"/>
    </row>
    <row r="243" spans="1:42" ht="15.75" customHeight="1">
      <c r="A243" s="33"/>
      <c r="B243" s="33"/>
      <c r="C243" s="33"/>
      <c r="D243" s="33"/>
      <c r="E243" s="33"/>
      <c r="F243" s="199"/>
      <c r="G243" s="33"/>
      <c r="H243" s="28"/>
      <c r="I243" s="33"/>
      <c r="J243" s="23"/>
      <c r="K243" s="28"/>
      <c r="L243" s="31"/>
      <c r="M243" s="31"/>
      <c r="N243" s="33"/>
      <c r="O243" s="33"/>
      <c r="P243" s="33"/>
      <c r="Q243" s="31"/>
      <c r="R243" s="23"/>
      <c r="S243" s="33"/>
      <c r="T243" s="33"/>
      <c r="U243" s="33"/>
      <c r="V243" s="33"/>
      <c r="W243" s="33"/>
      <c r="X243" s="33"/>
      <c r="Y243" s="37"/>
      <c r="Z243" s="23"/>
      <c r="AA243" s="33"/>
      <c r="AB243" s="23"/>
      <c r="AC243" s="33"/>
      <c r="AD243" s="23"/>
      <c r="AE243" s="33"/>
      <c r="AF243" s="33"/>
      <c r="AG243" s="33"/>
      <c r="AH243" s="33"/>
      <c r="AI243" s="33"/>
      <c r="AJ243" s="33"/>
      <c r="AK243" s="33"/>
      <c r="AL243" s="33"/>
      <c r="AM243" s="216"/>
      <c r="AN243" s="33"/>
      <c r="AO243" s="33"/>
      <c r="AP243" s="33"/>
    </row>
    <row r="244" spans="1:42" ht="15.75" customHeight="1">
      <c r="A244" s="33"/>
      <c r="B244" s="33"/>
      <c r="C244" s="33"/>
      <c r="D244" s="33"/>
      <c r="E244" s="33"/>
      <c r="F244" s="199"/>
      <c r="G244" s="33"/>
      <c r="H244" s="28"/>
      <c r="I244" s="33"/>
      <c r="J244" s="23"/>
      <c r="K244" s="28"/>
      <c r="L244" s="31"/>
      <c r="M244" s="31"/>
      <c r="N244" s="33"/>
      <c r="O244" s="33"/>
      <c r="P244" s="33"/>
      <c r="Q244" s="31"/>
      <c r="R244" s="23"/>
      <c r="S244" s="33"/>
      <c r="T244" s="33"/>
      <c r="U244" s="33"/>
      <c r="V244" s="33"/>
      <c r="W244" s="33"/>
      <c r="X244" s="33"/>
      <c r="Y244" s="37"/>
      <c r="Z244" s="23"/>
      <c r="AA244" s="33"/>
      <c r="AB244" s="23"/>
      <c r="AC244" s="33"/>
      <c r="AD244" s="23"/>
      <c r="AE244" s="33"/>
      <c r="AF244" s="33"/>
      <c r="AG244" s="33"/>
      <c r="AH244" s="33"/>
      <c r="AI244" s="33"/>
      <c r="AJ244" s="33"/>
      <c r="AK244" s="33"/>
      <c r="AL244" s="33"/>
      <c r="AM244" s="216"/>
      <c r="AN244" s="33"/>
      <c r="AO244" s="33"/>
      <c r="AP244" s="33"/>
    </row>
    <row r="245" spans="1:42" ht="15.75" customHeight="1">
      <c r="A245" s="33"/>
      <c r="B245" s="33"/>
      <c r="C245" s="33"/>
      <c r="D245" s="33"/>
      <c r="E245" s="33"/>
      <c r="F245" s="199"/>
      <c r="G245" s="33"/>
      <c r="H245" s="28"/>
      <c r="I245" s="33"/>
      <c r="J245" s="23"/>
      <c r="K245" s="28"/>
      <c r="L245" s="31"/>
      <c r="M245" s="31"/>
      <c r="N245" s="33"/>
      <c r="O245" s="33"/>
      <c r="P245" s="33"/>
      <c r="Q245" s="31"/>
      <c r="R245" s="23"/>
      <c r="S245" s="33"/>
      <c r="T245" s="33"/>
      <c r="U245" s="33"/>
      <c r="V245" s="33"/>
      <c r="W245" s="33"/>
      <c r="X245" s="33"/>
      <c r="Y245" s="37"/>
      <c r="Z245" s="23"/>
      <c r="AA245" s="33"/>
      <c r="AB245" s="23"/>
      <c r="AC245" s="33"/>
      <c r="AD245" s="23"/>
      <c r="AE245" s="33"/>
      <c r="AF245" s="33"/>
      <c r="AG245" s="33"/>
      <c r="AH245" s="33"/>
      <c r="AI245" s="33"/>
      <c r="AJ245" s="33"/>
      <c r="AK245" s="33"/>
      <c r="AL245" s="33"/>
      <c r="AM245" s="216"/>
      <c r="AN245" s="33"/>
      <c r="AO245" s="33"/>
      <c r="AP245" s="33"/>
    </row>
    <row r="246" spans="1:42" ht="15.75" customHeight="1">
      <c r="A246" s="33"/>
      <c r="B246" s="33"/>
      <c r="C246" s="33"/>
      <c r="D246" s="33"/>
      <c r="E246" s="33"/>
      <c r="F246" s="199"/>
      <c r="G246" s="33"/>
      <c r="H246" s="28"/>
      <c r="I246" s="33"/>
      <c r="J246" s="23"/>
      <c r="K246" s="28"/>
      <c r="L246" s="31"/>
      <c r="M246" s="31"/>
      <c r="N246" s="33"/>
      <c r="O246" s="33"/>
      <c r="P246" s="33"/>
      <c r="Q246" s="31"/>
      <c r="R246" s="23"/>
      <c r="S246" s="33"/>
      <c r="T246" s="33"/>
      <c r="U246" s="33"/>
      <c r="V246" s="33"/>
      <c r="W246" s="33"/>
      <c r="X246" s="33"/>
      <c r="Y246" s="37"/>
      <c r="Z246" s="23"/>
      <c r="AA246" s="33"/>
      <c r="AB246" s="23"/>
      <c r="AC246" s="33"/>
      <c r="AD246" s="23"/>
      <c r="AE246" s="33"/>
      <c r="AF246" s="33"/>
      <c r="AG246" s="33"/>
      <c r="AH246" s="33"/>
      <c r="AI246" s="33"/>
      <c r="AJ246" s="33"/>
      <c r="AK246" s="33"/>
      <c r="AL246" s="33"/>
      <c r="AM246" s="216"/>
      <c r="AN246" s="33"/>
      <c r="AO246" s="33"/>
      <c r="AP246" s="33"/>
    </row>
    <row r="247" spans="1:42" ht="15.75" customHeight="1">
      <c r="A247" s="33"/>
      <c r="B247" s="33"/>
      <c r="C247" s="33"/>
      <c r="D247" s="33"/>
      <c r="E247" s="33"/>
      <c r="F247" s="199"/>
      <c r="G247" s="33"/>
      <c r="H247" s="28"/>
      <c r="I247" s="33"/>
      <c r="J247" s="23"/>
      <c r="K247" s="28"/>
      <c r="L247" s="31"/>
      <c r="M247" s="31"/>
      <c r="N247" s="33"/>
      <c r="O247" s="33"/>
      <c r="P247" s="33"/>
      <c r="Q247" s="31"/>
      <c r="R247" s="23"/>
      <c r="S247" s="33"/>
      <c r="T247" s="33"/>
      <c r="U247" s="33"/>
      <c r="V247" s="33"/>
      <c r="W247" s="33"/>
      <c r="X247" s="33"/>
      <c r="Y247" s="37"/>
      <c r="Z247" s="23"/>
      <c r="AA247" s="33"/>
      <c r="AB247" s="23"/>
      <c r="AC247" s="33"/>
      <c r="AD247" s="23"/>
      <c r="AE247" s="33"/>
      <c r="AF247" s="33"/>
      <c r="AG247" s="33"/>
      <c r="AH247" s="33"/>
      <c r="AI247" s="33"/>
      <c r="AJ247" s="33"/>
      <c r="AK247" s="33"/>
      <c r="AL247" s="33"/>
      <c r="AM247" s="216"/>
      <c r="AN247" s="33"/>
      <c r="AO247" s="33"/>
      <c r="AP247" s="33"/>
    </row>
    <row r="248" spans="1:42" ht="15.75" customHeight="1">
      <c r="A248" s="33"/>
      <c r="B248" s="33"/>
      <c r="C248" s="33"/>
      <c r="D248" s="33"/>
      <c r="E248" s="33"/>
      <c r="F248" s="199"/>
      <c r="G248" s="33"/>
      <c r="H248" s="28"/>
      <c r="I248" s="33"/>
      <c r="J248" s="23"/>
      <c r="K248" s="28"/>
      <c r="L248" s="31"/>
      <c r="M248" s="31"/>
      <c r="N248" s="33"/>
      <c r="O248" s="33"/>
      <c r="P248" s="33"/>
      <c r="Q248" s="31"/>
      <c r="R248" s="23"/>
      <c r="S248" s="33"/>
      <c r="T248" s="33"/>
      <c r="U248" s="33"/>
      <c r="V248" s="33"/>
      <c r="W248" s="33"/>
      <c r="X248" s="33"/>
      <c r="Y248" s="37"/>
      <c r="Z248" s="23"/>
      <c r="AA248" s="33"/>
      <c r="AB248" s="23"/>
      <c r="AC248" s="33"/>
      <c r="AD248" s="23"/>
      <c r="AE248" s="33"/>
      <c r="AF248" s="33"/>
      <c r="AG248" s="33"/>
      <c r="AH248" s="33"/>
      <c r="AI248" s="33"/>
      <c r="AJ248" s="33"/>
      <c r="AK248" s="33"/>
      <c r="AL248" s="33"/>
      <c r="AM248" s="216"/>
      <c r="AN248" s="33"/>
      <c r="AO248" s="33"/>
      <c r="AP248" s="33"/>
    </row>
    <row r="249" spans="1:42" ht="15.75" customHeight="1">
      <c r="A249" s="33"/>
      <c r="B249" s="33"/>
      <c r="C249" s="33"/>
      <c r="D249" s="33"/>
      <c r="E249" s="33"/>
      <c r="F249" s="199"/>
      <c r="G249" s="33"/>
      <c r="H249" s="28"/>
      <c r="I249" s="33"/>
      <c r="J249" s="23"/>
      <c r="K249" s="28"/>
      <c r="L249" s="31"/>
      <c r="M249" s="31"/>
      <c r="N249" s="33"/>
      <c r="O249" s="33"/>
      <c r="P249" s="33"/>
      <c r="Q249" s="31"/>
      <c r="R249" s="23"/>
      <c r="S249" s="33"/>
      <c r="T249" s="33"/>
      <c r="U249" s="33"/>
      <c r="V249" s="33"/>
      <c r="W249" s="33"/>
      <c r="X249" s="33"/>
      <c r="Y249" s="37"/>
      <c r="Z249" s="23"/>
      <c r="AA249" s="33"/>
      <c r="AB249" s="23"/>
      <c r="AC249" s="33"/>
      <c r="AD249" s="23"/>
      <c r="AE249" s="33"/>
      <c r="AF249" s="33"/>
      <c r="AG249" s="33"/>
      <c r="AH249" s="33"/>
      <c r="AI249" s="33"/>
      <c r="AJ249" s="33"/>
      <c r="AK249" s="33"/>
      <c r="AL249" s="33"/>
      <c r="AM249" s="216"/>
      <c r="AN249" s="33"/>
      <c r="AO249" s="33"/>
      <c r="AP249" s="33"/>
    </row>
    <row r="250" spans="1:42" ht="15.75" customHeight="1">
      <c r="A250" s="33"/>
      <c r="B250" s="33"/>
      <c r="C250" s="33"/>
      <c r="D250" s="33"/>
      <c r="E250" s="33"/>
      <c r="F250" s="199"/>
      <c r="G250" s="33"/>
      <c r="H250" s="28"/>
      <c r="I250" s="33"/>
      <c r="J250" s="23"/>
      <c r="K250" s="28"/>
      <c r="L250" s="31"/>
      <c r="M250" s="31"/>
      <c r="N250" s="33"/>
      <c r="O250" s="33"/>
      <c r="P250" s="33"/>
      <c r="Q250" s="31"/>
      <c r="R250" s="23"/>
      <c r="S250" s="33"/>
      <c r="T250" s="33"/>
      <c r="U250" s="33"/>
      <c r="V250" s="33"/>
      <c r="W250" s="33"/>
      <c r="X250" s="33"/>
      <c r="Y250" s="37"/>
      <c r="Z250" s="23"/>
      <c r="AA250" s="33"/>
      <c r="AB250" s="23"/>
      <c r="AC250" s="33"/>
      <c r="AD250" s="23"/>
      <c r="AE250" s="33"/>
      <c r="AF250" s="33"/>
      <c r="AG250" s="33"/>
      <c r="AH250" s="33"/>
      <c r="AI250" s="33"/>
      <c r="AJ250" s="33"/>
      <c r="AK250" s="33"/>
      <c r="AL250" s="33"/>
      <c r="AM250" s="216"/>
      <c r="AN250" s="33"/>
      <c r="AO250" s="33"/>
      <c r="AP250" s="33"/>
    </row>
    <row r="251" spans="1:42" ht="15.75" customHeight="1">
      <c r="A251" s="33"/>
      <c r="B251" s="33"/>
      <c r="C251" s="33"/>
      <c r="D251" s="33"/>
      <c r="E251" s="33"/>
      <c r="F251" s="199"/>
      <c r="G251" s="33"/>
      <c r="H251" s="28"/>
      <c r="I251" s="33"/>
      <c r="J251" s="23"/>
      <c r="K251" s="28"/>
      <c r="L251" s="31"/>
      <c r="M251" s="31"/>
      <c r="N251" s="33"/>
      <c r="O251" s="33"/>
      <c r="P251" s="33"/>
      <c r="Q251" s="31"/>
      <c r="R251" s="23"/>
      <c r="S251" s="33"/>
      <c r="T251" s="33"/>
      <c r="U251" s="33"/>
      <c r="V251" s="33"/>
      <c r="W251" s="33"/>
      <c r="X251" s="33"/>
      <c r="Y251" s="37"/>
      <c r="Z251" s="23"/>
      <c r="AA251" s="33"/>
      <c r="AB251" s="23"/>
      <c r="AC251" s="33"/>
      <c r="AD251" s="23"/>
      <c r="AE251" s="33"/>
      <c r="AF251" s="33"/>
      <c r="AG251" s="33"/>
      <c r="AH251" s="33"/>
      <c r="AI251" s="33"/>
      <c r="AJ251" s="33"/>
      <c r="AK251" s="33"/>
      <c r="AL251" s="33"/>
      <c r="AM251" s="216"/>
      <c r="AN251" s="33"/>
      <c r="AO251" s="33"/>
      <c r="AP251" s="33"/>
    </row>
    <row r="252" spans="1:42" ht="15.75" customHeight="1">
      <c r="A252" s="33"/>
      <c r="B252" s="33"/>
      <c r="C252" s="33"/>
      <c r="D252" s="33"/>
      <c r="E252" s="33"/>
      <c r="F252" s="199"/>
      <c r="G252" s="33"/>
      <c r="H252" s="28"/>
      <c r="I252" s="33"/>
      <c r="J252" s="23"/>
      <c r="K252" s="28"/>
      <c r="L252" s="31"/>
      <c r="M252" s="31"/>
      <c r="N252" s="33"/>
      <c r="O252" s="33"/>
      <c r="P252" s="33"/>
      <c r="Q252" s="31"/>
      <c r="R252" s="23"/>
      <c r="S252" s="33"/>
      <c r="T252" s="33"/>
      <c r="U252" s="33"/>
      <c r="V252" s="33"/>
      <c r="W252" s="33"/>
      <c r="X252" s="33"/>
      <c r="Y252" s="37"/>
      <c r="Z252" s="23"/>
      <c r="AA252" s="33"/>
      <c r="AB252" s="23"/>
      <c r="AC252" s="33"/>
      <c r="AD252" s="23"/>
      <c r="AE252" s="33"/>
      <c r="AF252" s="33"/>
      <c r="AG252" s="33"/>
      <c r="AH252" s="33"/>
      <c r="AI252" s="33"/>
      <c r="AJ252" s="33"/>
      <c r="AK252" s="33"/>
      <c r="AL252" s="33"/>
      <c r="AM252" s="216"/>
      <c r="AN252" s="33"/>
      <c r="AO252" s="33"/>
      <c r="AP252" s="33"/>
    </row>
    <row r="253" spans="1:42" ht="15.75" customHeight="1">
      <c r="A253" s="33"/>
      <c r="B253" s="33"/>
      <c r="C253" s="33"/>
      <c r="D253" s="33"/>
      <c r="E253" s="33"/>
      <c r="F253" s="199"/>
      <c r="G253" s="33"/>
      <c r="H253" s="28"/>
      <c r="I253" s="33"/>
      <c r="J253" s="23"/>
      <c r="K253" s="28"/>
      <c r="L253" s="31"/>
      <c r="M253" s="31"/>
      <c r="N253" s="33"/>
      <c r="O253" s="33"/>
      <c r="P253" s="33"/>
      <c r="Q253" s="31"/>
      <c r="R253" s="23"/>
      <c r="S253" s="33"/>
      <c r="T253" s="33"/>
      <c r="U253" s="33"/>
      <c r="V253" s="33"/>
      <c r="W253" s="33"/>
      <c r="X253" s="33"/>
      <c r="Y253" s="37"/>
      <c r="Z253" s="23"/>
      <c r="AA253" s="33"/>
      <c r="AB253" s="23"/>
      <c r="AC253" s="33"/>
      <c r="AD253" s="23"/>
      <c r="AE253" s="33"/>
      <c r="AF253" s="33"/>
      <c r="AG253" s="33"/>
      <c r="AH253" s="33"/>
      <c r="AI253" s="33"/>
      <c r="AJ253" s="33"/>
      <c r="AK253" s="33"/>
      <c r="AL253" s="33"/>
      <c r="AM253" s="216"/>
      <c r="AN253" s="33"/>
      <c r="AO253" s="33"/>
      <c r="AP253" s="33"/>
    </row>
    <row r="254" spans="1:42" ht="15.75" customHeight="1">
      <c r="A254" s="33"/>
      <c r="B254" s="33"/>
      <c r="C254" s="33"/>
      <c r="D254" s="33"/>
      <c r="E254" s="33"/>
      <c r="F254" s="199"/>
      <c r="G254" s="33"/>
      <c r="H254" s="28"/>
      <c r="I254" s="33"/>
      <c r="J254" s="23"/>
      <c r="K254" s="28"/>
      <c r="L254" s="31"/>
      <c r="M254" s="31"/>
      <c r="N254" s="33"/>
      <c r="O254" s="33"/>
      <c r="P254" s="33"/>
      <c r="Q254" s="31"/>
      <c r="R254" s="23"/>
      <c r="S254" s="33"/>
      <c r="T254" s="33"/>
      <c r="U254" s="33"/>
      <c r="V254" s="33"/>
      <c r="W254" s="33"/>
      <c r="X254" s="33"/>
      <c r="Y254" s="37"/>
      <c r="Z254" s="23"/>
      <c r="AA254" s="33"/>
      <c r="AB254" s="23"/>
      <c r="AC254" s="33"/>
      <c r="AD254" s="23"/>
      <c r="AE254" s="33"/>
      <c r="AF254" s="33"/>
      <c r="AG254" s="33"/>
      <c r="AH254" s="33"/>
      <c r="AI254" s="33"/>
      <c r="AJ254" s="33"/>
      <c r="AK254" s="33"/>
      <c r="AL254" s="33"/>
      <c r="AM254" s="216"/>
      <c r="AN254" s="33"/>
      <c r="AO254" s="33"/>
      <c r="AP254" s="33"/>
    </row>
    <row r="255" spans="1:42" ht="15.75" customHeight="1">
      <c r="A255" s="33"/>
      <c r="B255" s="33"/>
      <c r="C255" s="33"/>
      <c r="D255" s="33"/>
      <c r="E255" s="33"/>
      <c r="F255" s="199"/>
      <c r="G255" s="33"/>
      <c r="H255" s="28"/>
      <c r="I255" s="33"/>
      <c r="J255" s="23"/>
      <c r="K255" s="28"/>
      <c r="L255" s="31"/>
      <c r="M255" s="31"/>
      <c r="N255" s="33"/>
      <c r="O255" s="33"/>
      <c r="P255" s="33"/>
      <c r="Q255" s="31"/>
      <c r="R255" s="23"/>
      <c r="S255" s="33"/>
      <c r="T255" s="33"/>
      <c r="U255" s="33"/>
      <c r="V255" s="33"/>
      <c r="W255" s="33"/>
      <c r="X255" s="33"/>
      <c r="Y255" s="37"/>
      <c r="Z255" s="23"/>
      <c r="AA255" s="33"/>
      <c r="AB255" s="23"/>
      <c r="AC255" s="33"/>
      <c r="AD255" s="23"/>
      <c r="AE255" s="33"/>
      <c r="AF255" s="33"/>
      <c r="AG255" s="33"/>
      <c r="AH255" s="33"/>
      <c r="AI255" s="33"/>
      <c r="AJ255" s="33"/>
      <c r="AK255" s="33"/>
      <c r="AL255" s="33"/>
      <c r="AM255" s="216"/>
      <c r="AN255" s="33"/>
      <c r="AO255" s="33"/>
      <c r="AP255" s="33"/>
    </row>
    <row r="256" spans="1:42" ht="15.75" customHeight="1">
      <c r="A256" s="33"/>
      <c r="B256" s="33"/>
      <c r="C256" s="33"/>
      <c r="D256" s="33"/>
      <c r="E256" s="33"/>
      <c r="F256" s="199"/>
      <c r="G256" s="33"/>
      <c r="H256" s="28"/>
      <c r="I256" s="33"/>
      <c r="J256" s="23"/>
      <c r="K256" s="28"/>
      <c r="L256" s="31"/>
      <c r="M256" s="31"/>
      <c r="N256" s="33"/>
      <c r="O256" s="33"/>
      <c r="P256" s="33"/>
      <c r="Q256" s="31"/>
      <c r="R256" s="23"/>
      <c r="S256" s="33"/>
      <c r="T256" s="33"/>
      <c r="U256" s="33"/>
      <c r="V256" s="33"/>
      <c r="W256" s="33"/>
      <c r="X256" s="33"/>
      <c r="Y256" s="37"/>
      <c r="Z256" s="23"/>
      <c r="AA256" s="33"/>
      <c r="AB256" s="23"/>
      <c r="AC256" s="33"/>
      <c r="AD256" s="23"/>
      <c r="AE256" s="33"/>
      <c r="AF256" s="33"/>
      <c r="AG256" s="33"/>
      <c r="AH256" s="33"/>
      <c r="AI256" s="33"/>
      <c r="AJ256" s="33"/>
      <c r="AK256" s="33"/>
      <c r="AL256" s="33"/>
      <c r="AM256" s="216"/>
      <c r="AN256" s="33"/>
      <c r="AO256" s="33"/>
      <c r="AP256" s="33"/>
    </row>
    <row r="257" spans="1:42" ht="15.75" customHeight="1">
      <c r="A257" s="33"/>
      <c r="B257" s="33"/>
      <c r="C257" s="33"/>
      <c r="D257" s="33"/>
      <c r="E257" s="33"/>
      <c r="F257" s="199"/>
      <c r="G257" s="33"/>
      <c r="H257" s="28"/>
      <c r="I257" s="33"/>
      <c r="J257" s="23"/>
      <c r="K257" s="28"/>
      <c r="L257" s="31"/>
      <c r="M257" s="31"/>
      <c r="N257" s="33"/>
      <c r="O257" s="33"/>
      <c r="P257" s="33"/>
      <c r="Q257" s="31"/>
      <c r="R257" s="23"/>
      <c r="S257" s="33"/>
      <c r="T257" s="33"/>
      <c r="U257" s="33"/>
      <c r="V257" s="33"/>
      <c r="W257" s="33"/>
      <c r="X257" s="33"/>
      <c r="Y257" s="37"/>
      <c r="Z257" s="23"/>
      <c r="AA257" s="33"/>
      <c r="AB257" s="23"/>
      <c r="AC257" s="33"/>
      <c r="AD257" s="23"/>
      <c r="AE257" s="33"/>
      <c r="AF257" s="33"/>
      <c r="AG257" s="33"/>
      <c r="AH257" s="33"/>
      <c r="AI257" s="33"/>
      <c r="AJ257" s="33"/>
      <c r="AK257" s="33"/>
      <c r="AL257" s="33"/>
      <c r="AM257" s="216"/>
      <c r="AN257" s="33"/>
      <c r="AO257" s="33"/>
      <c r="AP257" s="33"/>
    </row>
    <row r="258" spans="1:42" ht="15.75" customHeight="1">
      <c r="A258" s="33"/>
      <c r="B258" s="33"/>
      <c r="C258" s="33"/>
      <c r="D258" s="33"/>
      <c r="E258" s="33"/>
      <c r="F258" s="199"/>
      <c r="G258" s="33"/>
      <c r="H258" s="28"/>
      <c r="I258" s="33"/>
      <c r="J258" s="23"/>
      <c r="K258" s="28"/>
      <c r="L258" s="31"/>
      <c r="M258" s="31"/>
      <c r="N258" s="33"/>
      <c r="O258" s="33"/>
      <c r="P258" s="33"/>
      <c r="Q258" s="31"/>
      <c r="R258" s="23"/>
      <c r="S258" s="33"/>
      <c r="T258" s="33"/>
      <c r="U258" s="33"/>
      <c r="V258" s="33"/>
      <c r="W258" s="33"/>
      <c r="X258" s="33"/>
      <c r="Y258" s="37"/>
      <c r="Z258" s="23"/>
      <c r="AA258" s="33"/>
      <c r="AB258" s="23"/>
      <c r="AC258" s="33"/>
      <c r="AD258" s="23"/>
      <c r="AE258" s="33"/>
      <c r="AF258" s="33"/>
      <c r="AG258" s="33"/>
      <c r="AH258" s="33"/>
      <c r="AI258" s="33"/>
      <c r="AJ258" s="33"/>
      <c r="AK258" s="33"/>
      <c r="AL258" s="33"/>
      <c r="AM258" s="216"/>
      <c r="AN258" s="33"/>
      <c r="AO258" s="33"/>
      <c r="AP258" s="33"/>
    </row>
    <row r="259" spans="1:42" ht="15.75" customHeight="1">
      <c r="A259" s="33"/>
      <c r="B259" s="33"/>
      <c r="C259" s="33"/>
      <c r="D259" s="33"/>
      <c r="E259" s="33"/>
      <c r="F259" s="199"/>
      <c r="G259" s="33"/>
      <c r="H259" s="28"/>
      <c r="I259" s="33"/>
      <c r="J259" s="23"/>
      <c r="K259" s="28"/>
      <c r="L259" s="31"/>
      <c r="M259" s="31"/>
      <c r="N259" s="33"/>
      <c r="O259" s="33"/>
      <c r="P259" s="33"/>
      <c r="Q259" s="31"/>
      <c r="R259" s="23"/>
      <c r="S259" s="33"/>
      <c r="T259" s="33"/>
      <c r="U259" s="33"/>
      <c r="V259" s="33"/>
      <c r="W259" s="33"/>
      <c r="X259" s="33"/>
      <c r="Y259" s="37"/>
      <c r="Z259" s="23"/>
      <c r="AA259" s="33"/>
      <c r="AB259" s="23"/>
      <c r="AC259" s="33"/>
      <c r="AD259" s="23"/>
      <c r="AE259" s="33"/>
      <c r="AF259" s="33"/>
      <c r="AG259" s="33"/>
      <c r="AH259" s="33"/>
      <c r="AI259" s="33"/>
      <c r="AJ259" s="33"/>
      <c r="AK259" s="33"/>
      <c r="AL259" s="33"/>
      <c r="AM259" s="216"/>
      <c r="AN259" s="33"/>
      <c r="AO259" s="33"/>
      <c r="AP259" s="33"/>
    </row>
    <row r="260" spans="1:42" ht="15.75" customHeight="1">
      <c r="A260" s="33"/>
      <c r="B260" s="33"/>
      <c r="C260" s="33"/>
      <c r="D260" s="33"/>
      <c r="E260" s="33"/>
      <c r="F260" s="199"/>
      <c r="G260" s="33"/>
      <c r="H260" s="28"/>
      <c r="I260" s="33"/>
      <c r="J260" s="23"/>
      <c r="K260" s="28"/>
      <c r="L260" s="31"/>
      <c r="M260" s="31"/>
      <c r="N260" s="33"/>
      <c r="O260" s="33"/>
      <c r="P260" s="33"/>
      <c r="Q260" s="31"/>
      <c r="R260" s="23"/>
      <c r="S260" s="33"/>
      <c r="T260" s="33"/>
      <c r="U260" s="33"/>
      <c r="V260" s="33"/>
      <c r="W260" s="33"/>
      <c r="X260" s="33"/>
      <c r="Y260" s="37"/>
      <c r="Z260" s="23"/>
      <c r="AA260" s="33"/>
      <c r="AB260" s="23"/>
      <c r="AC260" s="33"/>
      <c r="AD260" s="23"/>
      <c r="AE260" s="33"/>
      <c r="AF260" s="33"/>
      <c r="AG260" s="33"/>
      <c r="AH260" s="33"/>
      <c r="AI260" s="33"/>
      <c r="AJ260" s="33"/>
      <c r="AK260" s="33"/>
      <c r="AL260" s="33"/>
      <c r="AM260" s="216"/>
      <c r="AN260" s="33"/>
      <c r="AO260" s="33"/>
      <c r="AP260" s="33"/>
    </row>
    <row r="261" spans="1:42" ht="15.75" customHeight="1">
      <c r="A261" s="33"/>
      <c r="B261" s="33"/>
      <c r="C261" s="33"/>
      <c r="D261" s="33"/>
      <c r="E261" s="33"/>
      <c r="F261" s="199"/>
      <c r="G261" s="33"/>
      <c r="H261" s="28"/>
      <c r="I261" s="33"/>
      <c r="J261" s="23"/>
      <c r="K261" s="28"/>
      <c r="L261" s="31"/>
      <c r="M261" s="31"/>
      <c r="N261" s="33"/>
      <c r="O261" s="33"/>
      <c r="P261" s="33"/>
      <c r="Q261" s="31"/>
      <c r="R261" s="23"/>
      <c r="S261" s="33"/>
      <c r="T261" s="33"/>
      <c r="U261" s="33"/>
      <c r="V261" s="33"/>
      <c r="W261" s="33"/>
      <c r="X261" s="33"/>
      <c r="Y261" s="37"/>
      <c r="Z261" s="23"/>
      <c r="AA261" s="33"/>
      <c r="AB261" s="23"/>
      <c r="AC261" s="33"/>
      <c r="AD261" s="23"/>
      <c r="AE261" s="33"/>
      <c r="AF261" s="33"/>
      <c r="AG261" s="33"/>
      <c r="AH261" s="33"/>
      <c r="AI261" s="33"/>
      <c r="AJ261" s="33"/>
      <c r="AK261" s="33"/>
      <c r="AL261" s="33"/>
      <c r="AM261" s="216"/>
      <c r="AN261" s="33"/>
      <c r="AO261" s="33"/>
      <c r="AP261" s="33"/>
    </row>
    <row r="262" spans="1:42" ht="15.75" customHeight="1">
      <c r="A262" s="33"/>
      <c r="B262" s="33"/>
      <c r="C262" s="33"/>
      <c r="D262" s="33"/>
      <c r="E262" s="33"/>
      <c r="F262" s="199"/>
      <c r="G262" s="33"/>
      <c r="H262" s="28"/>
      <c r="I262" s="33"/>
      <c r="J262" s="23"/>
      <c r="K262" s="28"/>
      <c r="L262" s="31"/>
      <c r="M262" s="31"/>
      <c r="N262" s="33"/>
      <c r="O262" s="33"/>
      <c r="P262" s="33"/>
      <c r="Q262" s="31"/>
      <c r="R262" s="23"/>
      <c r="S262" s="33"/>
      <c r="T262" s="33"/>
      <c r="U262" s="33"/>
      <c r="V262" s="33"/>
      <c r="W262" s="33"/>
      <c r="X262" s="33"/>
      <c r="Y262" s="37"/>
      <c r="Z262" s="23"/>
      <c r="AA262" s="33"/>
      <c r="AB262" s="23"/>
      <c r="AC262" s="33"/>
      <c r="AD262" s="23"/>
      <c r="AE262" s="33"/>
      <c r="AF262" s="33"/>
      <c r="AG262" s="33"/>
      <c r="AH262" s="33"/>
      <c r="AI262" s="33"/>
      <c r="AJ262" s="33"/>
      <c r="AK262" s="33"/>
      <c r="AL262" s="33"/>
      <c r="AM262" s="216"/>
      <c r="AN262" s="33"/>
      <c r="AO262" s="33"/>
      <c r="AP262" s="33"/>
    </row>
    <row r="263" spans="1:42" ht="15.75" customHeight="1">
      <c r="A263" s="33"/>
      <c r="B263" s="33"/>
      <c r="C263" s="33"/>
      <c r="D263" s="33"/>
      <c r="E263" s="33"/>
      <c r="F263" s="199"/>
      <c r="G263" s="33"/>
      <c r="H263" s="28"/>
      <c r="I263" s="33"/>
      <c r="J263" s="23"/>
      <c r="K263" s="28"/>
      <c r="L263" s="31"/>
      <c r="M263" s="31"/>
      <c r="N263" s="33"/>
      <c r="O263" s="33"/>
      <c r="P263" s="33"/>
      <c r="Q263" s="31"/>
      <c r="R263" s="23"/>
      <c r="S263" s="33"/>
      <c r="T263" s="33"/>
      <c r="U263" s="33"/>
      <c r="V263" s="33"/>
      <c r="W263" s="33"/>
      <c r="X263" s="33"/>
      <c r="Y263" s="37"/>
      <c r="Z263" s="23"/>
      <c r="AA263" s="33"/>
      <c r="AB263" s="23"/>
      <c r="AC263" s="33"/>
      <c r="AD263" s="23"/>
      <c r="AE263" s="33"/>
      <c r="AF263" s="33"/>
      <c r="AG263" s="33"/>
      <c r="AH263" s="33"/>
      <c r="AI263" s="33"/>
      <c r="AJ263" s="33"/>
      <c r="AK263" s="33"/>
      <c r="AL263" s="33"/>
      <c r="AM263" s="216"/>
      <c r="AN263" s="33"/>
      <c r="AO263" s="33"/>
      <c r="AP263" s="33"/>
    </row>
    <row r="264" spans="1:42" ht="15.75" customHeight="1">
      <c r="A264" s="33"/>
      <c r="B264" s="33"/>
      <c r="C264" s="33"/>
      <c r="D264" s="33"/>
      <c r="E264" s="33"/>
      <c r="F264" s="199"/>
      <c r="G264" s="33"/>
      <c r="H264" s="28"/>
      <c r="I264" s="33"/>
      <c r="J264" s="23"/>
      <c r="K264" s="28"/>
      <c r="L264" s="31"/>
      <c r="M264" s="31"/>
      <c r="N264" s="33"/>
      <c r="O264" s="33"/>
      <c r="P264" s="33"/>
      <c r="Q264" s="31"/>
      <c r="R264" s="23"/>
      <c r="S264" s="33"/>
      <c r="T264" s="33"/>
      <c r="U264" s="33"/>
      <c r="V264" s="33"/>
      <c r="W264" s="33"/>
      <c r="X264" s="33"/>
      <c r="Y264" s="37"/>
      <c r="Z264" s="23"/>
      <c r="AA264" s="33"/>
      <c r="AB264" s="23"/>
      <c r="AC264" s="33"/>
      <c r="AD264" s="23"/>
      <c r="AE264" s="33"/>
      <c r="AF264" s="33"/>
      <c r="AG264" s="33"/>
      <c r="AH264" s="33"/>
      <c r="AI264" s="33"/>
      <c r="AJ264" s="33"/>
      <c r="AK264" s="33"/>
      <c r="AL264" s="33"/>
      <c r="AM264" s="216"/>
      <c r="AN264" s="33"/>
      <c r="AO264" s="33"/>
      <c r="AP264" s="33"/>
    </row>
    <row r="265" spans="1:42" ht="15.75" customHeight="1">
      <c r="A265" s="33"/>
      <c r="B265" s="33"/>
      <c r="C265" s="33"/>
      <c r="D265" s="33"/>
      <c r="E265" s="33"/>
      <c r="F265" s="199"/>
      <c r="G265" s="33"/>
      <c r="H265" s="28"/>
      <c r="I265" s="33"/>
      <c r="J265" s="23"/>
      <c r="K265" s="28"/>
      <c r="L265" s="31"/>
      <c r="M265" s="31"/>
      <c r="N265" s="33"/>
      <c r="O265" s="33"/>
      <c r="P265" s="33"/>
      <c r="Q265" s="31"/>
      <c r="R265" s="23"/>
      <c r="S265" s="33"/>
      <c r="T265" s="33"/>
      <c r="U265" s="33"/>
      <c r="V265" s="33"/>
      <c r="W265" s="33"/>
      <c r="X265" s="33"/>
      <c r="Y265" s="37"/>
      <c r="Z265" s="23"/>
      <c r="AA265" s="33"/>
      <c r="AB265" s="23"/>
      <c r="AC265" s="33"/>
      <c r="AD265" s="23"/>
      <c r="AE265" s="33"/>
      <c r="AF265" s="33"/>
      <c r="AG265" s="33"/>
      <c r="AH265" s="33"/>
      <c r="AI265" s="33"/>
      <c r="AJ265" s="33"/>
      <c r="AK265" s="33"/>
      <c r="AL265" s="33"/>
      <c r="AM265" s="216"/>
      <c r="AN265" s="33"/>
      <c r="AO265" s="33"/>
      <c r="AP265" s="33"/>
    </row>
    <row r="266" spans="1:42" ht="15.75" customHeight="1">
      <c r="A266" s="33"/>
      <c r="B266" s="33"/>
      <c r="C266" s="33"/>
      <c r="D266" s="33"/>
      <c r="E266" s="33"/>
      <c r="F266" s="199"/>
      <c r="G266" s="33"/>
      <c r="H266" s="28"/>
      <c r="I266" s="33"/>
      <c r="J266" s="23"/>
      <c r="K266" s="28"/>
      <c r="L266" s="31"/>
      <c r="M266" s="31"/>
      <c r="N266" s="33"/>
      <c r="O266" s="33"/>
      <c r="P266" s="33"/>
      <c r="Q266" s="31"/>
      <c r="R266" s="23"/>
      <c r="S266" s="33"/>
      <c r="T266" s="33"/>
      <c r="U266" s="33"/>
      <c r="V266" s="33"/>
      <c r="W266" s="33"/>
      <c r="X266" s="33"/>
      <c r="Y266" s="37"/>
      <c r="Z266" s="23"/>
      <c r="AA266" s="33"/>
      <c r="AB266" s="23"/>
      <c r="AC266" s="33"/>
      <c r="AD266" s="23"/>
      <c r="AE266" s="33"/>
      <c r="AF266" s="33"/>
      <c r="AG266" s="33"/>
      <c r="AH266" s="33"/>
      <c r="AI266" s="33"/>
      <c r="AJ266" s="33"/>
      <c r="AK266" s="33"/>
      <c r="AL266" s="33"/>
      <c r="AM266" s="216"/>
      <c r="AN266" s="33"/>
      <c r="AO266" s="33"/>
      <c r="AP266" s="33"/>
    </row>
    <row r="267" spans="1:42" ht="15.75" customHeight="1">
      <c r="A267" s="33"/>
      <c r="B267" s="33"/>
      <c r="C267" s="33"/>
      <c r="D267" s="33"/>
      <c r="E267" s="33"/>
      <c r="F267" s="199"/>
      <c r="G267" s="33"/>
      <c r="H267" s="28"/>
      <c r="I267" s="33"/>
      <c r="J267" s="23"/>
      <c r="K267" s="28"/>
      <c r="L267" s="31"/>
      <c r="M267" s="31"/>
      <c r="N267" s="33"/>
      <c r="O267" s="33"/>
      <c r="P267" s="33"/>
      <c r="Q267" s="31"/>
      <c r="R267" s="23"/>
      <c r="S267" s="33"/>
      <c r="T267" s="33"/>
      <c r="U267" s="33"/>
      <c r="V267" s="33"/>
      <c r="W267" s="33"/>
      <c r="X267" s="33"/>
      <c r="Y267" s="37"/>
      <c r="Z267" s="23"/>
      <c r="AA267" s="33"/>
      <c r="AB267" s="23"/>
      <c r="AC267" s="33"/>
      <c r="AD267" s="23"/>
      <c r="AE267" s="33"/>
      <c r="AF267" s="33"/>
      <c r="AG267" s="33"/>
      <c r="AH267" s="33"/>
      <c r="AI267" s="33"/>
      <c r="AJ267" s="33"/>
      <c r="AK267" s="33"/>
      <c r="AL267" s="33"/>
      <c r="AM267" s="216"/>
      <c r="AN267" s="33"/>
      <c r="AO267" s="33"/>
      <c r="AP267" s="33"/>
    </row>
    <row r="268" spans="1:42" ht="15.75" customHeight="1">
      <c r="A268" s="33"/>
      <c r="B268" s="33"/>
      <c r="C268" s="33"/>
      <c r="D268" s="33"/>
      <c r="E268" s="33"/>
      <c r="F268" s="199"/>
      <c r="G268" s="33"/>
      <c r="H268" s="28"/>
      <c r="I268" s="33"/>
      <c r="J268" s="23"/>
      <c r="K268" s="28"/>
      <c r="L268" s="31"/>
      <c r="M268" s="31"/>
      <c r="N268" s="33"/>
      <c r="O268" s="33"/>
      <c r="P268" s="33"/>
      <c r="Q268" s="31"/>
      <c r="R268" s="23"/>
      <c r="S268" s="33"/>
      <c r="T268" s="33"/>
      <c r="U268" s="33"/>
      <c r="V268" s="33"/>
      <c r="W268" s="33"/>
      <c r="X268" s="33"/>
      <c r="Y268" s="37"/>
      <c r="Z268" s="23"/>
      <c r="AA268" s="33"/>
      <c r="AB268" s="23"/>
      <c r="AC268" s="33"/>
      <c r="AD268" s="23"/>
      <c r="AE268" s="33"/>
      <c r="AF268" s="33"/>
      <c r="AG268" s="33"/>
      <c r="AH268" s="33"/>
      <c r="AI268" s="33"/>
      <c r="AJ268" s="33"/>
      <c r="AK268" s="33"/>
      <c r="AL268" s="33"/>
      <c r="AM268" s="216"/>
      <c r="AN268" s="33"/>
      <c r="AO268" s="33"/>
      <c r="AP268" s="33"/>
    </row>
    <row r="269" spans="1:42" ht="15.75" customHeight="1">
      <c r="A269" s="33"/>
      <c r="B269" s="33"/>
      <c r="C269" s="33"/>
      <c r="D269" s="33"/>
      <c r="E269" s="33"/>
      <c r="F269" s="199"/>
      <c r="G269" s="33"/>
      <c r="H269" s="28"/>
      <c r="I269" s="33"/>
      <c r="J269" s="23"/>
      <c r="K269" s="28"/>
      <c r="L269" s="31"/>
      <c r="M269" s="31"/>
      <c r="N269" s="33"/>
      <c r="O269" s="33"/>
      <c r="P269" s="33"/>
      <c r="Q269" s="31"/>
      <c r="R269" s="23"/>
      <c r="S269" s="33"/>
      <c r="T269" s="33"/>
      <c r="U269" s="33"/>
      <c r="V269" s="33"/>
      <c r="W269" s="33"/>
      <c r="X269" s="33"/>
      <c r="Y269" s="37"/>
      <c r="Z269" s="23"/>
      <c r="AA269" s="33"/>
      <c r="AB269" s="23"/>
      <c r="AC269" s="33"/>
      <c r="AD269" s="23"/>
      <c r="AE269" s="33"/>
      <c r="AF269" s="33"/>
      <c r="AG269" s="33"/>
      <c r="AH269" s="33"/>
      <c r="AI269" s="33"/>
      <c r="AJ269" s="33"/>
      <c r="AK269" s="33"/>
      <c r="AL269" s="33"/>
      <c r="AM269" s="216"/>
      <c r="AN269" s="33"/>
      <c r="AO269" s="33"/>
      <c r="AP269" s="33"/>
    </row>
    <row r="270" spans="1:42" ht="15.75" customHeight="1">
      <c r="A270" s="33"/>
      <c r="B270" s="33"/>
      <c r="C270" s="33"/>
      <c r="D270" s="33"/>
      <c r="E270" s="33"/>
      <c r="F270" s="199"/>
      <c r="G270" s="33"/>
      <c r="H270" s="28"/>
      <c r="I270" s="33"/>
      <c r="J270" s="23"/>
      <c r="K270" s="28"/>
      <c r="L270" s="31"/>
      <c r="M270" s="31"/>
      <c r="N270" s="33"/>
      <c r="O270" s="33"/>
      <c r="P270" s="33"/>
      <c r="Q270" s="31"/>
      <c r="R270" s="23"/>
      <c r="S270" s="33"/>
      <c r="T270" s="33"/>
      <c r="U270" s="33"/>
      <c r="V270" s="33"/>
      <c r="W270" s="33"/>
      <c r="X270" s="33"/>
      <c r="Y270" s="37"/>
      <c r="Z270" s="23"/>
      <c r="AA270" s="33"/>
      <c r="AB270" s="23"/>
      <c r="AC270" s="33"/>
      <c r="AD270" s="23"/>
      <c r="AE270" s="33"/>
      <c r="AF270" s="33"/>
      <c r="AG270" s="33"/>
      <c r="AH270" s="33"/>
      <c r="AI270" s="33"/>
      <c r="AJ270" s="33"/>
      <c r="AK270" s="33"/>
      <c r="AL270" s="33"/>
      <c r="AM270" s="216"/>
      <c r="AN270" s="33"/>
      <c r="AO270" s="33"/>
      <c r="AP270" s="33"/>
    </row>
    <row r="271" spans="1:42" ht="15.75" customHeight="1">
      <c r="A271" s="33"/>
      <c r="B271" s="33"/>
      <c r="C271" s="33"/>
      <c r="D271" s="33"/>
      <c r="E271" s="33"/>
      <c r="F271" s="199"/>
      <c r="G271" s="33"/>
      <c r="H271" s="28"/>
      <c r="I271" s="33"/>
      <c r="J271" s="23"/>
      <c r="K271" s="28"/>
      <c r="L271" s="31"/>
      <c r="M271" s="31"/>
      <c r="N271" s="33"/>
      <c r="O271" s="33"/>
      <c r="P271" s="33"/>
      <c r="Q271" s="31"/>
      <c r="R271" s="23"/>
      <c r="S271" s="33"/>
      <c r="T271" s="33"/>
      <c r="U271" s="33"/>
      <c r="V271" s="33"/>
      <c r="W271" s="33"/>
      <c r="X271" s="33"/>
      <c r="Y271" s="37"/>
      <c r="Z271" s="23"/>
      <c r="AA271" s="33"/>
      <c r="AB271" s="23"/>
      <c r="AC271" s="33"/>
      <c r="AD271" s="23"/>
      <c r="AE271" s="33"/>
      <c r="AF271" s="33"/>
      <c r="AG271" s="33"/>
      <c r="AH271" s="33"/>
      <c r="AI271" s="33"/>
      <c r="AJ271" s="33"/>
      <c r="AK271" s="33"/>
      <c r="AL271" s="33"/>
      <c r="AM271" s="216"/>
      <c r="AN271" s="33"/>
      <c r="AO271" s="33"/>
      <c r="AP271" s="33"/>
    </row>
    <row r="272" spans="1:42" ht="15.75" customHeight="1">
      <c r="A272" s="33"/>
      <c r="B272" s="33"/>
      <c r="C272" s="33"/>
      <c r="D272" s="33"/>
      <c r="E272" s="33"/>
      <c r="F272" s="199"/>
      <c r="G272" s="33"/>
      <c r="H272" s="28"/>
      <c r="I272" s="33"/>
      <c r="J272" s="23"/>
      <c r="K272" s="28"/>
      <c r="L272" s="31"/>
      <c r="M272" s="31"/>
      <c r="N272" s="33"/>
      <c r="O272" s="33"/>
      <c r="P272" s="33"/>
      <c r="Q272" s="31"/>
      <c r="R272" s="23"/>
      <c r="S272" s="33"/>
      <c r="T272" s="33"/>
      <c r="U272" s="33"/>
      <c r="V272" s="33"/>
      <c r="W272" s="33"/>
      <c r="X272" s="33"/>
      <c r="Y272" s="37"/>
      <c r="Z272" s="23"/>
      <c r="AA272" s="33"/>
      <c r="AB272" s="23"/>
      <c r="AC272" s="33"/>
      <c r="AD272" s="23"/>
      <c r="AE272" s="33"/>
      <c r="AF272" s="33"/>
      <c r="AG272" s="33"/>
      <c r="AH272" s="33"/>
      <c r="AI272" s="33"/>
      <c r="AJ272" s="33"/>
      <c r="AK272" s="33"/>
      <c r="AL272" s="33"/>
      <c r="AM272" s="216"/>
      <c r="AN272" s="33"/>
      <c r="AO272" s="33"/>
      <c r="AP272" s="33"/>
    </row>
    <row r="273" spans="1:42" ht="15.75" customHeight="1">
      <c r="A273" s="33"/>
      <c r="B273" s="33"/>
      <c r="C273" s="33"/>
      <c r="D273" s="33"/>
      <c r="E273" s="33"/>
      <c r="F273" s="199"/>
      <c r="G273" s="33"/>
      <c r="H273" s="28"/>
      <c r="I273" s="33"/>
      <c r="J273" s="23"/>
      <c r="K273" s="28"/>
      <c r="L273" s="31"/>
      <c r="M273" s="31"/>
      <c r="N273" s="33"/>
      <c r="O273" s="33"/>
      <c r="P273" s="33"/>
      <c r="Q273" s="31"/>
      <c r="R273" s="23"/>
      <c r="S273" s="33"/>
      <c r="T273" s="33"/>
      <c r="U273" s="33"/>
      <c r="V273" s="33"/>
      <c r="W273" s="33"/>
      <c r="X273" s="33"/>
      <c r="Y273" s="37"/>
      <c r="Z273" s="23"/>
      <c r="AA273" s="33"/>
      <c r="AB273" s="23"/>
      <c r="AC273" s="33"/>
      <c r="AD273" s="23"/>
      <c r="AE273" s="33"/>
      <c r="AF273" s="33"/>
      <c r="AG273" s="33"/>
      <c r="AH273" s="33"/>
      <c r="AI273" s="33"/>
      <c r="AJ273" s="33"/>
      <c r="AK273" s="33"/>
      <c r="AL273" s="33"/>
      <c r="AM273" s="216"/>
      <c r="AN273" s="33"/>
      <c r="AO273" s="33"/>
      <c r="AP273" s="33"/>
    </row>
    <row r="274" spans="1:42" ht="15.75" customHeight="1">
      <c r="A274" s="33"/>
      <c r="B274" s="33"/>
      <c r="C274" s="33"/>
      <c r="D274" s="33"/>
      <c r="E274" s="33"/>
      <c r="F274" s="199"/>
      <c r="G274" s="33"/>
      <c r="H274" s="28"/>
      <c r="I274" s="33"/>
      <c r="J274" s="23"/>
      <c r="K274" s="28"/>
      <c r="L274" s="31"/>
      <c r="M274" s="31"/>
      <c r="N274" s="33"/>
      <c r="O274" s="33"/>
      <c r="P274" s="33"/>
      <c r="Q274" s="31"/>
      <c r="R274" s="23"/>
      <c r="S274" s="33"/>
      <c r="T274" s="33"/>
      <c r="U274" s="33"/>
      <c r="V274" s="33"/>
      <c r="W274" s="33"/>
      <c r="X274" s="33"/>
      <c r="Y274" s="37"/>
      <c r="Z274" s="23"/>
      <c r="AA274" s="33"/>
      <c r="AB274" s="23"/>
      <c r="AC274" s="33"/>
      <c r="AD274" s="23"/>
      <c r="AE274" s="33"/>
      <c r="AF274" s="33"/>
      <c r="AG274" s="33"/>
      <c r="AH274" s="33"/>
      <c r="AI274" s="33"/>
      <c r="AJ274" s="33"/>
      <c r="AK274" s="33"/>
      <c r="AL274" s="33"/>
      <c r="AM274" s="216"/>
      <c r="AN274" s="33"/>
      <c r="AO274" s="33"/>
      <c r="AP274" s="33"/>
    </row>
    <row r="275" spans="1:42" ht="15.75" customHeight="1">
      <c r="A275" s="33"/>
      <c r="B275" s="33"/>
      <c r="C275" s="33"/>
      <c r="D275" s="33"/>
      <c r="E275" s="33"/>
      <c r="F275" s="199"/>
      <c r="G275" s="33"/>
      <c r="H275" s="28"/>
      <c r="I275" s="33"/>
      <c r="J275" s="23"/>
      <c r="K275" s="28"/>
      <c r="L275" s="31"/>
      <c r="M275" s="31"/>
      <c r="N275" s="33"/>
      <c r="O275" s="33"/>
      <c r="P275" s="33"/>
      <c r="Q275" s="31"/>
      <c r="R275" s="23"/>
      <c r="S275" s="33"/>
      <c r="T275" s="33"/>
      <c r="U275" s="33"/>
      <c r="V275" s="33"/>
      <c r="W275" s="33"/>
      <c r="X275" s="33"/>
      <c r="Y275" s="37"/>
      <c r="Z275" s="23"/>
      <c r="AA275" s="33"/>
      <c r="AB275" s="23"/>
      <c r="AC275" s="33"/>
      <c r="AD275" s="23"/>
      <c r="AE275" s="33"/>
      <c r="AF275" s="33"/>
      <c r="AG275" s="33"/>
      <c r="AH275" s="33"/>
      <c r="AI275" s="33"/>
      <c r="AJ275" s="33"/>
      <c r="AK275" s="33"/>
      <c r="AL275" s="33"/>
      <c r="AM275" s="216"/>
      <c r="AN275" s="33"/>
      <c r="AO275" s="33"/>
      <c r="AP275" s="33"/>
    </row>
    <row r="276" spans="1:42" ht="15.75" customHeight="1">
      <c r="A276" s="33"/>
      <c r="B276" s="33"/>
      <c r="C276" s="33"/>
      <c r="D276" s="33"/>
      <c r="E276" s="33"/>
      <c r="F276" s="199"/>
      <c r="G276" s="33"/>
      <c r="H276" s="28"/>
      <c r="I276" s="33"/>
      <c r="J276" s="23"/>
      <c r="K276" s="28"/>
      <c r="L276" s="31"/>
      <c r="M276" s="31"/>
      <c r="N276" s="33"/>
      <c r="O276" s="33"/>
      <c r="P276" s="33"/>
      <c r="Q276" s="31"/>
      <c r="R276" s="23"/>
      <c r="S276" s="33"/>
      <c r="T276" s="33"/>
      <c r="U276" s="33"/>
      <c r="V276" s="33"/>
      <c r="W276" s="33"/>
      <c r="X276" s="33"/>
      <c r="Y276" s="37"/>
      <c r="Z276" s="23"/>
      <c r="AA276" s="33"/>
      <c r="AB276" s="23"/>
      <c r="AC276" s="33"/>
      <c r="AD276" s="23"/>
      <c r="AE276" s="33"/>
      <c r="AF276" s="33"/>
      <c r="AG276" s="33"/>
      <c r="AH276" s="33"/>
      <c r="AI276" s="33"/>
      <c r="AJ276" s="33"/>
      <c r="AK276" s="33"/>
      <c r="AL276" s="33"/>
      <c r="AM276" s="216"/>
      <c r="AN276" s="33"/>
      <c r="AO276" s="33"/>
      <c r="AP276" s="33"/>
    </row>
    <row r="277" spans="1:42" ht="15.75" customHeight="1">
      <c r="A277" s="33"/>
      <c r="B277" s="33"/>
      <c r="C277" s="33"/>
      <c r="D277" s="33"/>
      <c r="E277" s="33"/>
      <c r="F277" s="199"/>
      <c r="G277" s="33"/>
      <c r="H277" s="28"/>
      <c r="I277" s="33"/>
      <c r="J277" s="23"/>
      <c r="K277" s="28"/>
      <c r="L277" s="31"/>
      <c r="M277" s="31"/>
      <c r="N277" s="33"/>
      <c r="O277" s="33"/>
      <c r="P277" s="33"/>
      <c r="Q277" s="31"/>
      <c r="R277" s="23"/>
      <c r="S277" s="33"/>
      <c r="T277" s="33"/>
      <c r="U277" s="33"/>
      <c r="V277" s="33"/>
      <c r="W277" s="33"/>
      <c r="X277" s="33"/>
      <c r="Y277" s="37"/>
      <c r="Z277" s="23"/>
      <c r="AA277" s="33"/>
      <c r="AB277" s="23"/>
      <c r="AC277" s="33"/>
      <c r="AD277" s="23"/>
      <c r="AE277" s="33"/>
      <c r="AF277" s="33"/>
      <c r="AG277" s="33"/>
      <c r="AH277" s="33"/>
      <c r="AI277" s="33"/>
      <c r="AJ277" s="33"/>
      <c r="AK277" s="33"/>
      <c r="AL277" s="33"/>
      <c r="AM277" s="216"/>
      <c r="AN277" s="33"/>
      <c r="AO277" s="33"/>
      <c r="AP277" s="33"/>
    </row>
    <row r="278" spans="1:42" ht="15.75" customHeight="1">
      <c r="A278" s="33"/>
      <c r="B278" s="33"/>
      <c r="C278" s="33"/>
      <c r="D278" s="33"/>
      <c r="E278" s="33"/>
      <c r="F278" s="199"/>
      <c r="G278" s="33"/>
      <c r="H278" s="28"/>
      <c r="I278" s="33"/>
      <c r="J278" s="23"/>
      <c r="K278" s="28"/>
      <c r="L278" s="31"/>
      <c r="M278" s="31"/>
      <c r="N278" s="33"/>
      <c r="O278" s="33"/>
      <c r="P278" s="33"/>
      <c r="Q278" s="31"/>
      <c r="R278" s="23"/>
      <c r="S278" s="33"/>
      <c r="T278" s="33"/>
      <c r="U278" s="33"/>
      <c r="V278" s="33"/>
      <c r="W278" s="33"/>
      <c r="X278" s="33"/>
      <c r="Y278" s="37"/>
      <c r="Z278" s="23"/>
      <c r="AA278" s="33"/>
      <c r="AB278" s="23"/>
      <c r="AC278" s="33"/>
      <c r="AD278" s="23"/>
      <c r="AE278" s="33"/>
      <c r="AF278" s="33"/>
      <c r="AG278" s="33"/>
      <c r="AH278" s="33"/>
      <c r="AI278" s="33"/>
      <c r="AJ278" s="33"/>
      <c r="AK278" s="33"/>
      <c r="AL278" s="33"/>
      <c r="AM278" s="216"/>
      <c r="AN278" s="33"/>
      <c r="AO278" s="33"/>
      <c r="AP278" s="33"/>
    </row>
    <row r="279" spans="1:42" ht="15.75" customHeight="1">
      <c r="A279" s="33"/>
      <c r="B279" s="33"/>
      <c r="C279" s="33"/>
      <c r="D279" s="33"/>
      <c r="E279" s="33"/>
      <c r="F279" s="199"/>
      <c r="G279" s="33"/>
      <c r="H279" s="28"/>
      <c r="I279" s="33"/>
      <c r="J279" s="23"/>
      <c r="K279" s="28"/>
      <c r="L279" s="31"/>
      <c r="M279" s="31"/>
      <c r="N279" s="33"/>
      <c r="O279" s="33"/>
      <c r="P279" s="33"/>
      <c r="Q279" s="31"/>
      <c r="R279" s="23"/>
      <c r="S279" s="33"/>
      <c r="T279" s="33"/>
      <c r="U279" s="33"/>
      <c r="V279" s="33"/>
      <c r="W279" s="33"/>
      <c r="X279" s="33"/>
      <c r="Y279" s="37"/>
      <c r="Z279" s="23"/>
      <c r="AA279" s="33"/>
      <c r="AB279" s="23"/>
      <c r="AC279" s="33"/>
      <c r="AD279" s="23"/>
      <c r="AE279" s="33"/>
      <c r="AF279" s="33"/>
      <c r="AG279" s="33"/>
      <c r="AH279" s="33"/>
      <c r="AI279" s="33"/>
      <c r="AJ279" s="33"/>
      <c r="AK279" s="33"/>
      <c r="AL279" s="33"/>
      <c r="AM279" s="216"/>
      <c r="AN279" s="33"/>
      <c r="AO279" s="33"/>
      <c r="AP279" s="33"/>
    </row>
    <row r="280" spans="1:42" ht="15.75" customHeight="1">
      <c r="A280" s="33"/>
      <c r="B280" s="33"/>
      <c r="C280" s="33"/>
      <c r="D280" s="33"/>
      <c r="E280" s="33"/>
      <c r="F280" s="199"/>
      <c r="G280" s="33"/>
      <c r="H280" s="28"/>
      <c r="I280" s="33"/>
      <c r="J280" s="23"/>
      <c r="K280" s="28"/>
      <c r="L280" s="31"/>
      <c r="M280" s="31"/>
      <c r="N280" s="33"/>
      <c r="O280" s="33"/>
      <c r="P280" s="33"/>
      <c r="Q280" s="31"/>
      <c r="R280" s="23"/>
      <c r="S280" s="33"/>
      <c r="T280" s="33"/>
      <c r="U280" s="33"/>
      <c r="V280" s="33"/>
      <c r="W280" s="33"/>
      <c r="X280" s="33"/>
      <c r="Y280" s="37"/>
      <c r="Z280" s="23"/>
      <c r="AA280" s="33"/>
      <c r="AB280" s="23"/>
      <c r="AC280" s="33"/>
      <c r="AD280" s="23"/>
      <c r="AE280" s="33"/>
      <c r="AF280" s="33"/>
      <c r="AG280" s="33"/>
      <c r="AH280" s="33"/>
      <c r="AI280" s="33"/>
      <c r="AJ280" s="33"/>
      <c r="AK280" s="33"/>
      <c r="AL280" s="33"/>
      <c r="AM280" s="216"/>
      <c r="AN280" s="33"/>
      <c r="AO280" s="33"/>
      <c r="AP280" s="33"/>
    </row>
    <row r="281" spans="1:42" ht="15.75" customHeight="1">
      <c r="A281" s="33"/>
      <c r="B281" s="33"/>
      <c r="C281" s="33"/>
      <c r="D281" s="33"/>
      <c r="E281" s="33"/>
      <c r="F281" s="199"/>
      <c r="G281" s="33"/>
      <c r="H281" s="28"/>
      <c r="I281" s="33"/>
      <c r="J281" s="23"/>
      <c r="K281" s="28"/>
      <c r="L281" s="31"/>
      <c r="M281" s="31"/>
      <c r="N281" s="33"/>
      <c r="O281" s="33"/>
      <c r="P281" s="33"/>
      <c r="Q281" s="31"/>
      <c r="R281" s="23"/>
      <c r="S281" s="33"/>
      <c r="T281" s="33"/>
      <c r="U281" s="33"/>
      <c r="V281" s="33"/>
      <c r="W281" s="33"/>
      <c r="X281" s="33"/>
      <c r="Y281" s="37"/>
      <c r="Z281" s="23"/>
      <c r="AA281" s="33"/>
      <c r="AB281" s="23"/>
      <c r="AC281" s="33"/>
      <c r="AD281" s="23"/>
      <c r="AE281" s="33"/>
      <c r="AF281" s="33"/>
      <c r="AG281" s="33"/>
      <c r="AH281" s="33"/>
      <c r="AI281" s="33"/>
      <c r="AJ281" s="33"/>
      <c r="AK281" s="33"/>
      <c r="AL281" s="33"/>
      <c r="AM281" s="216"/>
      <c r="AN281" s="33"/>
      <c r="AO281" s="33"/>
      <c r="AP281" s="33"/>
    </row>
    <row r="282" spans="1:42" ht="15.75" customHeight="1">
      <c r="A282" s="33"/>
      <c r="B282" s="33"/>
      <c r="C282" s="33"/>
      <c r="D282" s="33"/>
      <c r="E282" s="33"/>
      <c r="F282" s="199"/>
      <c r="G282" s="33"/>
      <c r="H282" s="28"/>
      <c r="I282" s="33"/>
      <c r="J282" s="23"/>
      <c r="K282" s="28"/>
      <c r="L282" s="31"/>
      <c r="M282" s="31"/>
      <c r="N282" s="33"/>
      <c r="O282" s="33"/>
      <c r="P282" s="33"/>
      <c r="Q282" s="31"/>
      <c r="R282" s="23"/>
      <c r="S282" s="33"/>
      <c r="T282" s="33"/>
      <c r="U282" s="33"/>
      <c r="V282" s="33"/>
      <c r="W282" s="33"/>
      <c r="X282" s="33"/>
      <c r="Y282" s="37"/>
      <c r="Z282" s="23"/>
      <c r="AA282" s="33"/>
      <c r="AB282" s="23"/>
      <c r="AC282" s="33"/>
      <c r="AD282" s="23"/>
      <c r="AE282" s="33"/>
      <c r="AF282" s="33"/>
      <c r="AG282" s="33"/>
      <c r="AH282" s="33"/>
      <c r="AI282" s="33"/>
      <c r="AJ282" s="33"/>
      <c r="AK282" s="33"/>
      <c r="AL282" s="33"/>
      <c r="AM282" s="216"/>
      <c r="AN282" s="33"/>
      <c r="AO282" s="33"/>
      <c r="AP282" s="33"/>
    </row>
    <row r="283" spans="1:42" ht="15.75" customHeight="1">
      <c r="A283" s="33"/>
      <c r="B283" s="33"/>
      <c r="C283" s="33"/>
      <c r="D283" s="33"/>
      <c r="E283" s="33"/>
      <c r="F283" s="199"/>
      <c r="G283" s="33"/>
      <c r="H283" s="28"/>
      <c r="I283" s="33"/>
      <c r="J283" s="23"/>
      <c r="K283" s="28"/>
      <c r="L283" s="31"/>
      <c r="M283" s="31"/>
      <c r="N283" s="33"/>
      <c r="O283" s="33"/>
      <c r="P283" s="33"/>
      <c r="Q283" s="31"/>
      <c r="R283" s="23"/>
      <c r="S283" s="33"/>
      <c r="T283" s="33"/>
      <c r="U283" s="33"/>
      <c r="V283" s="33"/>
      <c r="W283" s="33"/>
      <c r="X283" s="33"/>
      <c r="Y283" s="37"/>
      <c r="Z283" s="23"/>
      <c r="AA283" s="33"/>
      <c r="AB283" s="23"/>
      <c r="AC283" s="33"/>
      <c r="AD283" s="23"/>
      <c r="AE283" s="33"/>
      <c r="AF283" s="33"/>
      <c r="AG283" s="33"/>
      <c r="AH283" s="33"/>
      <c r="AI283" s="33"/>
      <c r="AJ283" s="33"/>
      <c r="AK283" s="33"/>
      <c r="AL283" s="33"/>
      <c r="AM283" s="216"/>
      <c r="AN283" s="33"/>
      <c r="AO283" s="33"/>
      <c r="AP283" s="33"/>
    </row>
    <row r="284" spans="1:42" ht="15.75" customHeight="1">
      <c r="A284" s="33"/>
      <c r="B284" s="33"/>
      <c r="C284" s="33"/>
      <c r="D284" s="33"/>
      <c r="E284" s="33"/>
      <c r="F284" s="199"/>
      <c r="G284" s="33"/>
      <c r="H284" s="28"/>
      <c r="I284" s="33"/>
      <c r="J284" s="23"/>
      <c r="K284" s="28"/>
      <c r="L284" s="31"/>
      <c r="M284" s="31"/>
      <c r="N284" s="33"/>
      <c r="O284" s="33"/>
      <c r="P284" s="33"/>
      <c r="Q284" s="31"/>
      <c r="R284" s="23"/>
      <c r="S284" s="33"/>
      <c r="T284" s="33"/>
      <c r="U284" s="33"/>
      <c r="V284" s="33"/>
      <c r="W284" s="33"/>
      <c r="X284" s="33"/>
      <c r="Y284" s="37"/>
      <c r="Z284" s="23"/>
      <c r="AA284" s="33"/>
      <c r="AB284" s="23"/>
      <c r="AC284" s="33"/>
      <c r="AD284" s="23"/>
      <c r="AE284" s="33"/>
      <c r="AF284" s="33"/>
      <c r="AG284" s="33"/>
      <c r="AH284" s="33"/>
      <c r="AI284" s="33"/>
      <c r="AJ284" s="33"/>
      <c r="AK284" s="33"/>
      <c r="AL284" s="33"/>
      <c r="AM284" s="216"/>
      <c r="AN284" s="33"/>
      <c r="AO284" s="33"/>
      <c r="AP284" s="33"/>
    </row>
    <row r="285" spans="1:42" ht="15.75" customHeight="1">
      <c r="A285" s="33"/>
      <c r="B285" s="33"/>
      <c r="C285" s="33"/>
      <c r="D285" s="33"/>
      <c r="E285" s="33"/>
      <c r="F285" s="199"/>
      <c r="G285" s="33"/>
      <c r="H285" s="28"/>
      <c r="I285" s="33"/>
      <c r="J285" s="23"/>
      <c r="K285" s="28"/>
      <c r="L285" s="31"/>
      <c r="M285" s="31"/>
      <c r="N285" s="33"/>
      <c r="O285" s="33"/>
      <c r="P285" s="33"/>
      <c r="Q285" s="31"/>
      <c r="R285" s="23"/>
      <c r="S285" s="33"/>
      <c r="T285" s="33"/>
      <c r="U285" s="33"/>
      <c r="V285" s="33"/>
      <c r="W285" s="33"/>
      <c r="X285" s="33"/>
      <c r="Y285" s="37"/>
      <c r="Z285" s="23"/>
      <c r="AA285" s="33"/>
      <c r="AB285" s="23"/>
      <c r="AC285" s="33"/>
      <c r="AD285" s="23"/>
      <c r="AE285" s="33"/>
      <c r="AF285" s="33"/>
      <c r="AG285" s="33"/>
      <c r="AH285" s="33"/>
      <c r="AI285" s="33"/>
      <c r="AJ285" s="33"/>
      <c r="AK285" s="33"/>
      <c r="AL285" s="33"/>
      <c r="AM285" s="216"/>
      <c r="AN285" s="33"/>
      <c r="AO285" s="33"/>
      <c r="AP285" s="33"/>
    </row>
    <row r="286" spans="1:42" ht="15.75" customHeight="1">
      <c r="A286" s="33"/>
      <c r="B286" s="33"/>
      <c r="C286" s="33"/>
      <c r="D286" s="33"/>
      <c r="E286" s="33"/>
      <c r="F286" s="199"/>
      <c r="G286" s="33"/>
      <c r="H286" s="28"/>
      <c r="I286" s="33"/>
      <c r="J286" s="23"/>
      <c r="K286" s="28"/>
      <c r="L286" s="31"/>
      <c r="M286" s="31"/>
      <c r="N286" s="33"/>
      <c r="O286" s="33"/>
      <c r="P286" s="33"/>
      <c r="Q286" s="31"/>
      <c r="R286" s="23"/>
      <c r="S286" s="33"/>
      <c r="T286" s="33"/>
      <c r="U286" s="33"/>
      <c r="V286" s="33"/>
      <c r="W286" s="33"/>
      <c r="X286" s="33"/>
      <c r="Y286" s="37"/>
      <c r="Z286" s="23"/>
      <c r="AA286" s="33"/>
      <c r="AB286" s="23"/>
      <c r="AC286" s="33"/>
      <c r="AD286" s="23"/>
      <c r="AE286" s="33"/>
      <c r="AF286" s="33"/>
      <c r="AG286" s="33"/>
      <c r="AH286" s="33"/>
      <c r="AI286" s="33"/>
      <c r="AJ286" s="33"/>
      <c r="AK286" s="33"/>
      <c r="AL286" s="33"/>
      <c r="AM286" s="216"/>
      <c r="AN286" s="33"/>
      <c r="AO286" s="33"/>
      <c r="AP286" s="33"/>
    </row>
    <row r="287" spans="1:42" ht="15.75" customHeight="1">
      <c r="A287" s="33"/>
      <c r="B287" s="33"/>
      <c r="C287" s="33"/>
      <c r="D287" s="33"/>
      <c r="E287" s="33"/>
      <c r="F287" s="199"/>
      <c r="G287" s="33"/>
      <c r="H287" s="28"/>
      <c r="I287" s="33"/>
      <c r="J287" s="23"/>
      <c r="K287" s="28"/>
      <c r="L287" s="31"/>
      <c r="M287" s="31"/>
      <c r="N287" s="33"/>
      <c r="O287" s="33"/>
      <c r="P287" s="33"/>
      <c r="Q287" s="31"/>
      <c r="R287" s="23"/>
      <c r="S287" s="33"/>
      <c r="T287" s="33"/>
      <c r="U287" s="33"/>
      <c r="V287" s="33"/>
      <c r="W287" s="33"/>
      <c r="X287" s="33"/>
      <c r="Y287" s="37"/>
      <c r="Z287" s="23"/>
      <c r="AA287" s="33"/>
      <c r="AB287" s="23"/>
      <c r="AC287" s="33"/>
      <c r="AD287" s="23"/>
      <c r="AE287" s="33"/>
      <c r="AF287" s="33"/>
      <c r="AG287" s="33"/>
      <c r="AH287" s="33"/>
      <c r="AI287" s="33"/>
      <c r="AJ287" s="33"/>
      <c r="AK287" s="33"/>
      <c r="AL287" s="33"/>
      <c r="AM287" s="216"/>
      <c r="AN287" s="33"/>
      <c r="AO287" s="33"/>
      <c r="AP287" s="33"/>
    </row>
    <row r="288" spans="1:42" ht="15.75" customHeight="1">
      <c r="A288" s="33"/>
      <c r="B288" s="33"/>
      <c r="C288" s="33"/>
      <c r="D288" s="33"/>
      <c r="E288" s="33"/>
      <c r="F288" s="199"/>
      <c r="G288" s="33"/>
      <c r="H288" s="28"/>
      <c r="I288" s="33"/>
      <c r="J288" s="23"/>
      <c r="K288" s="28"/>
      <c r="L288" s="31"/>
      <c r="M288" s="31"/>
      <c r="N288" s="33"/>
      <c r="O288" s="33"/>
      <c r="P288" s="33"/>
      <c r="Q288" s="31"/>
      <c r="R288" s="23"/>
      <c r="S288" s="33"/>
      <c r="T288" s="33"/>
      <c r="U288" s="33"/>
      <c r="V288" s="33"/>
      <c r="W288" s="33"/>
      <c r="X288" s="33"/>
      <c r="Y288" s="37"/>
      <c r="Z288" s="23"/>
      <c r="AA288" s="33"/>
      <c r="AB288" s="23"/>
      <c r="AC288" s="33"/>
      <c r="AD288" s="23"/>
      <c r="AE288" s="33"/>
      <c r="AF288" s="33"/>
      <c r="AG288" s="33"/>
      <c r="AH288" s="33"/>
      <c r="AI288" s="33"/>
      <c r="AJ288" s="33"/>
      <c r="AK288" s="33"/>
      <c r="AL288" s="33"/>
      <c r="AM288" s="216"/>
      <c r="AN288" s="33"/>
      <c r="AO288" s="33"/>
      <c r="AP288" s="33"/>
    </row>
    <row r="289" spans="1:42" ht="15.75" customHeight="1">
      <c r="A289" s="33"/>
      <c r="B289" s="33"/>
      <c r="C289" s="33"/>
      <c r="D289" s="33"/>
      <c r="E289" s="33"/>
      <c r="F289" s="199"/>
      <c r="G289" s="33"/>
      <c r="H289" s="28"/>
      <c r="I289" s="33"/>
      <c r="J289" s="23"/>
      <c r="K289" s="28"/>
      <c r="L289" s="31"/>
      <c r="M289" s="31"/>
      <c r="N289" s="33"/>
      <c r="O289" s="33"/>
      <c r="P289" s="33"/>
      <c r="Q289" s="31"/>
      <c r="R289" s="23"/>
      <c r="S289" s="33"/>
      <c r="T289" s="33"/>
      <c r="U289" s="33"/>
      <c r="V289" s="33"/>
      <c r="W289" s="33"/>
      <c r="X289" s="33"/>
      <c r="Y289" s="37"/>
      <c r="Z289" s="23"/>
      <c r="AA289" s="33"/>
      <c r="AB289" s="23"/>
      <c r="AC289" s="33"/>
      <c r="AD289" s="23"/>
      <c r="AE289" s="33"/>
      <c r="AF289" s="33"/>
      <c r="AG289" s="33"/>
      <c r="AH289" s="33"/>
      <c r="AI289" s="33"/>
      <c r="AJ289" s="33"/>
      <c r="AK289" s="33"/>
      <c r="AL289" s="33"/>
      <c r="AM289" s="216"/>
      <c r="AN289" s="33"/>
      <c r="AO289" s="33"/>
      <c r="AP289" s="33"/>
    </row>
    <row r="290" spans="1:42" ht="15.75" customHeight="1">
      <c r="A290" s="33"/>
      <c r="B290" s="33"/>
      <c r="C290" s="33"/>
      <c r="D290" s="33"/>
      <c r="E290" s="33"/>
      <c r="F290" s="199"/>
      <c r="G290" s="33"/>
      <c r="H290" s="28"/>
      <c r="I290" s="33"/>
      <c r="J290" s="23"/>
      <c r="K290" s="28"/>
      <c r="L290" s="31"/>
      <c r="M290" s="31"/>
      <c r="N290" s="33"/>
      <c r="O290" s="33"/>
      <c r="P290" s="33"/>
      <c r="Q290" s="31"/>
      <c r="R290" s="23"/>
      <c r="S290" s="33"/>
      <c r="T290" s="33"/>
      <c r="U290" s="33"/>
      <c r="V290" s="33"/>
      <c r="W290" s="33"/>
      <c r="X290" s="33"/>
      <c r="Y290" s="37"/>
      <c r="Z290" s="23"/>
      <c r="AA290" s="33"/>
      <c r="AB290" s="23"/>
      <c r="AC290" s="33"/>
      <c r="AD290" s="23"/>
      <c r="AE290" s="33"/>
      <c r="AF290" s="33"/>
      <c r="AG290" s="33"/>
      <c r="AH290" s="33"/>
      <c r="AI290" s="33"/>
      <c r="AJ290" s="33"/>
      <c r="AK290" s="33"/>
      <c r="AL290" s="33"/>
      <c r="AM290" s="216"/>
      <c r="AN290" s="33"/>
      <c r="AO290" s="33"/>
      <c r="AP290" s="33"/>
    </row>
    <row r="291" spans="1:42" ht="15.75" customHeight="1">
      <c r="A291" s="33"/>
      <c r="B291" s="33"/>
      <c r="C291" s="33"/>
      <c r="D291" s="33"/>
      <c r="E291" s="33"/>
      <c r="F291" s="199"/>
      <c r="G291" s="33"/>
      <c r="H291" s="28"/>
      <c r="I291" s="33"/>
      <c r="J291" s="23"/>
      <c r="K291" s="28"/>
      <c r="L291" s="31"/>
      <c r="M291" s="31"/>
      <c r="N291" s="33"/>
      <c r="O291" s="33"/>
      <c r="P291" s="33"/>
      <c r="Q291" s="31"/>
      <c r="R291" s="23"/>
      <c r="S291" s="33"/>
      <c r="T291" s="33"/>
      <c r="U291" s="33"/>
      <c r="V291" s="33"/>
      <c r="W291" s="33"/>
      <c r="X291" s="33"/>
      <c r="Y291" s="37"/>
      <c r="Z291" s="23"/>
      <c r="AA291" s="33"/>
      <c r="AB291" s="23"/>
      <c r="AC291" s="33"/>
      <c r="AD291" s="23"/>
      <c r="AE291" s="33"/>
      <c r="AF291" s="33"/>
      <c r="AG291" s="33"/>
      <c r="AH291" s="33"/>
      <c r="AI291" s="33"/>
      <c r="AJ291" s="33"/>
      <c r="AK291" s="33"/>
      <c r="AL291" s="33"/>
      <c r="AM291" s="216"/>
      <c r="AN291" s="33"/>
      <c r="AO291" s="33"/>
      <c r="AP291" s="33"/>
    </row>
    <row r="292" spans="1:42" ht="15.75" customHeight="1">
      <c r="A292" s="33"/>
      <c r="B292" s="33"/>
      <c r="C292" s="33"/>
      <c r="D292" s="33"/>
      <c r="E292" s="33"/>
      <c r="F292" s="199"/>
      <c r="G292" s="33"/>
      <c r="H292" s="28"/>
      <c r="I292" s="33"/>
      <c r="J292" s="23"/>
      <c r="K292" s="28"/>
      <c r="L292" s="31"/>
      <c r="M292" s="31"/>
      <c r="N292" s="33"/>
      <c r="O292" s="33"/>
      <c r="P292" s="33"/>
      <c r="Q292" s="31"/>
      <c r="R292" s="23"/>
      <c r="S292" s="33"/>
      <c r="T292" s="33"/>
      <c r="U292" s="33"/>
      <c r="V292" s="33"/>
      <c r="W292" s="33"/>
      <c r="X292" s="33"/>
      <c r="Y292" s="37"/>
      <c r="Z292" s="23"/>
      <c r="AA292" s="33"/>
      <c r="AB292" s="23"/>
      <c r="AC292" s="33"/>
      <c r="AD292" s="23"/>
      <c r="AE292" s="33"/>
      <c r="AF292" s="33"/>
      <c r="AG292" s="33"/>
      <c r="AH292" s="33"/>
      <c r="AI292" s="33"/>
      <c r="AJ292" s="33"/>
      <c r="AK292" s="33"/>
      <c r="AL292" s="33"/>
      <c r="AM292" s="216"/>
      <c r="AN292" s="33"/>
      <c r="AO292" s="33"/>
      <c r="AP292" s="33"/>
    </row>
    <row r="293" spans="1:42" ht="15.75" customHeight="1">
      <c r="A293" s="33"/>
      <c r="B293" s="33"/>
      <c r="C293" s="33"/>
      <c r="D293" s="33"/>
      <c r="E293" s="33"/>
      <c r="F293" s="199"/>
      <c r="G293" s="33"/>
      <c r="H293" s="28"/>
      <c r="I293" s="33"/>
      <c r="J293" s="23"/>
      <c r="K293" s="28"/>
      <c r="L293" s="31"/>
      <c r="M293" s="31"/>
      <c r="N293" s="33"/>
      <c r="O293" s="33"/>
      <c r="P293" s="33"/>
      <c r="Q293" s="31"/>
      <c r="R293" s="23"/>
      <c r="S293" s="33"/>
      <c r="T293" s="33"/>
      <c r="U293" s="33"/>
      <c r="V293" s="33"/>
      <c r="W293" s="33"/>
      <c r="X293" s="33"/>
      <c r="Y293" s="37"/>
      <c r="Z293" s="23"/>
      <c r="AA293" s="33"/>
      <c r="AB293" s="23"/>
      <c r="AC293" s="33"/>
      <c r="AD293" s="23"/>
      <c r="AE293" s="33"/>
      <c r="AF293" s="33"/>
      <c r="AG293" s="33"/>
      <c r="AH293" s="33"/>
      <c r="AI293" s="33"/>
      <c r="AJ293" s="33"/>
      <c r="AK293" s="33"/>
      <c r="AL293" s="33"/>
      <c r="AM293" s="216"/>
      <c r="AN293" s="33"/>
      <c r="AO293" s="33"/>
      <c r="AP293" s="33"/>
    </row>
    <row r="294" spans="1:42" ht="15.75" customHeight="1">
      <c r="A294" s="33"/>
      <c r="B294" s="33"/>
      <c r="C294" s="33"/>
      <c r="D294" s="33"/>
      <c r="E294" s="33"/>
      <c r="F294" s="199"/>
      <c r="G294" s="33"/>
      <c r="H294" s="28"/>
      <c r="I294" s="33"/>
      <c r="J294" s="23"/>
      <c r="K294" s="28"/>
      <c r="L294" s="31"/>
      <c r="M294" s="31"/>
      <c r="N294" s="33"/>
      <c r="O294" s="33"/>
      <c r="P294" s="33"/>
      <c r="Q294" s="31"/>
      <c r="R294" s="23"/>
      <c r="S294" s="33"/>
      <c r="T294" s="33"/>
      <c r="U294" s="33"/>
      <c r="V294" s="33"/>
      <c r="W294" s="33"/>
      <c r="X294" s="33"/>
      <c r="Y294" s="37"/>
      <c r="Z294" s="23"/>
      <c r="AA294" s="33"/>
      <c r="AB294" s="23"/>
      <c r="AC294" s="33"/>
      <c r="AD294" s="23"/>
      <c r="AE294" s="33"/>
      <c r="AF294" s="33"/>
      <c r="AG294" s="33"/>
      <c r="AH294" s="33"/>
      <c r="AI294" s="33"/>
      <c r="AJ294" s="33"/>
      <c r="AK294" s="33"/>
      <c r="AL294" s="33"/>
      <c r="AM294" s="216"/>
      <c r="AN294" s="33"/>
      <c r="AO294" s="33"/>
      <c r="AP294" s="33"/>
    </row>
    <row r="295" spans="1:42" ht="15.75" customHeight="1">
      <c r="A295" s="33"/>
      <c r="B295" s="33"/>
      <c r="C295" s="33"/>
      <c r="D295" s="33"/>
      <c r="E295" s="33"/>
      <c r="F295" s="199"/>
      <c r="G295" s="33"/>
      <c r="H295" s="28"/>
      <c r="I295" s="33"/>
      <c r="J295" s="23"/>
      <c r="K295" s="28"/>
      <c r="L295" s="31"/>
      <c r="M295" s="31"/>
      <c r="N295" s="33"/>
      <c r="O295" s="33"/>
      <c r="P295" s="33"/>
      <c r="Q295" s="31"/>
      <c r="R295" s="23"/>
      <c r="S295" s="33"/>
      <c r="T295" s="33"/>
      <c r="U295" s="33"/>
      <c r="V295" s="33"/>
      <c r="W295" s="33"/>
      <c r="X295" s="33"/>
      <c r="Y295" s="37"/>
      <c r="Z295" s="23"/>
      <c r="AA295" s="33"/>
      <c r="AB295" s="23"/>
      <c r="AC295" s="33"/>
      <c r="AD295" s="23"/>
      <c r="AE295" s="33"/>
      <c r="AF295" s="33"/>
      <c r="AG295" s="33"/>
      <c r="AH295" s="33"/>
      <c r="AI295" s="33"/>
      <c r="AJ295" s="33"/>
      <c r="AK295" s="33"/>
      <c r="AL295" s="33"/>
      <c r="AM295" s="216"/>
      <c r="AN295" s="33"/>
      <c r="AO295" s="33"/>
      <c r="AP295" s="33"/>
    </row>
    <row r="296" spans="1:42" ht="15.75" customHeight="1">
      <c r="A296" s="33"/>
      <c r="B296" s="33"/>
      <c r="C296" s="33"/>
      <c r="D296" s="33"/>
      <c r="E296" s="33"/>
      <c r="F296" s="199"/>
      <c r="G296" s="33"/>
      <c r="H296" s="28"/>
      <c r="I296" s="33"/>
      <c r="J296" s="23"/>
      <c r="K296" s="28"/>
      <c r="L296" s="31"/>
      <c r="M296" s="31"/>
      <c r="N296" s="33"/>
      <c r="O296" s="33"/>
      <c r="P296" s="33"/>
      <c r="Q296" s="31"/>
      <c r="R296" s="23"/>
      <c r="S296" s="33"/>
      <c r="T296" s="33"/>
      <c r="U296" s="33"/>
      <c r="V296" s="33"/>
      <c r="W296" s="33"/>
      <c r="X296" s="33"/>
      <c r="Y296" s="37"/>
      <c r="Z296" s="23"/>
      <c r="AA296" s="33"/>
      <c r="AB296" s="23"/>
      <c r="AC296" s="33"/>
      <c r="AD296" s="23"/>
      <c r="AE296" s="33"/>
      <c r="AF296" s="33"/>
      <c r="AG296" s="33"/>
      <c r="AH296" s="33"/>
      <c r="AI296" s="33"/>
      <c r="AJ296" s="33"/>
      <c r="AK296" s="33"/>
      <c r="AL296" s="33"/>
      <c r="AM296" s="216"/>
      <c r="AN296" s="33"/>
      <c r="AO296" s="33"/>
      <c r="AP296" s="33"/>
    </row>
    <row r="297" spans="1:42" ht="15.75" customHeight="1">
      <c r="A297" s="33"/>
      <c r="B297" s="33"/>
      <c r="C297" s="33"/>
      <c r="D297" s="33"/>
      <c r="E297" s="33"/>
      <c r="F297" s="199"/>
      <c r="G297" s="33"/>
      <c r="H297" s="28"/>
      <c r="I297" s="33"/>
      <c r="J297" s="23"/>
      <c r="K297" s="28"/>
      <c r="L297" s="31"/>
      <c r="M297" s="31"/>
      <c r="N297" s="33"/>
      <c r="O297" s="33"/>
      <c r="P297" s="33"/>
      <c r="Q297" s="31"/>
      <c r="R297" s="23"/>
      <c r="S297" s="33"/>
      <c r="T297" s="33"/>
      <c r="U297" s="33"/>
      <c r="V297" s="33"/>
      <c r="W297" s="33"/>
      <c r="X297" s="33"/>
      <c r="Y297" s="37"/>
      <c r="Z297" s="23"/>
      <c r="AA297" s="33"/>
      <c r="AB297" s="23"/>
      <c r="AC297" s="33"/>
      <c r="AD297" s="23"/>
      <c r="AE297" s="33"/>
      <c r="AF297" s="33"/>
      <c r="AG297" s="33"/>
      <c r="AH297" s="33"/>
      <c r="AI297" s="33"/>
      <c r="AJ297" s="33"/>
      <c r="AK297" s="33"/>
      <c r="AL297" s="33"/>
      <c r="AM297" s="216"/>
      <c r="AN297" s="33"/>
      <c r="AO297" s="33"/>
      <c r="AP297" s="33"/>
    </row>
    <row r="298" spans="1:42" ht="15.75" customHeight="1">
      <c r="A298" s="33"/>
      <c r="B298" s="33"/>
      <c r="C298" s="33"/>
      <c r="D298" s="33"/>
      <c r="E298" s="33"/>
      <c r="F298" s="199"/>
      <c r="G298" s="33"/>
      <c r="H298" s="28"/>
      <c r="I298" s="33"/>
      <c r="J298" s="23"/>
      <c r="K298" s="28"/>
      <c r="L298" s="31"/>
      <c r="M298" s="31"/>
      <c r="N298" s="33"/>
      <c r="O298" s="33"/>
      <c r="P298" s="33"/>
      <c r="Q298" s="31"/>
      <c r="R298" s="23"/>
      <c r="S298" s="33"/>
      <c r="T298" s="33"/>
      <c r="U298" s="33"/>
      <c r="V298" s="33"/>
      <c r="W298" s="33"/>
      <c r="X298" s="33"/>
      <c r="Y298" s="37"/>
      <c r="Z298" s="23"/>
      <c r="AA298" s="33"/>
      <c r="AB298" s="23"/>
      <c r="AC298" s="33"/>
      <c r="AD298" s="23"/>
      <c r="AE298" s="33"/>
      <c r="AF298" s="33"/>
      <c r="AG298" s="33"/>
      <c r="AH298" s="33"/>
      <c r="AI298" s="33"/>
      <c r="AJ298" s="33"/>
      <c r="AK298" s="33"/>
      <c r="AL298" s="33"/>
      <c r="AM298" s="216"/>
      <c r="AN298" s="33"/>
      <c r="AO298" s="33"/>
      <c r="AP298" s="33"/>
    </row>
    <row r="299" spans="1:42" ht="15.75" customHeight="1">
      <c r="A299" s="33"/>
      <c r="B299" s="33"/>
      <c r="C299" s="33"/>
      <c r="D299" s="33"/>
      <c r="E299" s="33"/>
      <c r="F299" s="199"/>
      <c r="G299" s="33"/>
      <c r="H299" s="28"/>
      <c r="I299" s="33"/>
      <c r="J299" s="23"/>
      <c r="K299" s="28"/>
      <c r="L299" s="31"/>
      <c r="M299" s="31"/>
      <c r="N299" s="33"/>
      <c r="O299" s="33"/>
      <c r="P299" s="33"/>
      <c r="Q299" s="31"/>
      <c r="R299" s="23"/>
      <c r="S299" s="33"/>
      <c r="T299" s="33"/>
      <c r="U299" s="33"/>
      <c r="V299" s="33"/>
      <c r="W299" s="33"/>
      <c r="X299" s="33"/>
      <c r="Y299" s="37"/>
      <c r="Z299" s="23"/>
      <c r="AA299" s="33"/>
      <c r="AB299" s="23"/>
      <c r="AC299" s="33"/>
      <c r="AD299" s="23"/>
      <c r="AE299" s="33"/>
      <c r="AF299" s="33"/>
      <c r="AG299" s="33"/>
      <c r="AH299" s="33"/>
      <c r="AI299" s="33"/>
      <c r="AJ299" s="33"/>
      <c r="AK299" s="33"/>
      <c r="AL299" s="33"/>
      <c r="AM299" s="216"/>
      <c r="AN299" s="33"/>
      <c r="AO299" s="33"/>
      <c r="AP299" s="33"/>
    </row>
    <row r="300" spans="1:42" ht="15.75" customHeight="1">
      <c r="A300" s="33"/>
      <c r="B300" s="33"/>
      <c r="C300" s="33"/>
      <c r="D300" s="33"/>
      <c r="E300" s="33"/>
      <c r="F300" s="199"/>
      <c r="G300" s="33"/>
      <c r="H300" s="28"/>
      <c r="I300" s="33"/>
      <c r="J300" s="23"/>
      <c r="K300" s="28"/>
      <c r="L300" s="31"/>
      <c r="M300" s="31"/>
      <c r="N300" s="33"/>
      <c r="O300" s="33"/>
      <c r="P300" s="33"/>
      <c r="Q300" s="31"/>
      <c r="R300" s="23"/>
      <c r="S300" s="33"/>
      <c r="T300" s="33"/>
      <c r="U300" s="33"/>
      <c r="V300" s="33"/>
      <c r="W300" s="33"/>
      <c r="X300" s="33"/>
      <c r="Y300" s="37"/>
      <c r="Z300" s="23"/>
      <c r="AA300" s="33"/>
      <c r="AB300" s="23"/>
      <c r="AC300" s="33"/>
      <c r="AD300" s="23"/>
      <c r="AE300" s="33"/>
      <c r="AF300" s="33"/>
      <c r="AG300" s="33"/>
      <c r="AH300" s="33"/>
      <c r="AI300" s="33"/>
      <c r="AJ300" s="33"/>
      <c r="AK300" s="33"/>
      <c r="AL300" s="33"/>
      <c r="AM300" s="216"/>
      <c r="AN300" s="33"/>
      <c r="AO300" s="33"/>
      <c r="AP300" s="33"/>
    </row>
    <row r="301" spans="1:42" ht="15.75" customHeight="1">
      <c r="A301" s="33"/>
      <c r="B301" s="33"/>
      <c r="C301" s="33"/>
      <c r="D301" s="33"/>
      <c r="E301" s="33"/>
      <c r="F301" s="199"/>
      <c r="G301" s="33"/>
      <c r="H301" s="28"/>
      <c r="I301" s="33"/>
      <c r="J301" s="23"/>
      <c r="K301" s="28"/>
      <c r="L301" s="31"/>
      <c r="M301" s="31"/>
      <c r="N301" s="33"/>
      <c r="O301" s="33"/>
      <c r="P301" s="33"/>
      <c r="Q301" s="31"/>
      <c r="R301" s="23"/>
      <c r="S301" s="33"/>
      <c r="T301" s="33"/>
      <c r="U301" s="33"/>
      <c r="V301" s="33"/>
      <c r="W301" s="33"/>
      <c r="X301" s="33"/>
      <c r="Y301" s="37"/>
      <c r="Z301" s="23"/>
      <c r="AA301" s="33"/>
      <c r="AB301" s="23"/>
      <c r="AC301" s="33"/>
      <c r="AD301" s="23"/>
      <c r="AE301" s="33"/>
      <c r="AF301" s="33"/>
      <c r="AG301" s="33"/>
      <c r="AH301" s="33"/>
      <c r="AI301" s="33"/>
      <c r="AJ301" s="33"/>
      <c r="AK301" s="33"/>
      <c r="AL301" s="33"/>
      <c r="AM301" s="216"/>
      <c r="AN301" s="33"/>
      <c r="AO301" s="33"/>
      <c r="AP301" s="33"/>
    </row>
    <row r="302" spans="1:42" ht="15.75" customHeight="1">
      <c r="A302" s="33"/>
      <c r="B302" s="33"/>
      <c r="C302" s="33"/>
      <c r="D302" s="33"/>
      <c r="E302" s="33"/>
      <c r="F302" s="199"/>
      <c r="G302" s="33"/>
      <c r="H302" s="28"/>
      <c r="I302" s="33"/>
      <c r="J302" s="23"/>
      <c r="K302" s="28"/>
      <c r="L302" s="31"/>
      <c r="M302" s="31"/>
      <c r="N302" s="33"/>
      <c r="O302" s="33"/>
      <c r="P302" s="33"/>
      <c r="Q302" s="31"/>
      <c r="R302" s="23"/>
      <c r="S302" s="33"/>
      <c r="T302" s="33"/>
      <c r="U302" s="33"/>
      <c r="V302" s="33"/>
      <c r="W302" s="33"/>
      <c r="X302" s="33"/>
      <c r="Y302" s="37"/>
      <c r="Z302" s="23"/>
      <c r="AA302" s="33"/>
      <c r="AB302" s="23"/>
      <c r="AC302" s="33"/>
      <c r="AD302" s="23"/>
      <c r="AE302" s="33"/>
      <c r="AF302" s="33"/>
      <c r="AG302" s="33"/>
      <c r="AH302" s="33"/>
      <c r="AI302" s="33"/>
      <c r="AJ302" s="33"/>
      <c r="AK302" s="33"/>
      <c r="AL302" s="33"/>
      <c r="AM302" s="216"/>
      <c r="AN302" s="33"/>
      <c r="AO302" s="33"/>
      <c r="AP302" s="33"/>
    </row>
    <row r="303" spans="1:42" ht="15.75" customHeight="1">
      <c r="A303" s="33"/>
      <c r="B303" s="33"/>
      <c r="C303" s="33"/>
      <c r="D303" s="33"/>
      <c r="E303" s="33"/>
      <c r="F303" s="199"/>
      <c r="G303" s="33"/>
      <c r="H303" s="28"/>
      <c r="I303" s="33"/>
      <c r="J303" s="23"/>
      <c r="K303" s="28"/>
      <c r="L303" s="31"/>
      <c r="M303" s="31"/>
      <c r="N303" s="33"/>
      <c r="O303" s="33"/>
      <c r="P303" s="33"/>
      <c r="Q303" s="31"/>
      <c r="R303" s="23"/>
      <c r="S303" s="33"/>
      <c r="T303" s="33"/>
      <c r="U303" s="33"/>
      <c r="V303" s="33"/>
      <c r="W303" s="33"/>
      <c r="X303" s="33"/>
      <c r="Y303" s="37"/>
      <c r="Z303" s="23"/>
      <c r="AA303" s="33"/>
      <c r="AB303" s="23"/>
      <c r="AC303" s="33"/>
      <c r="AD303" s="23"/>
      <c r="AE303" s="33"/>
      <c r="AF303" s="33"/>
      <c r="AG303" s="33"/>
      <c r="AH303" s="33"/>
      <c r="AI303" s="33"/>
      <c r="AJ303" s="33"/>
      <c r="AK303" s="33"/>
      <c r="AL303" s="33"/>
      <c r="AM303" s="216"/>
      <c r="AN303" s="33"/>
      <c r="AO303" s="33"/>
      <c r="AP303" s="33"/>
    </row>
    <row r="304" spans="1:42" ht="15.75" customHeight="1">
      <c r="A304" s="33"/>
      <c r="B304" s="33"/>
      <c r="C304" s="33"/>
      <c r="D304" s="33"/>
      <c r="E304" s="33"/>
      <c r="F304" s="199"/>
      <c r="G304" s="33"/>
      <c r="H304" s="28"/>
      <c r="I304" s="33"/>
      <c r="J304" s="23"/>
      <c r="K304" s="28"/>
      <c r="L304" s="31"/>
      <c r="M304" s="31"/>
      <c r="N304" s="33"/>
      <c r="O304" s="33"/>
      <c r="P304" s="33"/>
      <c r="Q304" s="31"/>
      <c r="R304" s="23"/>
      <c r="S304" s="33"/>
      <c r="T304" s="33"/>
      <c r="U304" s="33"/>
      <c r="V304" s="33"/>
      <c r="W304" s="33"/>
      <c r="X304" s="33"/>
      <c r="Y304" s="37"/>
      <c r="Z304" s="23"/>
      <c r="AA304" s="33"/>
      <c r="AB304" s="23"/>
      <c r="AC304" s="33"/>
      <c r="AD304" s="23"/>
      <c r="AE304" s="33"/>
      <c r="AF304" s="33"/>
      <c r="AG304" s="33"/>
      <c r="AH304" s="33"/>
      <c r="AI304" s="33"/>
      <c r="AJ304" s="33"/>
      <c r="AK304" s="33"/>
      <c r="AL304" s="33"/>
      <c r="AM304" s="216"/>
      <c r="AN304" s="33"/>
      <c r="AO304" s="33"/>
      <c r="AP304" s="33"/>
    </row>
    <row r="305" spans="1:42" ht="15.75" customHeight="1">
      <c r="A305" s="33"/>
      <c r="B305" s="33"/>
      <c r="C305" s="33"/>
      <c r="D305" s="33"/>
      <c r="E305" s="33"/>
      <c r="F305" s="199"/>
      <c r="G305" s="33"/>
      <c r="H305" s="28"/>
      <c r="I305" s="33"/>
      <c r="J305" s="23"/>
      <c r="K305" s="28"/>
      <c r="L305" s="31"/>
      <c r="M305" s="31"/>
      <c r="N305" s="33"/>
      <c r="O305" s="33"/>
      <c r="P305" s="33"/>
      <c r="Q305" s="31"/>
      <c r="R305" s="23"/>
      <c r="S305" s="33"/>
      <c r="T305" s="33"/>
      <c r="U305" s="33"/>
      <c r="V305" s="33"/>
      <c r="W305" s="33"/>
      <c r="X305" s="33"/>
      <c r="Y305" s="37"/>
      <c r="Z305" s="23"/>
      <c r="AA305" s="33"/>
      <c r="AB305" s="23"/>
      <c r="AC305" s="33"/>
      <c r="AD305" s="23"/>
      <c r="AE305" s="33"/>
      <c r="AF305" s="33"/>
      <c r="AG305" s="33"/>
      <c r="AH305" s="33"/>
      <c r="AI305" s="33"/>
      <c r="AJ305" s="33"/>
      <c r="AK305" s="33"/>
      <c r="AL305" s="33"/>
      <c r="AM305" s="216"/>
      <c r="AN305" s="33"/>
      <c r="AO305" s="33"/>
      <c r="AP305" s="33"/>
    </row>
    <row r="306" spans="1:42" ht="15.75" customHeight="1">
      <c r="A306" s="33"/>
      <c r="B306" s="33"/>
      <c r="C306" s="33"/>
      <c r="D306" s="33"/>
      <c r="E306" s="33"/>
      <c r="F306" s="199"/>
      <c r="G306" s="33"/>
      <c r="H306" s="28"/>
      <c r="I306" s="33"/>
      <c r="J306" s="23"/>
      <c r="K306" s="28"/>
      <c r="L306" s="31"/>
      <c r="M306" s="31"/>
      <c r="N306" s="33"/>
      <c r="O306" s="33"/>
      <c r="P306" s="33"/>
      <c r="Q306" s="31"/>
      <c r="R306" s="23"/>
      <c r="S306" s="33"/>
      <c r="T306" s="33"/>
      <c r="U306" s="33"/>
      <c r="V306" s="33"/>
      <c r="W306" s="33"/>
      <c r="X306" s="33"/>
      <c r="Y306" s="37"/>
      <c r="Z306" s="23"/>
      <c r="AA306" s="33"/>
      <c r="AB306" s="23"/>
      <c r="AC306" s="33"/>
      <c r="AD306" s="23"/>
      <c r="AE306" s="33"/>
      <c r="AF306" s="33"/>
      <c r="AG306" s="33"/>
      <c r="AH306" s="33"/>
      <c r="AI306" s="33"/>
      <c r="AJ306" s="33"/>
      <c r="AK306" s="33"/>
      <c r="AL306" s="33"/>
      <c r="AM306" s="216"/>
      <c r="AN306" s="33"/>
      <c r="AO306" s="33"/>
      <c r="AP306" s="33"/>
    </row>
    <row r="307" spans="1:42" ht="15.75" customHeight="1">
      <c r="A307" s="33"/>
      <c r="B307" s="33"/>
      <c r="C307" s="33"/>
      <c r="D307" s="33"/>
      <c r="E307" s="33"/>
      <c r="F307" s="199"/>
      <c r="G307" s="33"/>
      <c r="H307" s="28"/>
      <c r="I307" s="33"/>
      <c r="J307" s="23"/>
      <c r="K307" s="28"/>
      <c r="L307" s="31"/>
      <c r="M307" s="31"/>
      <c r="N307" s="33"/>
      <c r="O307" s="33"/>
      <c r="P307" s="33"/>
      <c r="Q307" s="31"/>
      <c r="R307" s="23"/>
      <c r="S307" s="33"/>
      <c r="T307" s="33"/>
      <c r="U307" s="33"/>
      <c r="V307" s="33"/>
      <c r="W307" s="33"/>
      <c r="X307" s="33"/>
      <c r="Y307" s="37"/>
      <c r="Z307" s="23"/>
      <c r="AA307" s="33"/>
      <c r="AB307" s="23"/>
      <c r="AC307" s="33"/>
      <c r="AD307" s="23"/>
      <c r="AE307" s="33"/>
      <c r="AF307" s="33"/>
      <c r="AG307" s="33"/>
      <c r="AH307" s="33"/>
      <c r="AI307" s="33"/>
      <c r="AJ307" s="33"/>
      <c r="AK307" s="33"/>
      <c r="AL307" s="33"/>
      <c r="AM307" s="216"/>
      <c r="AN307" s="33"/>
      <c r="AO307" s="33"/>
      <c r="AP307" s="33"/>
    </row>
    <row r="308" spans="1:42" ht="15.75" customHeight="1">
      <c r="A308" s="33"/>
      <c r="B308" s="33"/>
      <c r="C308" s="33"/>
      <c r="D308" s="33"/>
      <c r="E308" s="33"/>
      <c r="F308" s="199"/>
      <c r="G308" s="33"/>
      <c r="H308" s="28"/>
      <c r="I308" s="33"/>
      <c r="J308" s="23"/>
      <c r="K308" s="28"/>
      <c r="L308" s="31"/>
      <c r="M308" s="31"/>
      <c r="N308" s="33"/>
      <c r="O308" s="33"/>
      <c r="P308" s="33"/>
      <c r="Q308" s="31"/>
      <c r="R308" s="23"/>
      <c r="S308" s="33"/>
      <c r="T308" s="33"/>
      <c r="U308" s="33"/>
      <c r="V308" s="33"/>
      <c r="W308" s="33"/>
      <c r="X308" s="33"/>
      <c r="Y308" s="37"/>
      <c r="Z308" s="23"/>
      <c r="AA308" s="33"/>
      <c r="AB308" s="23"/>
      <c r="AC308" s="33"/>
      <c r="AD308" s="23"/>
      <c r="AE308" s="33"/>
      <c r="AF308" s="33"/>
      <c r="AG308" s="33"/>
      <c r="AH308" s="33"/>
      <c r="AI308" s="33"/>
      <c r="AJ308" s="33"/>
      <c r="AK308" s="33"/>
      <c r="AL308" s="33"/>
      <c r="AM308" s="216"/>
      <c r="AN308" s="33"/>
      <c r="AO308" s="33"/>
      <c r="AP308" s="33"/>
    </row>
    <row r="309" spans="1:42" ht="15.75" customHeight="1">
      <c r="A309" s="33"/>
      <c r="B309" s="33"/>
      <c r="C309" s="33"/>
      <c r="D309" s="33"/>
      <c r="E309" s="33"/>
      <c r="F309" s="199"/>
      <c r="G309" s="33"/>
      <c r="H309" s="28"/>
      <c r="I309" s="33"/>
      <c r="J309" s="23"/>
      <c r="K309" s="28"/>
      <c r="L309" s="31"/>
      <c r="M309" s="31"/>
      <c r="N309" s="33"/>
      <c r="O309" s="33"/>
      <c r="P309" s="33"/>
      <c r="Q309" s="31"/>
      <c r="R309" s="23"/>
      <c r="S309" s="33"/>
      <c r="T309" s="33"/>
      <c r="U309" s="33"/>
      <c r="V309" s="33"/>
      <c r="W309" s="33"/>
      <c r="X309" s="33"/>
      <c r="Y309" s="37"/>
      <c r="Z309" s="23"/>
      <c r="AA309" s="33"/>
      <c r="AB309" s="23"/>
      <c r="AC309" s="33"/>
      <c r="AD309" s="23"/>
      <c r="AE309" s="33"/>
      <c r="AF309" s="33"/>
      <c r="AG309" s="33"/>
      <c r="AH309" s="33"/>
      <c r="AI309" s="33"/>
      <c r="AJ309" s="33"/>
      <c r="AK309" s="33"/>
      <c r="AL309" s="33"/>
      <c r="AM309" s="216"/>
      <c r="AN309" s="33"/>
      <c r="AO309" s="33"/>
      <c r="AP309" s="33"/>
    </row>
    <row r="310" spans="1:42" ht="15.75" customHeight="1">
      <c r="A310" s="33"/>
      <c r="B310" s="33"/>
      <c r="C310" s="33"/>
      <c r="D310" s="33"/>
      <c r="E310" s="33"/>
      <c r="F310" s="199"/>
      <c r="G310" s="33"/>
      <c r="H310" s="28"/>
      <c r="I310" s="33"/>
      <c r="J310" s="23"/>
      <c r="K310" s="28"/>
      <c r="L310" s="31"/>
      <c r="M310" s="31"/>
      <c r="N310" s="33"/>
      <c r="O310" s="33"/>
      <c r="P310" s="33"/>
      <c r="Q310" s="31"/>
      <c r="R310" s="23"/>
      <c r="S310" s="33"/>
      <c r="T310" s="33"/>
      <c r="U310" s="33"/>
      <c r="V310" s="33"/>
      <c r="W310" s="33"/>
      <c r="X310" s="33"/>
      <c r="Y310" s="37"/>
      <c r="Z310" s="23"/>
      <c r="AA310" s="33"/>
      <c r="AB310" s="23"/>
      <c r="AC310" s="33"/>
      <c r="AD310" s="23"/>
      <c r="AE310" s="33"/>
      <c r="AF310" s="33"/>
      <c r="AG310" s="33"/>
      <c r="AH310" s="33"/>
      <c r="AI310" s="33"/>
      <c r="AJ310" s="33"/>
      <c r="AK310" s="33"/>
      <c r="AL310" s="33"/>
      <c r="AM310" s="216"/>
      <c r="AN310" s="33"/>
      <c r="AO310" s="33"/>
      <c r="AP310" s="33"/>
    </row>
    <row r="311" spans="1:42" ht="15.75" customHeight="1">
      <c r="A311" s="33"/>
      <c r="B311" s="33"/>
      <c r="C311" s="33"/>
      <c r="D311" s="33"/>
      <c r="E311" s="33"/>
      <c r="F311" s="199"/>
      <c r="G311" s="33"/>
      <c r="H311" s="28"/>
      <c r="I311" s="33"/>
      <c r="J311" s="23"/>
      <c r="K311" s="28"/>
      <c r="L311" s="31"/>
      <c r="M311" s="31"/>
      <c r="N311" s="33"/>
      <c r="O311" s="33"/>
      <c r="P311" s="33"/>
      <c r="Q311" s="31"/>
      <c r="R311" s="23"/>
      <c r="S311" s="33"/>
      <c r="T311" s="33"/>
      <c r="U311" s="33"/>
      <c r="V311" s="33"/>
      <c r="W311" s="33"/>
      <c r="X311" s="33"/>
      <c r="Y311" s="37"/>
      <c r="Z311" s="23"/>
      <c r="AA311" s="33"/>
      <c r="AB311" s="23"/>
      <c r="AC311" s="33"/>
      <c r="AD311" s="23"/>
      <c r="AE311" s="33"/>
      <c r="AF311" s="33"/>
      <c r="AG311" s="33"/>
      <c r="AH311" s="33"/>
      <c r="AI311" s="33"/>
      <c r="AJ311" s="33"/>
      <c r="AK311" s="33"/>
      <c r="AL311" s="33"/>
      <c r="AM311" s="216"/>
      <c r="AN311" s="33"/>
      <c r="AO311" s="33"/>
      <c r="AP311" s="33"/>
    </row>
    <row r="312" spans="1:42" ht="15.75" customHeight="1">
      <c r="A312" s="33"/>
      <c r="B312" s="33"/>
      <c r="C312" s="33"/>
      <c r="D312" s="33"/>
      <c r="E312" s="33"/>
      <c r="F312" s="199"/>
      <c r="G312" s="33"/>
      <c r="H312" s="28"/>
      <c r="I312" s="33"/>
      <c r="J312" s="23"/>
      <c r="K312" s="28"/>
      <c r="L312" s="31"/>
      <c r="M312" s="31"/>
      <c r="N312" s="33"/>
      <c r="O312" s="33"/>
      <c r="P312" s="33"/>
      <c r="Q312" s="31"/>
      <c r="R312" s="23"/>
      <c r="S312" s="33"/>
      <c r="T312" s="33"/>
      <c r="U312" s="33"/>
      <c r="V312" s="33"/>
      <c r="W312" s="33"/>
      <c r="X312" s="33"/>
      <c r="Y312" s="37"/>
      <c r="Z312" s="23"/>
      <c r="AA312" s="33"/>
      <c r="AB312" s="23"/>
      <c r="AC312" s="33"/>
      <c r="AD312" s="23"/>
      <c r="AE312" s="33"/>
      <c r="AF312" s="33"/>
      <c r="AG312" s="33"/>
      <c r="AH312" s="33"/>
      <c r="AI312" s="33"/>
      <c r="AJ312" s="33"/>
      <c r="AK312" s="33"/>
      <c r="AL312" s="33"/>
      <c r="AM312" s="216"/>
      <c r="AN312" s="33"/>
      <c r="AO312" s="33"/>
      <c r="AP312" s="33"/>
    </row>
    <row r="313" spans="1:42" ht="15.75" customHeight="1">
      <c r="A313" s="33"/>
      <c r="B313" s="33"/>
      <c r="C313" s="33"/>
      <c r="D313" s="33"/>
      <c r="E313" s="33"/>
      <c r="F313" s="199"/>
      <c r="G313" s="33"/>
      <c r="H313" s="28"/>
      <c r="I313" s="33"/>
      <c r="J313" s="23"/>
      <c r="K313" s="28"/>
      <c r="L313" s="31"/>
      <c r="M313" s="31"/>
      <c r="N313" s="33"/>
      <c r="O313" s="33"/>
      <c r="P313" s="33"/>
      <c r="Q313" s="31"/>
      <c r="R313" s="23"/>
      <c r="S313" s="33"/>
      <c r="T313" s="33"/>
      <c r="U313" s="33"/>
      <c r="V313" s="33"/>
      <c r="W313" s="33"/>
      <c r="X313" s="33"/>
      <c r="Y313" s="37"/>
      <c r="Z313" s="23"/>
      <c r="AA313" s="33"/>
      <c r="AB313" s="23"/>
      <c r="AC313" s="33"/>
      <c r="AD313" s="23"/>
      <c r="AE313" s="33"/>
      <c r="AF313" s="33"/>
      <c r="AG313" s="33"/>
      <c r="AH313" s="33"/>
      <c r="AI313" s="33"/>
      <c r="AJ313" s="33"/>
      <c r="AK313" s="33"/>
      <c r="AL313" s="33"/>
      <c r="AM313" s="216"/>
      <c r="AN313" s="33"/>
      <c r="AO313" s="33"/>
      <c r="AP313" s="33"/>
    </row>
    <row r="314" spans="1:42" ht="15.75" customHeight="1">
      <c r="A314" s="33"/>
      <c r="B314" s="33"/>
      <c r="C314" s="33"/>
      <c r="D314" s="33"/>
      <c r="E314" s="33"/>
      <c r="F314" s="199"/>
      <c r="G314" s="33"/>
      <c r="H314" s="28"/>
      <c r="I314" s="33"/>
      <c r="J314" s="23"/>
      <c r="K314" s="28"/>
      <c r="L314" s="31"/>
      <c r="M314" s="31"/>
      <c r="N314" s="33"/>
      <c r="O314" s="33"/>
      <c r="P314" s="33"/>
      <c r="Q314" s="31"/>
      <c r="R314" s="23"/>
      <c r="S314" s="33"/>
      <c r="T314" s="33"/>
      <c r="U314" s="33"/>
      <c r="V314" s="33"/>
      <c r="W314" s="33"/>
      <c r="X314" s="33"/>
      <c r="Y314" s="37"/>
      <c r="Z314" s="23"/>
      <c r="AA314" s="33"/>
      <c r="AB314" s="23"/>
      <c r="AC314" s="33"/>
      <c r="AD314" s="23"/>
      <c r="AE314" s="33"/>
      <c r="AF314" s="33"/>
      <c r="AG314" s="33"/>
      <c r="AH314" s="33"/>
      <c r="AI314" s="33"/>
      <c r="AJ314" s="33"/>
      <c r="AK314" s="33"/>
      <c r="AL314" s="33"/>
      <c r="AM314" s="216"/>
      <c r="AN314" s="33"/>
      <c r="AO314" s="33"/>
      <c r="AP314" s="33"/>
    </row>
    <row r="315" spans="1:42" ht="15.75" customHeight="1">
      <c r="A315" s="33"/>
      <c r="B315" s="33"/>
      <c r="C315" s="33"/>
      <c r="D315" s="33"/>
      <c r="E315" s="33"/>
      <c r="F315" s="199"/>
      <c r="G315" s="33"/>
      <c r="H315" s="28"/>
      <c r="I315" s="33"/>
      <c r="J315" s="23"/>
      <c r="K315" s="28"/>
      <c r="L315" s="31"/>
      <c r="M315" s="31"/>
      <c r="N315" s="33"/>
      <c r="O315" s="33"/>
      <c r="P315" s="33"/>
      <c r="Q315" s="31"/>
      <c r="R315" s="23"/>
      <c r="S315" s="33"/>
      <c r="T315" s="33"/>
      <c r="U315" s="33"/>
      <c r="V315" s="33"/>
      <c r="W315" s="33"/>
      <c r="X315" s="33"/>
      <c r="Y315" s="37"/>
      <c r="Z315" s="23"/>
      <c r="AA315" s="33"/>
      <c r="AB315" s="23"/>
      <c r="AC315" s="33"/>
      <c r="AD315" s="23"/>
      <c r="AE315" s="33"/>
      <c r="AF315" s="33"/>
      <c r="AG315" s="33"/>
      <c r="AH315" s="33"/>
      <c r="AI315" s="33"/>
      <c r="AJ315" s="33"/>
      <c r="AK315" s="33"/>
      <c r="AL315" s="33"/>
      <c r="AM315" s="216"/>
      <c r="AN315" s="33"/>
      <c r="AO315" s="33"/>
      <c r="AP315" s="33"/>
    </row>
    <row r="316" spans="1:42" ht="15.75" customHeight="1">
      <c r="A316" s="33"/>
      <c r="B316" s="33"/>
      <c r="C316" s="33"/>
      <c r="D316" s="33"/>
      <c r="E316" s="33"/>
      <c r="F316" s="199"/>
      <c r="G316" s="33"/>
      <c r="H316" s="28"/>
      <c r="I316" s="33"/>
      <c r="J316" s="23"/>
      <c r="K316" s="28"/>
      <c r="L316" s="31"/>
      <c r="M316" s="31"/>
      <c r="N316" s="33"/>
      <c r="O316" s="33"/>
      <c r="P316" s="33"/>
      <c r="Q316" s="31"/>
      <c r="R316" s="23"/>
      <c r="S316" s="33"/>
      <c r="T316" s="33"/>
      <c r="U316" s="33"/>
      <c r="V316" s="33"/>
      <c r="W316" s="33"/>
      <c r="X316" s="33"/>
      <c r="Y316" s="37"/>
      <c r="Z316" s="23"/>
      <c r="AA316" s="33"/>
      <c r="AB316" s="23"/>
      <c r="AC316" s="33"/>
      <c r="AD316" s="23"/>
      <c r="AE316" s="33"/>
      <c r="AF316" s="33"/>
      <c r="AG316" s="33"/>
      <c r="AH316" s="33"/>
      <c r="AI316" s="33"/>
      <c r="AJ316" s="33"/>
      <c r="AK316" s="33"/>
      <c r="AL316" s="33"/>
      <c r="AM316" s="216"/>
      <c r="AN316" s="33"/>
      <c r="AO316" s="33"/>
      <c r="AP316" s="33"/>
    </row>
    <row r="317" spans="1:42" ht="15.75" customHeight="1">
      <c r="A317" s="33"/>
      <c r="B317" s="33"/>
      <c r="C317" s="33"/>
      <c r="D317" s="33"/>
      <c r="E317" s="33"/>
      <c r="F317" s="199"/>
      <c r="G317" s="33"/>
      <c r="H317" s="28"/>
      <c r="I317" s="33"/>
      <c r="J317" s="23"/>
      <c r="K317" s="28"/>
      <c r="L317" s="31"/>
      <c r="M317" s="31"/>
      <c r="N317" s="33"/>
      <c r="O317" s="33"/>
      <c r="P317" s="33"/>
      <c r="Q317" s="31"/>
      <c r="R317" s="23"/>
      <c r="S317" s="33"/>
      <c r="T317" s="33"/>
      <c r="U317" s="33"/>
      <c r="V317" s="33"/>
      <c r="W317" s="33"/>
      <c r="X317" s="33"/>
      <c r="Y317" s="37"/>
      <c r="Z317" s="23"/>
      <c r="AA317" s="33"/>
      <c r="AB317" s="23"/>
      <c r="AC317" s="33"/>
      <c r="AD317" s="23"/>
      <c r="AE317" s="33"/>
      <c r="AF317" s="33"/>
      <c r="AG317" s="33"/>
      <c r="AH317" s="33"/>
      <c r="AI317" s="33"/>
      <c r="AJ317" s="33"/>
      <c r="AK317" s="33"/>
      <c r="AL317" s="33"/>
      <c r="AM317" s="216"/>
      <c r="AN317" s="33"/>
      <c r="AO317" s="33"/>
      <c r="AP317" s="33"/>
    </row>
    <row r="318" spans="1:42" ht="15.75" customHeight="1">
      <c r="A318" s="33"/>
      <c r="B318" s="33"/>
      <c r="C318" s="33"/>
      <c r="D318" s="33"/>
      <c r="E318" s="33"/>
      <c r="F318" s="199"/>
      <c r="G318" s="33"/>
      <c r="H318" s="28"/>
      <c r="I318" s="33"/>
      <c r="J318" s="23"/>
      <c r="K318" s="28"/>
      <c r="L318" s="31"/>
      <c r="M318" s="31"/>
      <c r="N318" s="33"/>
      <c r="O318" s="33"/>
      <c r="P318" s="33"/>
      <c r="Q318" s="31"/>
      <c r="R318" s="23"/>
      <c r="S318" s="33"/>
      <c r="T318" s="33"/>
      <c r="U318" s="33"/>
      <c r="V318" s="33"/>
      <c r="W318" s="33"/>
      <c r="X318" s="33"/>
      <c r="Y318" s="37"/>
      <c r="Z318" s="23"/>
      <c r="AA318" s="33"/>
      <c r="AB318" s="23"/>
      <c r="AC318" s="33"/>
      <c r="AD318" s="23"/>
      <c r="AE318" s="33"/>
      <c r="AF318" s="33"/>
      <c r="AG318" s="33"/>
      <c r="AH318" s="33"/>
      <c r="AI318" s="33"/>
      <c r="AJ318" s="33"/>
      <c r="AK318" s="33"/>
      <c r="AL318" s="33"/>
      <c r="AM318" s="216"/>
      <c r="AN318" s="33"/>
      <c r="AO318" s="33"/>
      <c r="AP318" s="33"/>
    </row>
    <row r="319" spans="1:42" ht="15.75" customHeight="1">
      <c r="A319" s="33"/>
      <c r="B319" s="33"/>
      <c r="C319" s="33"/>
      <c r="D319" s="33"/>
      <c r="E319" s="33"/>
      <c r="F319" s="199"/>
      <c r="G319" s="33"/>
      <c r="H319" s="28"/>
      <c r="I319" s="33"/>
      <c r="J319" s="23"/>
      <c r="K319" s="28"/>
      <c r="L319" s="31"/>
      <c r="M319" s="31"/>
      <c r="N319" s="33"/>
      <c r="O319" s="33"/>
      <c r="P319" s="33"/>
      <c r="Q319" s="31"/>
      <c r="R319" s="23"/>
      <c r="S319" s="33"/>
      <c r="T319" s="33"/>
      <c r="U319" s="33"/>
      <c r="V319" s="33"/>
      <c r="W319" s="33"/>
      <c r="X319" s="33"/>
      <c r="Y319" s="37"/>
      <c r="Z319" s="23"/>
      <c r="AA319" s="33"/>
      <c r="AB319" s="23"/>
      <c r="AC319" s="33"/>
      <c r="AD319" s="23"/>
      <c r="AE319" s="33"/>
      <c r="AF319" s="33"/>
      <c r="AG319" s="33"/>
      <c r="AH319" s="33"/>
      <c r="AI319" s="33"/>
      <c r="AJ319" s="33"/>
      <c r="AK319" s="33"/>
      <c r="AL319" s="33"/>
      <c r="AM319" s="216"/>
      <c r="AN319" s="33"/>
      <c r="AO319" s="33"/>
      <c r="AP319" s="33"/>
    </row>
    <row r="320" spans="1:42" ht="15.75" customHeight="1">
      <c r="A320" s="33"/>
      <c r="B320" s="33"/>
      <c r="C320" s="33"/>
      <c r="D320" s="33"/>
      <c r="E320" s="33"/>
      <c r="F320" s="199"/>
      <c r="G320" s="33"/>
      <c r="H320" s="28"/>
      <c r="I320" s="33"/>
      <c r="J320" s="23"/>
      <c r="K320" s="28"/>
      <c r="L320" s="31"/>
      <c r="M320" s="31"/>
      <c r="N320" s="33"/>
      <c r="O320" s="33"/>
      <c r="P320" s="33"/>
      <c r="Q320" s="31"/>
      <c r="R320" s="23"/>
      <c r="S320" s="33"/>
      <c r="T320" s="33"/>
      <c r="U320" s="33"/>
      <c r="V320" s="33"/>
      <c r="W320" s="33"/>
      <c r="X320" s="33"/>
      <c r="Y320" s="37"/>
      <c r="Z320" s="23"/>
      <c r="AA320" s="33"/>
      <c r="AB320" s="23"/>
      <c r="AC320" s="33"/>
      <c r="AD320" s="23"/>
      <c r="AE320" s="33"/>
      <c r="AF320" s="33"/>
      <c r="AG320" s="33"/>
      <c r="AH320" s="33"/>
      <c r="AI320" s="33"/>
      <c r="AJ320" s="33"/>
      <c r="AK320" s="33"/>
      <c r="AL320" s="33"/>
      <c r="AM320" s="216"/>
      <c r="AN320" s="33"/>
      <c r="AO320" s="33"/>
      <c r="AP320" s="33"/>
    </row>
    <row r="321" spans="1:42" ht="15.75" customHeight="1">
      <c r="A321" s="33"/>
      <c r="B321" s="33"/>
      <c r="C321" s="33"/>
      <c r="D321" s="33"/>
      <c r="E321" s="33"/>
      <c r="F321" s="199"/>
      <c r="G321" s="33"/>
      <c r="H321" s="28"/>
      <c r="I321" s="33"/>
      <c r="J321" s="23"/>
      <c r="K321" s="28"/>
      <c r="L321" s="31"/>
      <c r="M321" s="31"/>
      <c r="N321" s="33"/>
      <c r="O321" s="33"/>
      <c r="P321" s="33"/>
      <c r="Q321" s="31"/>
      <c r="R321" s="23"/>
      <c r="S321" s="33"/>
      <c r="T321" s="33"/>
      <c r="U321" s="33"/>
      <c r="V321" s="33"/>
      <c r="W321" s="33"/>
      <c r="X321" s="33"/>
      <c r="Y321" s="37"/>
      <c r="Z321" s="23"/>
      <c r="AA321" s="33"/>
      <c r="AB321" s="23"/>
      <c r="AC321" s="33"/>
      <c r="AD321" s="23"/>
      <c r="AE321" s="33"/>
      <c r="AF321" s="33"/>
      <c r="AG321" s="33"/>
      <c r="AH321" s="33"/>
      <c r="AI321" s="33"/>
      <c r="AJ321" s="33"/>
      <c r="AK321" s="33"/>
      <c r="AL321" s="33"/>
      <c r="AM321" s="216"/>
      <c r="AN321" s="33"/>
      <c r="AO321" s="33"/>
      <c r="AP321" s="33"/>
    </row>
    <row r="322" spans="1:42" ht="15.75" customHeight="1">
      <c r="A322" s="33"/>
      <c r="B322" s="33"/>
      <c r="C322" s="33"/>
      <c r="D322" s="33"/>
      <c r="E322" s="33"/>
      <c r="F322" s="199"/>
      <c r="G322" s="33"/>
      <c r="H322" s="28"/>
      <c r="I322" s="33"/>
      <c r="J322" s="23"/>
      <c r="K322" s="28"/>
      <c r="L322" s="31"/>
      <c r="M322" s="31"/>
      <c r="N322" s="33"/>
      <c r="O322" s="33"/>
      <c r="P322" s="33"/>
      <c r="Q322" s="31"/>
      <c r="R322" s="23"/>
      <c r="S322" s="33"/>
      <c r="T322" s="33"/>
      <c r="U322" s="33"/>
      <c r="V322" s="33"/>
      <c r="W322" s="33"/>
      <c r="X322" s="33"/>
      <c r="Y322" s="37"/>
      <c r="Z322" s="23"/>
      <c r="AA322" s="33"/>
      <c r="AB322" s="23"/>
      <c r="AC322" s="33"/>
      <c r="AD322" s="23"/>
      <c r="AE322" s="33"/>
      <c r="AF322" s="33"/>
      <c r="AG322" s="33"/>
      <c r="AH322" s="33"/>
      <c r="AI322" s="33"/>
      <c r="AJ322" s="33"/>
      <c r="AK322" s="33"/>
      <c r="AL322" s="33"/>
      <c r="AM322" s="216"/>
      <c r="AN322" s="33"/>
      <c r="AO322" s="33"/>
      <c r="AP322" s="33"/>
    </row>
    <row r="323" spans="1:42" ht="15.75" customHeight="1">
      <c r="A323" s="33"/>
      <c r="B323" s="33"/>
      <c r="C323" s="33"/>
      <c r="D323" s="33"/>
      <c r="E323" s="33"/>
      <c r="F323" s="199"/>
      <c r="G323" s="33"/>
      <c r="H323" s="28"/>
      <c r="I323" s="33"/>
      <c r="J323" s="23"/>
      <c r="K323" s="28"/>
      <c r="L323" s="31"/>
      <c r="M323" s="31"/>
      <c r="N323" s="33"/>
      <c r="O323" s="33"/>
      <c r="P323" s="33"/>
      <c r="Q323" s="31"/>
      <c r="R323" s="23"/>
      <c r="S323" s="33"/>
      <c r="T323" s="33"/>
      <c r="U323" s="33"/>
      <c r="V323" s="33"/>
      <c r="W323" s="33"/>
      <c r="X323" s="33"/>
      <c r="Y323" s="37"/>
      <c r="Z323" s="23"/>
      <c r="AA323" s="33"/>
      <c r="AB323" s="23"/>
      <c r="AC323" s="33"/>
      <c r="AD323" s="23"/>
      <c r="AE323" s="33"/>
      <c r="AF323" s="33"/>
      <c r="AG323" s="33"/>
      <c r="AH323" s="33"/>
      <c r="AI323" s="33"/>
      <c r="AJ323" s="33"/>
      <c r="AK323" s="33"/>
      <c r="AL323" s="33"/>
      <c r="AM323" s="216"/>
      <c r="AN323" s="33"/>
      <c r="AO323" s="33"/>
      <c r="AP323" s="33"/>
    </row>
    <row r="324" spans="1:42" ht="15.75" customHeight="1">
      <c r="A324" s="33"/>
      <c r="B324" s="33"/>
      <c r="C324" s="33"/>
      <c r="D324" s="33"/>
      <c r="E324" s="33"/>
      <c r="F324" s="199"/>
      <c r="G324" s="33"/>
      <c r="H324" s="28"/>
      <c r="I324" s="33"/>
      <c r="J324" s="23"/>
      <c r="K324" s="28"/>
      <c r="L324" s="31"/>
      <c r="M324" s="31"/>
      <c r="N324" s="33"/>
      <c r="O324" s="33"/>
      <c r="P324" s="33"/>
      <c r="Q324" s="31"/>
      <c r="R324" s="23"/>
      <c r="S324" s="33"/>
      <c r="T324" s="33"/>
      <c r="U324" s="33"/>
      <c r="V324" s="33"/>
      <c r="W324" s="33"/>
      <c r="X324" s="33"/>
      <c r="Y324" s="37"/>
      <c r="Z324" s="23"/>
      <c r="AA324" s="33"/>
      <c r="AB324" s="23"/>
      <c r="AC324" s="33"/>
      <c r="AD324" s="23"/>
      <c r="AE324" s="33"/>
      <c r="AF324" s="33"/>
      <c r="AG324" s="33"/>
      <c r="AH324" s="33"/>
      <c r="AI324" s="33"/>
      <c r="AJ324" s="33"/>
      <c r="AK324" s="33"/>
      <c r="AL324" s="33"/>
      <c r="AM324" s="216"/>
      <c r="AN324" s="33"/>
      <c r="AO324" s="33"/>
      <c r="AP324" s="33"/>
    </row>
    <row r="325" spans="1:42" ht="15.75" customHeight="1">
      <c r="A325" s="33"/>
      <c r="B325" s="33"/>
      <c r="C325" s="33"/>
      <c r="D325" s="33"/>
      <c r="E325" s="33"/>
      <c r="F325" s="199"/>
      <c r="G325" s="33"/>
      <c r="H325" s="28"/>
      <c r="I325" s="33"/>
      <c r="J325" s="23"/>
      <c r="K325" s="28"/>
      <c r="L325" s="31"/>
      <c r="M325" s="31"/>
      <c r="N325" s="33"/>
      <c r="O325" s="33"/>
      <c r="P325" s="33"/>
      <c r="Q325" s="31"/>
      <c r="R325" s="23"/>
      <c r="S325" s="33"/>
      <c r="T325" s="33"/>
      <c r="U325" s="33"/>
      <c r="V325" s="33"/>
      <c r="W325" s="33"/>
      <c r="X325" s="33"/>
      <c r="Y325" s="37"/>
      <c r="Z325" s="23"/>
      <c r="AA325" s="33"/>
      <c r="AB325" s="23"/>
      <c r="AC325" s="33"/>
      <c r="AD325" s="23"/>
      <c r="AE325" s="33"/>
      <c r="AF325" s="33"/>
      <c r="AG325" s="33"/>
      <c r="AH325" s="33"/>
      <c r="AI325" s="33"/>
      <c r="AJ325" s="33"/>
      <c r="AK325" s="33"/>
      <c r="AL325" s="33"/>
      <c r="AM325" s="216"/>
      <c r="AN325" s="33"/>
      <c r="AO325" s="33"/>
      <c r="AP325" s="33"/>
    </row>
    <row r="326" spans="1:42" ht="15.75" customHeight="1">
      <c r="A326" s="33"/>
      <c r="B326" s="33"/>
      <c r="C326" s="33"/>
      <c r="D326" s="33"/>
      <c r="E326" s="33"/>
      <c r="F326" s="199"/>
      <c r="G326" s="33"/>
      <c r="H326" s="28"/>
      <c r="I326" s="33"/>
      <c r="J326" s="23"/>
      <c r="K326" s="28"/>
      <c r="L326" s="31"/>
      <c r="M326" s="31"/>
      <c r="N326" s="33"/>
      <c r="O326" s="33"/>
      <c r="P326" s="33"/>
      <c r="Q326" s="31"/>
      <c r="R326" s="23"/>
      <c r="S326" s="33"/>
      <c r="T326" s="33"/>
      <c r="U326" s="33"/>
      <c r="V326" s="33"/>
      <c r="W326" s="33"/>
      <c r="X326" s="33"/>
      <c r="Y326" s="37"/>
      <c r="Z326" s="23"/>
      <c r="AA326" s="33"/>
      <c r="AB326" s="23"/>
      <c r="AC326" s="33"/>
      <c r="AD326" s="23"/>
      <c r="AE326" s="33"/>
      <c r="AF326" s="33"/>
      <c r="AG326" s="33"/>
      <c r="AH326" s="33"/>
      <c r="AI326" s="33"/>
      <c r="AJ326" s="33"/>
      <c r="AK326" s="33"/>
      <c r="AL326" s="33"/>
      <c r="AM326" s="216"/>
      <c r="AN326" s="33"/>
      <c r="AO326" s="33"/>
      <c r="AP326" s="33"/>
    </row>
    <row r="327" spans="1:42" ht="15.75" customHeight="1">
      <c r="A327" s="33"/>
      <c r="B327" s="33"/>
      <c r="C327" s="33"/>
      <c r="D327" s="33"/>
      <c r="E327" s="33"/>
      <c r="F327" s="199"/>
      <c r="G327" s="33"/>
      <c r="H327" s="28"/>
      <c r="I327" s="33"/>
      <c r="J327" s="23"/>
      <c r="K327" s="28"/>
      <c r="L327" s="31"/>
      <c r="M327" s="31"/>
      <c r="N327" s="33"/>
      <c r="O327" s="33"/>
      <c r="P327" s="33"/>
      <c r="Q327" s="31"/>
      <c r="R327" s="23"/>
      <c r="S327" s="33"/>
      <c r="T327" s="33"/>
      <c r="U327" s="33"/>
      <c r="V327" s="33"/>
      <c r="W327" s="33"/>
      <c r="X327" s="33"/>
      <c r="Y327" s="37"/>
      <c r="Z327" s="23"/>
      <c r="AA327" s="33"/>
      <c r="AB327" s="23"/>
      <c r="AC327" s="33"/>
      <c r="AD327" s="23"/>
      <c r="AE327" s="33"/>
      <c r="AF327" s="33"/>
      <c r="AG327" s="33"/>
      <c r="AH327" s="33"/>
      <c r="AI327" s="33"/>
      <c r="AJ327" s="33"/>
      <c r="AK327" s="33"/>
      <c r="AL327" s="33"/>
      <c r="AM327" s="216"/>
      <c r="AN327" s="33"/>
      <c r="AO327" s="33"/>
      <c r="AP327" s="33"/>
    </row>
    <row r="328" spans="1:42" ht="15.75" customHeight="1">
      <c r="A328" s="33"/>
      <c r="B328" s="33"/>
      <c r="C328" s="33"/>
      <c r="D328" s="33"/>
      <c r="E328" s="33"/>
      <c r="F328" s="199"/>
      <c r="G328" s="33"/>
      <c r="H328" s="28"/>
      <c r="I328" s="33"/>
      <c r="J328" s="23"/>
      <c r="K328" s="28"/>
      <c r="L328" s="31"/>
      <c r="M328" s="31"/>
      <c r="N328" s="33"/>
      <c r="O328" s="33"/>
      <c r="P328" s="33"/>
      <c r="Q328" s="31"/>
      <c r="R328" s="23"/>
      <c r="S328" s="33"/>
      <c r="T328" s="33"/>
      <c r="U328" s="33"/>
      <c r="V328" s="33"/>
      <c r="W328" s="33"/>
      <c r="X328" s="33"/>
      <c r="Y328" s="37"/>
      <c r="Z328" s="23"/>
      <c r="AA328" s="33"/>
      <c r="AB328" s="23"/>
      <c r="AC328" s="33"/>
      <c r="AD328" s="23"/>
      <c r="AE328" s="33"/>
      <c r="AF328" s="33"/>
      <c r="AG328" s="33"/>
      <c r="AH328" s="33"/>
      <c r="AI328" s="33"/>
      <c r="AJ328" s="33"/>
      <c r="AK328" s="33"/>
      <c r="AL328" s="33"/>
      <c r="AM328" s="216"/>
      <c r="AN328" s="33"/>
      <c r="AO328" s="33"/>
      <c r="AP328" s="33"/>
    </row>
    <row r="329" spans="1:42" ht="15.75" customHeight="1">
      <c r="A329" s="33"/>
      <c r="B329" s="33"/>
      <c r="C329" s="33"/>
      <c r="D329" s="33"/>
      <c r="E329" s="33"/>
      <c r="F329" s="199"/>
      <c r="G329" s="33"/>
      <c r="H329" s="28"/>
      <c r="I329" s="33"/>
      <c r="J329" s="23"/>
      <c r="K329" s="28"/>
      <c r="L329" s="31"/>
      <c r="M329" s="31"/>
      <c r="N329" s="33"/>
      <c r="O329" s="33"/>
      <c r="P329" s="33"/>
      <c r="Q329" s="31"/>
      <c r="R329" s="23"/>
      <c r="S329" s="33"/>
      <c r="T329" s="33"/>
      <c r="U329" s="33"/>
      <c r="V329" s="33"/>
      <c r="W329" s="33"/>
      <c r="X329" s="33"/>
      <c r="Y329" s="37"/>
      <c r="Z329" s="23"/>
      <c r="AA329" s="33"/>
      <c r="AB329" s="23"/>
      <c r="AC329" s="33"/>
      <c r="AD329" s="23"/>
      <c r="AE329" s="33"/>
      <c r="AF329" s="33"/>
      <c r="AG329" s="33"/>
      <c r="AH329" s="33"/>
      <c r="AI329" s="33"/>
      <c r="AJ329" s="33"/>
      <c r="AK329" s="33"/>
      <c r="AL329" s="33"/>
      <c r="AM329" s="216"/>
      <c r="AN329" s="33"/>
      <c r="AO329" s="33"/>
      <c r="AP329" s="33"/>
    </row>
    <row r="330" spans="1:42" ht="15.75" customHeight="1">
      <c r="A330" s="33"/>
      <c r="B330" s="33"/>
      <c r="C330" s="33"/>
      <c r="D330" s="33"/>
      <c r="E330" s="33"/>
      <c r="F330" s="199"/>
      <c r="G330" s="33"/>
      <c r="H330" s="28"/>
      <c r="I330" s="33"/>
      <c r="J330" s="23"/>
      <c r="K330" s="28"/>
      <c r="L330" s="31"/>
      <c r="M330" s="31"/>
      <c r="N330" s="33"/>
      <c r="O330" s="33"/>
      <c r="P330" s="33"/>
      <c r="Q330" s="31"/>
      <c r="R330" s="23"/>
      <c r="S330" s="33"/>
      <c r="T330" s="33"/>
      <c r="U330" s="33"/>
      <c r="V330" s="33"/>
      <c r="W330" s="33"/>
      <c r="X330" s="33"/>
      <c r="Y330" s="37"/>
      <c r="Z330" s="23"/>
      <c r="AA330" s="33"/>
      <c r="AB330" s="23"/>
      <c r="AC330" s="33"/>
      <c r="AD330" s="23"/>
      <c r="AE330" s="33"/>
      <c r="AF330" s="33"/>
      <c r="AG330" s="33"/>
      <c r="AH330" s="33"/>
      <c r="AI330" s="33"/>
      <c r="AJ330" s="33"/>
      <c r="AK330" s="33"/>
      <c r="AL330" s="33"/>
      <c r="AM330" s="216"/>
      <c r="AN330" s="33"/>
      <c r="AO330" s="33"/>
      <c r="AP330" s="33"/>
    </row>
    <row r="331" spans="1:42" ht="15.75" customHeight="1">
      <c r="A331" s="33"/>
      <c r="B331" s="33"/>
      <c r="C331" s="33"/>
      <c r="D331" s="33"/>
      <c r="E331" s="33"/>
      <c r="F331" s="199"/>
      <c r="G331" s="33"/>
      <c r="H331" s="28"/>
      <c r="I331" s="33"/>
      <c r="J331" s="23"/>
      <c r="K331" s="28"/>
      <c r="L331" s="31"/>
      <c r="M331" s="31"/>
      <c r="N331" s="33"/>
      <c r="O331" s="33"/>
      <c r="P331" s="33"/>
      <c r="Q331" s="31"/>
      <c r="R331" s="23"/>
      <c r="S331" s="33"/>
      <c r="T331" s="33"/>
      <c r="U331" s="33"/>
      <c r="V331" s="33"/>
      <c r="W331" s="33"/>
      <c r="X331" s="33"/>
      <c r="Y331" s="37"/>
      <c r="Z331" s="23"/>
      <c r="AA331" s="33"/>
      <c r="AB331" s="23"/>
      <c r="AC331" s="33"/>
      <c r="AD331" s="23"/>
      <c r="AE331" s="33"/>
      <c r="AF331" s="33"/>
      <c r="AG331" s="33"/>
      <c r="AH331" s="33"/>
      <c r="AI331" s="33"/>
      <c r="AJ331" s="33"/>
      <c r="AK331" s="33"/>
      <c r="AL331" s="33"/>
      <c r="AM331" s="216"/>
      <c r="AN331" s="33"/>
      <c r="AO331" s="33"/>
      <c r="AP331" s="33"/>
    </row>
    <row r="332" spans="1:42" ht="15.75" customHeight="1">
      <c r="A332" s="33"/>
      <c r="B332" s="33"/>
      <c r="C332" s="33"/>
      <c r="D332" s="33"/>
      <c r="E332" s="33"/>
      <c r="F332" s="199"/>
      <c r="G332" s="33"/>
      <c r="H332" s="28"/>
      <c r="I332" s="33"/>
      <c r="J332" s="23"/>
      <c r="K332" s="28"/>
      <c r="L332" s="31"/>
      <c r="M332" s="31"/>
      <c r="N332" s="33"/>
      <c r="O332" s="33"/>
      <c r="P332" s="33"/>
      <c r="Q332" s="31"/>
      <c r="R332" s="23"/>
      <c r="S332" s="33"/>
      <c r="T332" s="33"/>
      <c r="U332" s="33"/>
      <c r="V332" s="33"/>
      <c r="W332" s="33"/>
      <c r="X332" s="33"/>
      <c r="Y332" s="37"/>
      <c r="Z332" s="23"/>
      <c r="AA332" s="33"/>
      <c r="AB332" s="23"/>
      <c r="AC332" s="33"/>
      <c r="AD332" s="23"/>
      <c r="AE332" s="33"/>
      <c r="AF332" s="33"/>
      <c r="AG332" s="33"/>
      <c r="AH332" s="33"/>
      <c r="AI332" s="33"/>
      <c r="AJ332" s="33"/>
      <c r="AK332" s="33"/>
      <c r="AL332" s="33"/>
      <c r="AM332" s="216"/>
      <c r="AN332" s="33"/>
      <c r="AO332" s="33"/>
      <c r="AP332" s="33"/>
    </row>
    <row r="333" spans="1:42" ht="15.75" customHeight="1">
      <c r="A333" s="33"/>
      <c r="B333" s="33"/>
      <c r="C333" s="33"/>
      <c r="D333" s="33"/>
      <c r="E333" s="33"/>
      <c r="F333" s="199"/>
      <c r="G333" s="33"/>
      <c r="H333" s="28"/>
      <c r="I333" s="33"/>
      <c r="J333" s="23"/>
      <c r="K333" s="28"/>
      <c r="L333" s="31"/>
      <c r="M333" s="31"/>
      <c r="N333" s="33"/>
      <c r="O333" s="33"/>
      <c r="P333" s="33"/>
      <c r="Q333" s="31"/>
      <c r="R333" s="23"/>
      <c r="S333" s="33"/>
      <c r="T333" s="33"/>
      <c r="U333" s="33"/>
      <c r="V333" s="33"/>
      <c r="W333" s="33"/>
      <c r="X333" s="33"/>
      <c r="Y333" s="37"/>
      <c r="Z333" s="23"/>
      <c r="AA333" s="33"/>
      <c r="AB333" s="23"/>
      <c r="AC333" s="33"/>
      <c r="AD333" s="23"/>
      <c r="AE333" s="33"/>
      <c r="AF333" s="33"/>
      <c r="AG333" s="33"/>
      <c r="AH333" s="33"/>
      <c r="AI333" s="33"/>
      <c r="AJ333" s="33"/>
      <c r="AK333" s="33"/>
      <c r="AL333" s="33"/>
      <c r="AM333" s="216"/>
      <c r="AN333" s="33"/>
      <c r="AO333" s="33"/>
      <c r="AP333" s="33"/>
    </row>
    <row r="334" spans="1:42" ht="15.75" customHeight="1">
      <c r="A334" s="33"/>
      <c r="B334" s="33"/>
      <c r="C334" s="33"/>
      <c r="D334" s="33"/>
      <c r="E334" s="33"/>
      <c r="F334" s="199"/>
      <c r="G334" s="33"/>
      <c r="H334" s="28"/>
      <c r="I334" s="33"/>
      <c r="J334" s="23"/>
      <c r="K334" s="28"/>
      <c r="L334" s="31"/>
      <c r="M334" s="31"/>
      <c r="N334" s="33"/>
      <c r="O334" s="33"/>
      <c r="P334" s="33"/>
      <c r="Q334" s="31"/>
      <c r="R334" s="23"/>
      <c r="S334" s="33"/>
      <c r="T334" s="33"/>
      <c r="U334" s="33"/>
      <c r="V334" s="33"/>
      <c r="W334" s="33"/>
      <c r="X334" s="33"/>
      <c r="Y334" s="37"/>
      <c r="Z334" s="23"/>
      <c r="AA334" s="33"/>
      <c r="AB334" s="23"/>
      <c r="AC334" s="33"/>
      <c r="AD334" s="23"/>
      <c r="AE334" s="33"/>
      <c r="AF334" s="33"/>
      <c r="AG334" s="33"/>
      <c r="AH334" s="33"/>
      <c r="AI334" s="33"/>
      <c r="AJ334" s="33"/>
      <c r="AK334" s="33"/>
      <c r="AL334" s="33"/>
      <c r="AM334" s="216"/>
      <c r="AN334" s="33"/>
      <c r="AO334" s="33"/>
      <c r="AP334" s="33"/>
    </row>
    <row r="335" spans="1:42" ht="15.75" customHeight="1">
      <c r="A335" s="33"/>
      <c r="B335" s="33"/>
      <c r="C335" s="33"/>
      <c r="D335" s="33"/>
      <c r="E335" s="33"/>
      <c r="F335" s="199"/>
      <c r="G335" s="33"/>
      <c r="H335" s="28"/>
      <c r="I335" s="33"/>
      <c r="J335" s="23"/>
      <c r="K335" s="28"/>
      <c r="L335" s="31"/>
      <c r="M335" s="31"/>
      <c r="N335" s="33"/>
      <c r="O335" s="33"/>
      <c r="P335" s="33"/>
      <c r="Q335" s="31"/>
      <c r="R335" s="23"/>
      <c r="S335" s="33"/>
      <c r="T335" s="33"/>
      <c r="U335" s="33"/>
      <c r="V335" s="33"/>
      <c r="W335" s="33"/>
      <c r="X335" s="33"/>
      <c r="Y335" s="37"/>
      <c r="Z335" s="23"/>
      <c r="AA335" s="33"/>
      <c r="AB335" s="23"/>
      <c r="AC335" s="33"/>
      <c r="AD335" s="23"/>
      <c r="AE335" s="33"/>
      <c r="AF335" s="33"/>
      <c r="AG335" s="33"/>
      <c r="AH335" s="33"/>
      <c r="AI335" s="33"/>
      <c r="AJ335" s="33"/>
      <c r="AK335" s="33"/>
      <c r="AL335" s="33"/>
      <c r="AM335" s="216"/>
      <c r="AN335" s="33"/>
      <c r="AO335" s="33"/>
      <c r="AP335" s="33"/>
    </row>
    <row r="336" spans="1:42" ht="15.75" customHeight="1">
      <c r="A336" s="33"/>
      <c r="B336" s="33"/>
      <c r="C336" s="33"/>
      <c r="D336" s="33"/>
      <c r="E336" s="33"/>
      <c r="F336" s="199"/>
      <c r="G336" s="33"/>
      <c r="H336" s="28"/>
      <c r="I336" s="33"/>
      <c r="J336" s="23"/>
      <c r="K336" s="28"/>
      <c r="L336" s="31"/>
      <c r="M336" s="31"/>
      <c r="N336" s="33"/>
      <c r="O336" s="33"/>
      <c r="P336" s="33"/>
      <c r="Q336" s="31"/>
      <c r="R336" s="23"/>
      <c r="S336" s="33"/>
      <c r="T336" s="33"/>
      <c r="U336" s="33"/>
      <c r="V336" s="33"/>
      <c r="W336" s="33"/>
      <c r="X336" s="33"/>
      <c r="Y336" s="37"/>
      <c r="Z336" s="23"/>
      <c r="AA336" s="33"/>
      <c r="AB336" s="23"/>
      <c r="AC336" s="33"/>
      <c r="AD336" s="23"/>
      <c r="AE336" s="33"/>
      <c r="AF336" s="33"/>
      <c r="AG336" s="33"/>
      <c r="AH336" s="33"/>
      <c r="AI336" s="33"/>
      <c r="AJ336" s="33"/>
      <c r="AK336" s="33"/>
      <c r="AL336" s="33"/>
      <c r="AM336" s="216"/>
      <c r="AN336" s="33"/>
      <c r="AO336" s="33"/>
      <c r="AP336" s="33"/>
    </row>
    <row r="337" spans="1:42" ht="15.75" customHeight="1">
      <c r="A337" s="33"/>
      <c r="B337" s="33"/>
      <c r="C337" s="33"/>
      <c r="D337" s="33"/>
      <c r="E337" s="33"/>
      <c r="F337" s="199"/>
      <c r="G337" s="33"/>
      <c r="H337" s="28"/>
      <c r="I337" s="33"/>
      <c r="J337" s="23"/>
      <c r="K337" s="28"/>
      <c r="L337" s="31"/>
      <c r="M337" s="31"/>
      <c r="N337" s="33"/>
      <c r="O337" s="33"/>
      <c r="P337" s="33"/>
      <c r="Q337" s="31"/>
      <c r="R337" s="23"/>
      <c r="S337" s="33"/>
      <c r="T337" s="33"/>
      <c r="U337" s="33"/>
      <c r="V337" s="33"/>
      <c r="W337" s="33"/>
      <c r="X337" s="33"/>
      <c r="Y337" s="37"/>
      <c r="Z337" s="23"/>
      <c r="AA337" s="33"/>
      <c r="AB337" s="23"/>
      <c r="AC337" s="33"/>
      <c r="AD337" s="23"/>
      <c r="AE337" s="33"/>
      <c r="AF337" s="33"/>
      <c r="AG337" s="33"/>
      <c r="AH337" s="33"/>
      <c r="AI337" s="33"/>
      <c r="AJ337" s="33"/>
      <c r="AK337" s="33"/>
      <c r="AL337" s="33"/>
      <c r="AM337" s="216"/>
      <c r="AN337" s="33"/>
      <c r="AO337" s="33"/>
      <c r="AP337" s="33"/>
    </row>
    <row r="338" spans="1:42" ht="15.75" customHeight="1">
      <c r="A338" s="33"/>
      <c r="B338" s="33"/>
      <c r="C338" s="33"/>
      <c r="D338" s="33"/>
      <c r="E338" s="33"/>
      <c r="F338" s="199"/>
      <c r="G338" s="33"/>
      <c r="H338" s="28"/>
      <c r="I338" s="33"/>
      <c r="J338" s="23"/>
      <c r="K338" s="28"/>
      <c r="L338" s="31"/>
      <c r="M338" s="31"/>
      <c r="N338" s="33"/>
      <c r="O338" s="33"/>
      <c r="P338" s="33"/>
      <c r="Q338" s="31"/>
      <c r="R338" s="23"/>
      <c r="S338" s="33"/>
      <c r="T338" s="33"/>
      <c r="U338" s="33"/>
      <c r="V338" s="33"/>
      <c r="W338" s="33"/>
      <c r="X338" s="33"/>
      <c r="Y338" s="37"/>
      <c r="Z338" s="23"/>
      <c r="AA338" s="33"/>
      <c r="AB338" s="23"/>
      <c r="AC338" s="33"/>
      <c r="AD338" s="23"/>
      <c r="AE338" s="33"/>
      <c r="AF338" s="33"/>
      <c r="AG338" s="33"/>
      <c r="AH338" s="33"/>
      <c r="AI338" s="33"/>
      <c r="AJ338" s="33"/>
      <c r="AK338" s="33"/>
      <c r="AL338" s="33"/>
      <c r="AM338" s="216"/>
      <c r="AN338" s="33"/>
      <c r="AO338" s="33"/>
      <c r="AP338" s="33"/>
    </row>
    <row r="339" spans="1:42" ht="15.75" customHeight="1">
      <c r="A339" s="33"/>
      <c r="B339" s="33"/>
      <c r="C339" s="33"/>
      <c r="D339" s="33"/>
      <c r="E339" s="33"/>
      <c r="F339" s="199"/>
      <c r="G339" s="33"/>
      <c r="H339" s="28"/>
      <c r="I339" s="33"/>
      <c r="J339" s="23"/>
      <c r="K339" s="28"/>
      <c r="L339" s="31"/>
      <c r="M339" s="31"/>
      <c r="N339" s="33"/>
      <c r="O339" s="33"/>
      <c r="P339" s="33"/>
      <c r="Q339" s="31"/>
      <c r="R339" s="23"/>
      <c r="S339" s="33"/>
      <c r="T339" s="33"/>
      <c r="U339" s="33"/>
      <c r="V339" s="33"/>
      <c r="W339" s="33"/>
      <c r="X339" s="33"/>
      <c r="Y339" s="37"/>
      <c r="Z339" s="23"/>
      <c r="AA339" s="33"/>
      <c r="AB339" s="23"/>
      <c r="AC339" s="33"/>
      <c r="AD339" s="23"/>
      <c r="AE339" s="33"/>
      <c r="AF339" s="33"/>
      <c r="AG339" s="33"/>
      <c r="AH339" s="33"/>
      <c r="AI339" s="33"/>
      <c r="AJ339" s="33"/>
      <c r="AK339" s="33"/>
      <c r="AL339" s="33"/>
      <c r="AM339" s="216"/>
      <c r="AN339" s="33"/>
      <c r="AO339" s="33"/>
      <c r="AP339" s="33"/>
    </row>
    <row r="340" spans="1:42" ht="15.75" customHeight="1">
      <c r="A340" s="33"/>
      <c r="B340" s="33"/>
      <c r="C340" s="33"/>
      <c r="D340" s="33"/>
      <c r="E340" s="33"/>
      <c r="F340" s="199"/>
      <c r="G340" s="33"/>
      <c r="H340" s="28"/>
      <c r="I340" s="33"/>
      <c r="J340" s="23"/>
      <c r="K340" s="28"/>
      <c r="L340" s="31"/>
      <c r="M340" s="31"/>
      <c r="N340" s="33"/>
      <c r="O340" s="33"/>
      <c r="P340" s="33"/>
      <c r="Q340" s="31"/>
      <c r="R340" s="23"/>
      <c r="S340" s="33"/>
      <c r="T340" s="33"/>
      <c r="U340" s="33"/>
      <c r="V340" s="33"/>
      <c r="W340" s="33"/>
      <c r="X340" s="33"/>
      <c r="Y340" s="37"/>
      <c r="Z340" s="23"/>
      <c r="AA340" s="33"/>
      <c r="AB340" s="23"/>
      <c r="AC340" s="33"/>
      <c r="AD340" s="23"/>
      <c r="AE340" s="33"/>
      <c r="AF340" s="33"/>
      <c r="AG340" s="33"/>
      <c r="AH340" s="33"/>
      <c r="AI340" s="33"/>
      <c r="AJ340" s="33"/>
      <c r="AK340" s="33"/>
      <c r="AL340" s="33"/>
      <c r="AM340" s="216"/>
      <c r="AN340" s="33"/>
      <c r="AO340" s="33"/>
      <c r="AP340" s="33"/>
    </row>
    <row r="341" spans="1:42" ht="15.75" customHeight="1">
      <c r="A341" s="33"/>
      <c r="B341" s="33"/>
      <c r="C341" s="33"/>
      <c r="D341" s="33"/>
      <c r="E341" s="33"/>
      <c r="F341" s="199"/>
      <c r="G341" s="33"/>
      <c r="H341" s="28"/>
      <c r="I341" s="33"/>
      <c r="J341" s="23"/>
      <c r="K341" s="28"/>
      <c r="L341" s="31"/>
      <c r="M341" s="31"/>
      <c r="N341" s="33"/>
      <c r="O341" s="33"/>
      <c r="P341" s="33"/>
      <c r="Q341" s="31"/>
      <c r="R341" s="23"/>
      <c r="S341" s="33"/>
      <c r="T341" s="33"/>
      <c r="U341" s="33"/>
      <c r="V341" s="33"/>
      <c r="W341" s="33"/>
      <c r="X341" s="33"/>
      <c r="Y341" s="37"/>
      <c r="Z341" s="23"/>
      <c r="AA341" s="33"/>
      <c r="AB341" s="23"/>
      <c r="AC341" s="33"/>
      <c r="AD341" s="23"/>
      <c r="AE341" s="33"/>
      <c r="AF341" s="33"/>
      <c r="AG341" s="33"/>
      <c r="AH341" s="33"/>
      <c r="AI341" s="33"/>
      <c r="AJ341" s="33"/>
      <c r="AK341" s="33"/>
      <c r="AL341" s="33"/>
      <c r="AM341" s="216"/>
      <c r="AN341" s="33"/>
      <c r="AO341" s="33"/>
      <c r="AP341" s="33"/>
    </row>
    <row r="342" spans="1:42" ht="15.75" customHeight="1">
      <c r="A342" s="33"/>
      <c r="B342" s="33"/>
      <c r="C342" s="33"/>
      <c r="D342" s="33"/>
      <c r="E342" s="33"/>
      <c r="F342" s="199"/>
      <c r="G342" s="33"/>
      <c r="H342" s="28"/>
      <c r="I342" s="33"/>
      <c r="J342" s="23"/>
      <c r="K342" s="28"/>
      <c r="L342" s="31"/>
      <c r="M342" s="31"/>
      <c r="N342" s="33"/>
      <c r="O342" s="33"/>
      <c r="P342" s="33"/>
      <c r="Q342" s="31"/>
      <c r="R342" s="23"/>
      <c r="S342" s="33"/>
      <c r="T342" s="33"/>
      <c r="U342" s="33"/>
      <c r="V342" s="33"/>
      <c r="W342" s="33"/>
      <c r="X342" s="33"/>
      <c r="Y342" s="37"/>
      <c r="Z342" s="23"/>
      <c r="AA342" s="33"/>
      <c r="AB342" s="23"/>
      <c r="AC342" s="33"/>
      <c r="AD342" s="23"/>
      <c r="AE342" s="33"/>
      <c r="AF342" s="33"/>
      <c r="AG342" s="33"/>
      <c r="AH342" s="33"/>
      <c r="AI342" s="33"/>
      <c r="AJ342" s="33"/>
      <c r="AK342" s="33"/>
      <c r="AL342" s="33"/>
      <c r="AM342" s="216"/>
      <c r="AN342" s="33"/>
      <c r="AO342" s="33"/>
      <c r="AP342" s="33"/>
    </row>
    <row r="343" spans="1:42" ht="15.75" customHeight="1">
      <c r="A343" s="33"/>
      <c r="B343" s="33"/>
      <c r="C343" s="33"/>
      <c r="D343" s="33"/>
      <c r="E343" s="33"/>
      <c r="F343" s="199"/>
      <c r="G343" s="33"/>
      <c r="H343" s="28"/>
      <c r="I343" s="33"/>
      <c r="J343" s="23"/>
      <c r="K343" s="28"/>
      <c r="L343" s="31"/>
      <c r="M343" s="31"/>
      <c r="N343" s="33"/>
      <c r="O343" s="33"/>
      <c r="P343" s="33"/>
      <c r="Q343" s="31"/>
      <c r="R343" s="23"/>
      <c r="S343" s="33"/>
      <c r="T343" s="33"/>
      <c r="U343" s="33"/>
      <c r="V343" s="33"/>
      <c r="W343" s="33"/>
      <c r="X343" s="33"/>
      <c r="Y343" s="37"/>
      <c r="Z343" s="23"/>
      <c r="AA343" s="33"/>
      <c r="AB343" s="23"/>
      <c r="AC343" s="33"/>
      <c r="AD343" s="23"/>
      <c r="AE343" s="33"/>
      <c r="AF343" s="33"/>
      <c r="AG343" s="33"/>
      <c r="AH343" s="33"/>
      <c r="AI343" s="33"/>
      <c r="AJ343" s="33"/>
      <c r="AK343" s="33"/>
      <c r="AL343" s="33"/>
      <c r="AM343" s="216"/>
      <c r="AN343" s="33"/>
      <c r="AO343" s="33"/>
      <c r="AP343" s="33"/>
    </row>
    <row r="344" spans="1:42" ht="15.75" customHeight="1">
      <c r="A344" s="33"/>
      <c r="B344" s="33"/>
      <c r="C344" s="33"/>
      <c r="D344" s="33"/>
      <c r="E344" s="33"/>
      <c r="F344" s="199"/>
      <c r="G344" s="33"/>
      <c r="H344" s="28"/>
      <c r="I344" s="33"/>
      <c r="J344" s="23"/>
      <c r="K344" s="28"/>
      <c r="L344" s="31"/>
      <c r="M344" s="31"/>
      <c r="N344" s="33"/>
      <c r="O344" s="33"/>
      <c r="P344" s="33"/>
      <c r="Q344" s="31"/>
      <c r="R344" s="23"/>
      <c r="S344" s="33"/>
      <c r="T344" s="33"/>
      <c r="U344" s="33"/>
      <c r="V344" s="33"/>
      <c r="W344" s="33"/>
      <c r="X344" s="33"/>
      <c r="Y344" s="37"/>
      <c r="Z344" s="23"/>
      <c r="AA344" s="33"/>
      <c r="AB344" s="23"/>
      <c r="AC344" s="33"/>
      <c r="AD344" s="23"/>
      <c r="AE344" s="33"/>
      <c r="AF344" s="33"/>
      <c r="AG344" s="33"/>
      <c r="AH344" s="33"/>
      <c r="AI344" s="33"/>
      <c r="AJ344" s="33"/>
      <c r="AK344" s="33"/>
      <c r="AL344" s="33"/>
      <c r="AM344" s="216"/>
      <c r="AN344" s="33"/>
      <c r="AO344" s="33"/>
      <c r="AP344" s="33"/>
    </row>
    <row r="345" spans="1:42" ht="15.75" customHeight="1">
      <c r="A345" s="33"/>
      <c r="B345" s="33"/>
      <c r="C345" s="33"/>
      <c r="D345" s="33"/>
      <c r="E345" s="33"/>
      <c r="F345" s="199"/>
      <c r="G345" s="33"/>
      <c r="H345" s="28"/>
      <c r="I345" s="33"/>
      <c r="J345" s="23"/>
      <c r="K345" s="28"/>
      <c r="L345" s="31"/>
      <c r="M345" s="31"/>
      <c r="N345" s="33"/>
      <c r="O345" s="33"/>
      <c r="P345" s="33"/>
      <c r="Q345" s="31"/>
      <c r="R345" s="23"/>
      <c r="S345" s="33"/>
      <c r="T345" s="33"/>
      <c r="U345" s="33"/>
      <c r="V345" s="33"/>
      <c r="W345" s="33"/>
      <c r="X345" s="33"/>
      <c r="Y345" s="37"/>
      <c r="Z345" s="23"/>
      <c r="AA345" s="33"/>
      <c r="AB345" s="23"/>
      <c r="AC345" s="33"/>
      <c r="AD345" s="23"/>
      <c r="AE345" s="33"/>
      <c r="AF345" s="33"/>
      <c r="AG345" s="33"/>
      <c r="AH345" s="33"/>
      <c r="AI345" s="33"/>
      <c r="AJ345" s="33"/>
      <c r="AK345" s="33"/>
      <c r="AL345" s="33"/>
      <c r="AM345" s="216"/>
      <c r="AN345" s="33"/>
      <c r="AO345" s="33"/>
      <c r="AP345" s="33"/>
    </row>
    <row r="346" spans="1:42" ht="15.75" customHeight="1">
      <c r="A346" s="33"/>
      <c r="B346" s="33"/>
      <c r="C346" s="33"/>
      <c r="D346" s="33"/>
      <c r="E346" s="33"/>
      <c r="F346" s="199"/>
      <c r="G346" s="33"/>
      <c r="H346" s="28"/>
      <c r="I346" s="33"/>
      <c r="J346" s="23"/>
      <c r="K346" s="28"/>
      <c r="L346" s="31"/>
      <c r="M346" s="31"/>
      <c r="N346" s="33"/>
      <c r="O346" s="33"/>
      <c r="P346" s="33"/>
      <c r="Q346" s="31"/>
      <c r="R346" s="23"/>
      <c r="S346" s="33"/>
      <c r="T346" s="33"/>
      <c r="U346" s="33"/>
      <c r="V346" s="33"/>
      <c r="W346" s="33"/>
      <c r="X346" s="33"/>
      <c r="Y346" s="37"/>
      <c r="Z346" s="23"/>
      <c r="AA346" s="33"/>
      <c r="AB346" s="23"/>
      <c r="AC346" s="33"/>
      <c r="AD346" s="23"/>
      <c r="AE346" s="33"/>
      <c r="AF346" s="33"/>
      <c r="AG346" s="33"/>
      <c r="AH346" s="33"/>
      <c r="AI346" s="33"/>
      <c r="AJ346" s="33"/>
      <c r="AK346" s="33"/>
      <c r="AL346" s="33"/>
      <c r="AM346" s="216"/>
      <c r="AN346" s="33"/>
      <c r="AO346" s="33"/>
      <c r="AP346" s="33"/>
    </row>
    <row r="347" spans="1:42" ht="15.75" customHeight="1">
      <c r="A347" s="33"/>
      <c r="B347" s="33"/>
      <c r="C347" s="33"/>
      <c r="D347" s="33"/>
      <c r="E347" s="33"/>
      <c r="F347" s="199"/>
      <c r="G347" s="33"/>
      <c r="H347" s="28"/>
      <c r="I347" s="33"/>
      <c r="J347" s="23"/>
      <c r="K347" s="28"/>
      <c r="L347" s="31"/>
      <c r="M347" s="31"/>
      <c r="N347" s="33"/>
      <c r="O347" s="33"/>
      <c r="P347" s="33"/>
      <c r="Q347" s="31"/>
      <c r="R347" s="23"/>
      <c r="S347" s="33"/>
      <c r="T347" s="33"/>
      <c r="U347" s="33"/>
      <c r="V347" s="33"/>
      <c r="W347" s="33"/>
      <c r="X347" s="33"/>
      <c r="Y347" s="37"/>
      <c r="Z347" s="23"/>
      <c r="AA347" s="33"/>
      <c r="AB347" s="23"/>
      <c r="AC347" s="33"/>
      <c r="AD347" s="23"/>
      <c r="AE347" s="33"/>
      <c r="AF347" s="33"/>
      <c r="AG347" s="33"/>
      <c r="AH347" s="33"/>
      <c r="AI347" s="33"/>
      <c r="AJ347" s="33"/>
      <c r="AK347" s="33"/>
      <c r="AL347" s="33"/>
      <c r="AM347" s="216"/>
      <c r="AN347" s="33"/>
      <c r="AO347" s="33"/>
      <c r="AP347" s="33"/>
    </row>
    <row r="348" spans="1:42" ht="15.75" customHeight="1">
      <c r="A348" s="33"/>
      <c r="B348" s="33"/>
      <c r="C348" s="33"/>
      <c r="D348" s="33"/>
      <c r="E348" s="33"/>
      <c r="F348" s="199"/>
      <c r="G348" s="33"/>
      <c r="H348" s="28"/>
      <c r="I348" s="33"/>
      <c r="J348" s="23"/>
      <c r="K348" s="28"/>
      <c r="L348" s="31"/>
      <c r="M348" s="31"/>
      <c r="N348" s="33"/>
      <c r="O348" s="33"/>
      <c r="P348" s="33"/>
      <c r="Q348" s="31"/>
      <c r="R348" s="23"/>
      <c r="S348" s="33"/>
      <c r="T348" s="33"/>
      <c r="U348" s="33"/>
      <c r="V348" s="33"/>
      <c r="W348" s="33"/>
      <c r="X348" s="33"/>
      <c r="Y348" s="37"/>
      <c r="Z348" s="23"/>
      <c r="AA348" s="33"/>
      <c r="AB348" s="23"/>
      <c r="AC348" s="33"/>
      <c r="AD348" s="23"/>
      <c r="AE348" s="33"/>
      <c r="AF348" s="33"/>
      <c r="AG348" s="33"/>
      <c r="AH348" s="33"/>
      <c r="AI348" s="33"/>
      <c r="AJ348" s="33"/>
      <c r="AK348" s="33"/>
      <c r="AL348" s="33"/>
      <c r="AM348" s="216"/>
      <c r="AN348" s="33"/>
      <c r="AO348" s="33"/>
      <c r="AP348" s="33"/>
    </row>
    <row r="349" spans="1:42" ht="15.75" customHeight="1">
      <c r="A349" s="33"/>
      <c r="B349" s="33"/>
      <c r="C349" s="33"/>
      <c r="D349" s="33"/>
      <c r="E349" s="33"/>
      <c r="F349" s="199"/>
      <c r="G349" s="33"/>
      <c r="H349" s="28"/>
      <c r="I349" s="33"/>
      <c r="J349" s="23"/>
      <c r="K349" s="28"/>
      <c r="L349" s="31"/>
      <c r="M349" s="31"/>
      <c r="N349" s="33"/>
      <c r="O349" s="33"/>
      <c r="P349" s="33"/>
      <c r="Q349" s="31"/>
      <c r="R349" s="23"/>
      <c r="S349" s="33"/>
      <c r="T349" s="33"/>
      <c r="U349" s="33"/>
      <c r="V349" s="33"/>
      <c r="W349" s="33"/>
      <c r="X349" s="33"/>
      <c r="Y349" s="37"/>
      <c r="Z349" s="23"/>
      <c r="AA349" s="33"/>
      <c r="AB349" s="23"/>
      <c r="AC349" s="33"/>
      <c r="AD349" s="23"/>
      <c r="AE349" s="33"/>
      <c r="AF349" s="33"/>
      <c r="AG349" s="33"/>
      <c r="AH349" s="33"/>
      <c r="AI349" s="33"/>
      <c r="AJ349" s="33"/>
      <c r="AK349" s="33"/>
      <c r="AL349" s="33"/>
      <c r="AM349" s="216"/>
      <c r="AN349" s="33"/>
      <c r="AO349" s="33"/>
      <c r="AP349" s="33"/>
    </row>
    <row r="350" spans="1:42" ht="15.75" customHeight="1">
      <c r="A350" s="33"/>
      <c r="B350" s="33"/>
      <c r="C350" s="33"/>
      <c r="D350" s="33"/>
      <c r="E350" s="33"/>
      <c r="F350" s="199"/>
      <c r="G350" s="33"/>
      <c r="H350" s="28"/>
      <c r="I350" s="33"/>
      <c r="J350" s="23"/>
      <c r="K350" s="28"/>
      <c r="L350" s="31"/>
      <c r="M350" s="31"/>
      <c r="N350" s="33"/>
      <c r="O350" s="33"/>
      <c r="P350" s="33"/>
      <c r="Q350" s="31"/>
      <c r="R350" s="23"/>
      <c r="S350" s="33"/>
      <c r="T350" s="33"/>
      <c r="U350" s="33"/>
      <c r="V350" s="33"/>
      <c r="W350" s="33"/>
      <c r="X350" s="33"/>
      <c r="Y350" s="37"/>
      <c r="Z350" s="23"/>
      <c r="AA350" s="33"/>
      <c r="AB350" s="23"/>
      <c r="AC350" s="33"/>
      <c r="AD350" s="23"/>
      <c r="AE350" s="33"/>
      <c r="AF350" s="33"/>
      <c r="AG350" s="33"/>
      <c r="AH350" s="33"/>
      <c r="AI350" s="33"/>
      <c r="AJ350" s="33"/>
      <c r="AK350" s="33"/>
      <c r="AL350" s="33"/>
      <c r="AM350" s="216"/>
      <c r="AN350" s="33"/>
      <c r="AO350" s="33"/>
      <c r="AP350" s="33"/>
    </row>
    <row r="351" spans="1:42" ht="15.75" customHeight="1">
      <c r="A351" s="33"/>
      <c r="B351" s="33"/>
      <c r="C351" s="33"/>
      <c r="D351" s="33"/>
      <c r="E351" s="33"/>
      <c r="F351" s="199"/>
      <c r="G351" s="33"/>
      <c r="H351" s="28"/>
      <c r="I351" s="33"/>
      <c r="J351" s="23"/>
      <c r="K351" s="28"/>
      <c r="L351" s="31"/>
      <c r="M351" s="31"/>
      <c r="N351" s="33"/>
      <c r="O351" s="33"/>
      <c r="P351" s="33"/>
      <c r="Q351" s="31"/>
      <c r="R351" s="23"/>
      <c r="S351" s="33"/>
      <c r="T351" s="33"/>
      <c r="U351" s="33"/>
      <c r="V351" s="33"/>
      <c r="W351" s="33"/>
      <c r="X351" s="33"/>
      <c r="Y351" s="37"/>
      <c r="Z351" s="23"/>
      <c r="AA351" s="33"/>
      <c r="AB351" s="23"/>
      <c r="AC351" s="33"/>
      <c r="AD351" s="23"/>
      <c r="AE351" s="33"/>
      <c r="AF351" s="33"/>
      <c r="AG351" s="33"/>
      <c r="AH351" s="33"/>
      <c r="AI351" s="33"/>
      <c r="AJ351" s="33"/>
      <c r="AK351" s="33"/>
      <c r="AL351" s="33"/>
      <c r="AM351" s="216"/>
      <c r="AN351" s="33"/>
      <c r="AO351" s="33"/>
      <c r="AP351" s="33"/>
    </row>
    <row r="352" spans="1:42" ht="15.75" customHeight="1">
      <c r="A352" s="33"/>
      <c r="B352" s="33"/>
      <c r="C352" s="33"/>
      <c r="D352" s="33"/>
      <c r="E352" s="33"/>
      <c r="F352" s="199"/>
      <c r="G352" s="33"/>
      <c r="H352" s="28"/>
      <c r="I352" s="33"/>
      <c r="J352" s="23"/>
      <c r="K352" s="28"/>
      <c r="L352" s="31"/>
      <c r="M352" s="31"/>
      <c r="N352" s="33"/>
      <c r="O352" s="33"/>
      <c r="P352" s="33"/>
      <c r="Q352" s="31"/>
      <c r="R352" s="23"/>
      <c r="S352" s="33"/>
      <c r="T352" s="33"/>
      <c r="U352" s="33"/>
      <c r="V352" s="33"/>
      <c r="W352" s="33"/>
      <c r="X352" s="33"/>
      <c r="Y352" s="37"/>
      <c r="Z352" s="23"/>
      <c r="AA352" s="33"/>
      <c r="AB352" s="23"/>
      <c r="AC352" s="33"/>
      <c r="AD352" s="23"/>
      <c r="AE352" s="33"/>
      <c r="AF352" s="33"/>
      <c r="AG352" s="33"/>
      <c r="AH352" s="33"/>
      <c r="AI352" s="33"/>
      <c r="AJ352" s="33"/>
      <c r="AK352" s="33"/>
      <c r="AL352" s="33"/>
      <c r="AM352" s="216"/>
      <c r="AN352" s="33"/>
      <c r="AO352" s="33"/>
      <c r="AP352" s="33"/>
    </row>
    <row r="353" spans="1:42" ht="15.75" customHeight="1">
      <c r="A353" s="33"/>
      <c r="B353" s="33"/>
      <c r="C353" s="33"/>
      <c r="D353" s="33"/>
      <c r="E353" s="33"/>
      <c r="F353" s="199"/>
      <c r="G353" s="33"/>
      <c r="H353" s="28"/>
      <c r="I353" s="33"/>
      <c r="J353" s="23"/>
      <c r="K353" s="28"/>
      <c r="L353" s="31"/>
      <c r="M353" s="31"/>
      <c r="N353" s="33"/>
      <c r="O353" s="33"/>
      <c r="P353" s="33"/>
      <c r="Q353" s="31"/>
      <c r="R353" s="23"/>
      <c r="S353" s="33"/>
      <c r="T353" s="33"/>
      <c r="U353" s="33"/>
      <c r="V353" s="33"/>
      <c r="W353" s="33"/>
      <c r="X353" s="33"/>
      <c r="Y353" s="37"/>
      <c r="Z353" s="23"/>
      <c r="AA353" s="33"/>
      <c r="AB353" s="23"/>
      <c r="AC353" s="33"/>
      <c r="AD353" s="23"/>
      <c r="AE353" s="33"/>
      <c r="AF353" s="33"/>
      <c r="AG353" s="33"/>
      <c r="AH353" s="33"/>
      <c r="AI353" s="33"/>
      <c r="AJ353" s="33"/>
      <c r="AK353" s="33"/>
      <c r="AL353" s="33"/>
      <c r="AM353" s="216"/>
      <c r="AN353" s="33"/>
      <c r="AO353" s="33"/>
      <c r="AP353" s="33"/>
    </row>
    <row r="354" spans="1:42" ht="15.75" customHeight="1">
      <c r="A354" s="33"/>
      <c r="B354" s="33"/>
      <c r="C354" s="33"/>
      <c r="D354" s="33"/>
      <c r="E354" s="33"/>
      <c r="F354" s="199"/>
      <c r="G354" s="33"/>
      <c r="H354" s="28"/>
      <c r="I354" s="33"/>
      <c r="J354" s="23"/>
      <c r="K354" s="28"/>
      <c r="L354" s="31"/>
      <c r="M354" s="31"/>
      <c r="N354" s="33"/>
      <c r="O354" s="33"/>
      <c r="P354" s="33"/>
      <c r="Q354" s="31"/>
      <c r="R354" s="23"/>
      <c r="S354" s="33"/>
      <c r="T354" s="33"/>
      <c r="U354" s="33"/>
      <c r="V354" s="33"/>
      <c r="W354" s="33"/>
      <c r="X354" s="33"/>
      <c r="Y354" s="37"/>
      <c r="Z354" s="23"/>
      <c r="AA354" s="33"/>
      <c r="AB354" s="23"/>
      <c r="AC354" s="33"/>
      <c r="AD354" s="23"/>
      <c r="AE354" s="33"/>
      <c r="AF354" s="33"/>
      <c r="AG354" s="33"/>
      <c r="AH354" s="33"/>
      <c r="AI354" s="33"/>
      <c r="AJ354" s="33"/>
      <c r="AK354" s="33"/>
      <c r="AL354" s="33"/>
      <c r="AM354" s="216"/>
      <c r="AN354" s="33"/>
      <c r="AO354" s="33"/>
      <c r="AP354" s="33"/>
    </row>
    <row r="355" spans="1:42" ht="15.75" customHeight="1">
      <c r="A355" s="33"/>
      <c r="B355" s="33"/>
      <c r="C355" s="33"/>
      <c r="D355" s="33"/>
      <c r="E355" s="33"/>
      <c r="F355" s="199"/>
      <c r="G355" s="33"/>
      <c r="H355" s="28"/>
      <c r="I355" s="33"/>
      <c r="J355" s="23"/>
      <c r="K355" s="28"/>
      <c r="L355" s="31"/>
      <c r="M355" s="31"/>
      <c r="N355" s="33"/>
      <c r="O355" s="33"/>
      <c r="P355" s="33"/>
      <c r="Q355" s="31"/>
      <c r="R355" s="23"/>
      <c r="S355" s="33"/>
      <c r="T355" s="33"/>
      <c r="U355" s="33"/>
      <c r="V355" s="33"/>
      <c r="W355" s="33"/>
      <c r="X355" s="33"/>
      <c r="Y355" s="37"/>
      <c r="Z355" s="23"/>
      <c r="AA355" s="33"/>
      <c r="AB355" s="23"/>
      <c r="AC355" s="33"/>
      <c r="AD355" s="23"/>
      <c r="AE355" s="33"/>
      <c r="AF355" s="33"/>
      <c r="AG355" s="33"/>
      <c r="AH355" s="33"/>
      <c r="AI355" s="33"/>
      <c r="AJ355" s="33"/>
      <c r="AK355" s="33"/>
      <c r="AL355" s="33"/>
      <c r="AM355" s="216"/>
      <c r="AN355" s="33"/>
      <c r="AO355" s="33"/>
      <c r="AP355" s="33"/>
    </row>
    <row r="356" spans="1:42" ht="15.75" customHeight="1">
      <c r="A356" s="33"/>
      <c r="B356" s="33"/>
      <c r="C356" s="33"/>
      <c r="D356" s="33"/>
      <c r="E356" s="33"/>
      <c r="F356" s="199"/>
      <c r="G356" s="33"/>
      <c r="H356" s="28"/>
      <c r="I356" s="33"/>
      <c r="J356" s="23"/>
      <c r="K356" s="28"/>
      <c r="L356" s="31"/>
      <c r="M356" s="31"/>
      <c r="N356" s="33"/>
      <c r="O356" s="33"/>
      <c r="P356" s="33"/>
      <c r="Q356" s="31"/>
      <c r="R356" s="23"/>
      <c r="S356" s="33"/>
      <c r="T356" s="33"/>
      <c r="U356" s="33"/>
      <c r="V356" s="33"/>
      <c r="W356" s="33"/>
      <c r="X356" s="33"/>
      <c r="Y356" s="37"/>
      <c r="Z356" s="23"/>
      <c r="AA356" s="33"/>
      <c r="AB356" s="23"/>
      <c r="AC356" s="33"/>
      <c r="AD356" s="23"/>
      <c r="AE356" s="33"/>
      <c r="AF356" s="33"/>
      <c r="AG356" s="33"/>
      <c r="AH356" s="33"/>
      <c r="AI356" s="33"/>
      <c r="AJ356" s="33"/>
      <c r="AK356" s="33"/>
      <c r="AL356" s="33"/>
      <c r="AM356" s="216"/>
      <c r="AN356" s="33"/>
      <c r="AO356" s="33"/>
      <c r="AP356" s="33"/>
    </row>
    <row r="357" spans="1:42" ht="15.75" customHeight="1">
      <c r="A357" s="33"/>
      <c r="B357" s="33"/>
      <c r="C357" s="33"/>
      <c r="D357" s="33"/>
      <c r="E357" s="33"/>
      <c r="F357" s="199"/>
      <c r="G357" s="33"/>
      <c r="H357" s="28"/>
      <c r="I357" s="33"/>
      <c r="J357" s="23"/>
      <c r="K357" s="28"/>
      <c r="L357" s="31"/>
      <c r="M357" s="31"/>
      <c r="N357" s="33"/>
      <c r="O357" s="33"/>
      <c r="P357" s="33"/>
      <c r="Q357" s="31"/>
      <c r="R357" s="23"/>
      <c r="S357" s="33"/>
      <c r="T357" s="33"/>
      <c r="U357" s="33"/>
      <c r="V357" s="33"/>
      <c r="W357" s="33"/>
      <c r="X357" s="33"/>
      <c r="Y357" s="37"/>
      <c r="Z357" s="23"/>
      <c r="AA357" s="33"/>
      <c r="AB357" s="23"/>
      <c r="AC357" s="33"/>
      <c r="AD357" s="23"/>
      <c r="AE357" s="33"/>
      <c r="AF357" s="33"/>
      <c r="AG357" s="33"/>
      <c r="AH357" s="33"/>
      <c r="AI357" s="33"/>
      <c r="AJ357" s="33"/>
      <c r="AK357" s="33"/>
      <c r="AL357" s="33"/>
      <c r="AM357" s="216"/>
      <c r="AN357" s="33"/>
      <c r="AO357" s="33"/>
      <c r="AP357" s="33"/>
    </row>
    <row r="358" spans="1:42" ht="15.75" customHeight="1">
      <c r="A358" s="33"/>
      <c r="B358" s="33"/>
      <c r="C358" s="33"/>
      <c r="D358" s="33"/>
      <c r="E358" s="33"/>
      <c r="F358" s="199"/>
      <c r="G358" s="33"/>
      <c r="H358" s="28"/>
      <c r="I358" s="33"/>
      <c r="J358" s="23"/>
      <c r="K358" s="28"/>
      <c r="L358" s="31"/>
      <c r="M358" s="31"/>
      <c r="N358" s="33"/>
      <c r="O358" s="33"/>
      <c r="P358" s="33"/>
      <c r="Q358" s="31"/>
      <c r="R358" s="23"/>
      <c r="S358" s="33"/>
      <c r="T358" s="33"/>
      <c r="U358" s="33"/>
      <c r="V358" s="33"/>
      <c r="W358" s="33"/>
      <c r="X358" s="33"/>
      <c r="Y358" s="37"/>
      <c r="Z358" s="23"/>
      <c r="AA358" s="33"/>
      <c r="AB358" s="23"/>
      <c r="AC358" s="33"/>
      <c r="AD358" s="23"/>
      <c r="AE358" s="33"/>
      <c r="AF358" s="33"/>
      <c r="AG358" s="33"/>
      <c r="AH358" s="33"/>
      <c r="AI358" s="33"/>
      <c r="AJ358" s="33"/>
      <c r="AK358" s="33"/>
      <c r="AL358" s="33"/>
      <c r="AM358" s="216"/>
      <c r="AN358" s="33"/>
      <c r="AO358" s="33"/>
      <c r="AP358" s="33"/>
    </row>
    <row r="359" spans="1:42" ht="15.75" customHeight="1">
      <c r="A359" s="33"/>
      <c r="B359" s="33"/>
      <c r="C359" s="33"/>
      <c r="D359" s="33"/>
      <c r="E359" s="33"/>
      <c r="F359" s="199"/>
      <c r="G359" s="33"/>
      <c r="H359" s="28"/>
      <c r="I359" s="33"/>
      <c r="J359" s="23"/>
      <c r="K359" s="28"/>
      <c r="L359" s="31"/>
      <c r="M359" s="31"/>
      <c r="N359" s="33"/>
      <c r="O359" s="33"/>
      <c r="P359" s="33"/>
      <c r="Q359" s="31"/>
      <c r="R359" s="23"/>
      <c r="S359" s="33"/>
      <c r="T359" s="33"/>
      <c r="U359" s="33"/>
      <c r="V359" s="33"/>
      <c r="W359" s="33"/>
      <c r="X359" s="33"/>
      <c r="Y359" s="37"/>
      <c r="Z359" s="23"/>
      <c r="AA359" s="33"/>
      <c r="AB359" s="23"/>
      <c r="AC359" s="33"/>
      <c r="AD359" s="23"/>
      <c r="AE359" s="33"/>
      <c r="AF359" s="33"/>
      <c r="AG359" s="33"/>
      <c r="AH359" s="33"/>
      <c r="AI359" s="33"/>
      <c r="AJ359" s="33"/>
      <c r="AK359" s="33"/>
      <c r="AL359" s="33"/>
      <c r="AM359" s="216"/>
      <c r="AN359" s="33"/>
      <c r="AO359" s="33"/>
      <c r="AP359" s="33"/>
    </row>
    <row r="360" spans="1:42" ht="15.75" customHeight="1">
      <c r="A360" s="33"/>
      <c r="B360" s="33"/>
      <c r="C360" s="33"/>
      <c r="D360" s="33"/>
      <c r="E360" s="33"/>
      <c r="F360" s="199"/>
      <c r="G360" s="33"/>
      <c r="H360" s="28"/>
      <c r="I360" s="33"/>
      <c r="J360" s="23"/>
      <c r="K360" s="28"/>
      <c r="L360" s="31"/>
      <c r="M360" s="31"/>
      <c r="N360" s="33"/>
      <c r="O360" s="33"/>
      <c r="P360" s="33"/>
      <c r="Q360" s="31"/>
      <c r="R360" s="23"/>
      <c r="S360" s="33"/>
      <c r="T360" s="33"/>
      <c r="U360" s="33"/>
      <c r="V360" s="33"/>
      <c r="W360" s="33"/>
      <c r="X360" s="33"/>
      <c r="Y360" s="37"/>
      <c r="Z360" s="23"/>
      <c r="AA360" s="33"/>
      <c r="AB360" s="23"/>
      <c r="AC360" s="33"/>
      <c r="AD360" s="23"/>
      <c r="AE360" s="33"/>
      <c r="AF360" s="33"/>
      <c r="AG360" s="33"/>
      <c r="AH360" s="33"/>
      <c r="AI360" s="33"/>
      <c r="AJ360" s="33"/>
      <c r="AK360" s="33"/>
      <c r="AL360" s="33"/>
      <c r="AM360" s="216"/>
      <c r="AN360" s="33"/>
      <c r="AO360" s="33"/>
      <c r="AP360" s="33"/>
    </row>
    <row r="361" spans="1:42" ht="15.75" customHeight="1">
      <c r="A361" s="33"/>
      <c r="B361" s="33"/>
      <c r="C361" s="33"/>
      <c r="D361" s="33"/>
      <c r="E361" s="33"/>
      <c r="F361" s="199"/>
      <c r="G361" s="33"/>
      <c r="H361" s="28"/>
      <c r="I361" s="33"/>
      <c r="J361" s="23"/>
      <c r="K361" s="28"/>
      <c r="L361" s="31"/>
      <c r="M361" s="31"/>
      <c r="N361" s="33"/>
      <c r="O361" s="33"/>
      <c r="P361" s="33"/>
      <c r="Q361" s="31"/>
      <c r="R361" s="23"/>
      <c r="S361" s="33"/>
      <c r="T361" s="33"/>
      <c r="U361" s="33"/>
      <c r="V361" s="33"/>
      <c r="W361" s="33"/>
      <c r="X361" s="33"/>
      <c r="Y361" s="37"/>
      <c r="Z361" s="23"/>
      <c r="AA361" s="33"/>
      <c r="AB361" s="23"/>
      <c r="AC361" s="33"/>
      <c r="AD361" s="23"/>
      <c r="AE361" s="33"/>
      <c r="AF361" s="33"/>
      <c r="AG361" s="33"/>
      <c r="AH361" s="33"/>
      <c r="AI361" s="33"/>
      <c r="AJ361" s="33"/>
      <c r="AK361" s="33"/>
      <c r="AL361" s="33"/>
      <c r="AM361" s="216"/>
      <c r="AN361" s="33"/>
      <c r="AO361" s="33"/>
      <c r="AP361" s="33"/>
    </row>
    <row r="362" spans="1:42" ht="15.75" customHeight="1">
      <c r="A362" s="33"/>
      <c r="B362" s="33"/>
      <c r="C362" s="33"/>
      <c r="D362" s="33"/>
      <c r="E362" s="33"/>
      <c r="F362" s="199"/>
      <c r="G362" s="33"/>
      <c r="H362" s="28"/>
      <c r="I362" s="33"/>
      <c r="J362" s="23"/>
      <c r="K362" s="28"/>
      <c r="L362" s="31"/>
      <c r="M362" s="31"/>
      <c r="N362" s="33"/>
      <c r="O362" s="33"/>
      <c r="P362" s="33"/>
      <c r="Q362" s="31"/>
      <c r="R362" s="23"/>
      <c r="S362" s="33"/>
      <c r="T362" s="33"/>
      <c r="U362" s="33"/>
      <c r="V362" s="33"/>
      <c r="W362" s="33"/>
      <c r="X362" s="33"/>
      <c r="Y362" s="37"/>
      <c r="Z362" s="23"/>
      <c r="AA362" s="33"/>
      <c r="AB362" s="23"/>
      <c r="AC362" s="33"/>
      <c r="AD362" s="23"/>
      <c r="AE362" s="33"/>
      <c r="AF362" s="33"/>
      <c r="AG362" s="33"/>
      <c r="AH362" s="33"/>
      <c r="AI362" s="33"/>
      <c r="AJ362" s="33"/>
      <c r="AK362" s="33"/>
      <c r="AL362" s="33"/>
      <c r="AM362" s="216"/>
      <c r="AN362" s="33"/>
      <c r="AO362" s="33"/>
      <c r="AP362" s="33"/>
    </row>
    <row r="363" spans="1:42" ht="15.75" customHeight="1">
      <c r="A363" s="33"/>
      <c r="B363" s="33"/>
      <c r="C363" s="33"/>
      <c r="D363" s="33"/>
      <c r="E363" s="33"/>
      <c r="F363" s="199"/>
      <c r="G363" s="33"/>
      <c r="H363" s="28"/>
      <c r="I363" s="33"/>
      <c r="J363" s="23"/>
      <c r="K363" s="28"/>
      <c r="L363" s="31"/>
      <c r="M363" s="31"/>
      <c r="N363" s="33"/>
      <c r="O363" s="33"/>
      <c r="P363" s="33"/>
      <c r="Q363" s="31"/>
      <c r="R363" s="23"/>
      <c r="S363" s="33"/>
      <c r="T363" s="33"/>
      <c r="U363" s="33"/>
      <c r="V363" s="33"/>
      <c r="W363" s="33"/>
      <c r="X363" s="33"/>
      <c r="Y363" s="37"/>
      <c r="Z363" s="23"/>
      <c r="AA363" s="33"/>
      <c r="AB363" s="23"/>
      <c r="AC363" s="33"/>
      <c r="AD363" s="23"/>
      <c r="AE363" s="33"/>
      <c r="AF363" s="33"/>
      <c r="AG363" s="33"/>
      <c r="AH363" s="33"/>
      <c r="AI363" s="33"/>
      <c r="AJ363" s="33"/>
      <c r="AK363" s="33"/>
      <c r="AL363" s="33"/>
      <c r="AM363" s="216"/>
      <c r="AN363" s="33"/>
      <c r="AO363" s="33"/>
      <c r="AP363" s="33"/>
    </row>
    <row r="364" spans="1:42" ht="15.75" customHeight="1">
      <c r="A364" s="33"/>
      <c r="B364" s="33"/>
      <c r="C364" s="33"/>
      <c r="D364" s="33"/>
      <c r="E364" s="33"/>
      <c r="F364" s="199"/>
      <c r="G364" s="33"/>
      <c r="H364" s="28"/>
      <c r="I364" s="33"/>
      <c r="J364" s="23"/>
      <c r="K364" s="28"/>
      <c r="L364" s="31"/>
      <c r="M364" s="31"/>
      <c r="N364" s="33"/>
      <c r="O364" s="33"/>
      <c r="P364" s="33"/>
      <c r="Q364" s="31"/>
      <c r="R364" s="23"/>
      <c r="S364" s="33"/>
      <c r="T364" s="33"/>
      <c r="U364" s="33"/>
      <c r="V364" s="33"/>
      <c r="W364" s="33"/>
      <c r="X364" s="33"/>
      <c r="Y364" s="37"/>
      <c r="Z364" s="23"/>
      <c r="AA364" s="33"/>
      <c r="AB364" s="23"/>
      <c r="AC364" s="33"/>
      <c r="AD364" s="23"/>
      <c r="AE364" s="33"/>
      <c r="AF364" s="33"/>
      <c r="AG364" s="33"/>
      <c r="AH364" s="33"/>
      <c r="AI364" s="33"/>
      <c r="AJ364" s="33"/>
      <c r="AK364" s="33"/>
      <c r="AL364" s="33"/>
      <c r="AM364" s="216"/>
      <c r="AN364" s="33"/>
      <c r="AO364" s="33"/>
      <c r="AP364" s="33"/>
    </row>
    <row r="365" spans="1:42" ht="15.75" customHeight="1">
      <c r="A365" s="33"/>
      <c r="B365" s="33"/>
      <c r="C365" s="33"/>
      <c r="D365" s="33"/>
      <c r="E365" s="33"/>
      <c r="F365" s="199"/>
      <c r="G365" s="33"/>
      <c r="H365" s="28"/>
      <c r="I365" s="33"/>
      <c r="J365" s="23"/>
      <c r="K365" s="28"/>
      <c r="L365" s="31"/>
      <c r="M365" s="31"/>
      <c r="N365" s="33"/>
      <c r="O365" s="33"/>
      <c r="P365" s="33"/>
      <c r="Q365" s="31"/>
      <c r="R365" s="23"/>
      <c r="S365" s="33"/>
      <c r="T365" s="33"/>
      <c r="U365" s="33"/>
      <c r="V365" s="33"/>
      <c r="W365" s="33"/>
      <c r="X365" s="33"/>
      <c r="Y365" s="37"/>
      <c r="Z365" s="23"/>
      <c r="AA365" s="33"/>
      <c r="AB365" s="23"/>
      <c r="AC365" s="33"/>
      <c r="AD365" s="23"/>
      <c r="AE365" s="33"/>
      <c r="AF365" s="33"/>
      <c r="AG365" s="33"/>
      <c r="AH365" s="33"/>
      <c r="AI365" s="33"/>
      <c r="AJ365" s="33"/>
      <c r="AK365" s="33"/>
      <c r="AL365" s="33"/>
      <c r="AM365" s="216"/>
      <c r="AN365" s="33"/>
      <c r="AO365" s="33"/>
      <c r="AP365" s="33"/>
    </row>
    <row r="366" spans="1:42" ht="15.75" customHeight="1">
      <c r="A366" s="33"/>
      <c r="B366" s="33"/>
      <c r="C366" s="33"/>
      <c r="D366" s="33"/>
      <c r="E366" s="33"/>
      <c r="F366" s="199"/>
      <c r="G366" s="33"/>
      <c r="H366" s="28"/>
      <c r="I366" s="33"/>
      <c r="J366" s="23"/>
      <c r="K366" s="28"/>
      <c r="L366" s="31"/>
      <c r="M366" s="31"/>
      <c r="N366" s="33"/>
      <c r="O366" s="33"/>
      <c r="P366" s="33"/>
      <c r="Q366" s="31"/>
      <c r="R366" s="23"/>
      <c r="S366" s="33"/>
      <c r="T366" s="33"/>
      <c r="U366" s="33"/>
      <c r="V366" s="33"/>
      <c r="W366" s="33"/>
      <c r="X366" s="33"/>
      <c r="Y366" s="37"/>
      <c r="Z366" s="23"/>
      <c r="AA366" s="33"/>
      <c r="AB366" s="23"/>
      <c r="AC366" s="33"/>
      <c r="AD366" s="23"/>
      <c r="AE366" s="33"/>
      <c r="AF366" s="33"/>
      <c r="AG366" s="33"/>
      <c r="AH366" s="33"/>
      <c r="AI366" s="33"/>
      <c r="AJ366" s="33"/>
      <c r="AK366" s="33"/>
      <c r="AL366" s="33"/>
      <c r="AM366" s="216"/>
      <c r="AN366" s="33"/>
      <c r="AO366" s="33"/>
      <c r="AP366" s="33"/>
    </row>
    <row r="367" spans="1:42" ht="15.75" customHeight="1">
      <c r="A367" s="33"/>
      <c r="B367" s="33"/>
      <c r="C367" s="33"/>
      <c r="D367" s="33"/>
      <c r="E367" s="33"/>
      <c r="F367" s="199"/>
      <c r="G367" s="33"/>
      <c r="H367" s="28"/>
      <c r="I367" s="33"/>
      <c r="J367" s="23"/>
      <c r="K367" s="28"/>
      <c r="L367" s="31"/>
      <c r="M367" s="31"/>
      <c r="N367" s="33"/>
      <c r="O367" s="33"/>
      <c r="P367" s="33"/>
      <c r="Q367" s="31"/>
      <c r="R367" s="23"/>
      <c r="S367" s="33"/>
      <c r="T367" s="33"/>
      <c r="U367" s="33"/>
      <c r="V367" s="33"/>
      <c r="W367" s="33"/>
      <c r="X367" s="33"/>
      <c r="Y367" s="37"/>
      <c r="Z367" s="23"/>
      <c r="AA367" s="33"/>
      <c r="AB367" s="23"/>
      <c r="AC367" s="33"/>
      <c r="AD367" s="23"/>
      <c r="AE367" s="33"/>
      <c r="AF367" s="33"/>
      <c r="AG367" s="33"/>
      <c r="AH367" s="33"/>
      <c r="AI367" s="33"/>
      <c r="AJ367" s="33"/>
      <c r="AK367" s="33"/>
      <c r="AL367" s="33"/>
      <c r="AM367" s="216"/>
      <c r="AN367" s="33"/>
      <c r="AO367" s="33"/>
      <c r="AP367" s="33"/>
    </row>
    <row r="368" spans="1:42" ht="15.75" customHeight="1">
      <c r="A368" s="33"/>
      <c r="B368" s="33"/>
      <c r="C368" s="33"/>
      <c r="D368" s="33"/>
      <c r="E368" s="33"/>
      <c r="F368" s="199"/>
      <c r="G368" s="33"/>
      <c r="H368" s="28"/>
      <c r="I368" s="33"/>
      <c r="J368" s="23"/>
      <c r="K368" s="28"/>
      <c r="L368" s="31"/>
      <c r="M368" s="31"/>
      <c r="N368" s="33"/>
      <c r="O368" s="33"/>
      <c r="P368" s="33"/>
      <c r="Q368" s="31"/>
      <c r="R368" s="23"/>
      <c r="S368" s="33"/>
      <c r="T368" s="33"/>
      <c r="U368" s="33"/>
      <c r="V368" s="33"/>
      <c r="W368" s="33"/>
      <c r="X368" s="33"/>
      <c r="Y368" s="37"/>
      <c r="Z368" s="23"/>
      <c r="AA368" s="33"/>
      <c r="AB368" s="23"/>
      <c r="AC368" s="33"/>
      <c r="AD368" s="23"/>
      <c r="AE368" s="33"/>
      <c r="AF368" s="33"/>
      <c r="AG368" s="33"/>
      <c r="AH368" s="33"/>
      <c r="AI368" s="33"/>
      <c r="AJ368" s="33"/>
      <c r="AK368" s="33"/>
      <c r="AL368" s="33"/>
      <c r="AM368" s="216"/>
      <c r="AN368" s="33"/>
      <c r="AO368" s="33"/>
      <c r="AP368" s="33"/>
    </row>
    <row r="369" spans="1:42" ht="15.75" customHeight="1">
      <c r="A369" s="33"/>
      <c r="B369" s="33"/>
      <c r="C369" s="33"/>
      <c r="D369" s="33"/>
      <c r="E369" s="33"/>
      <c r="F369" s="199"/>
      <c r="G369" s="33"/>
      <c r="H369" s="28"/>
      <c r="I369" s="33"/>
      <c r="J369" s="23"/>
      <c r="K369" s="28"/>
      <c r="L369" s="31"/>
      <c r="M369" s="31"/>
      <c r="N369" s="33"/>
      <c r="O369" s="33"/>
      <c r="P369" s="33"/>
      <c r="Q369" s="31"/>
      <c r="R369" s="23"/>
      <c r="S369" s="33"/>
      <c r="T369" s="33"/>
      <c r="U369" s="33"/>
      <c r="V369" s="33"/>
      <c r="W369" s="33"/>
      <c r="X369" s="33"/>
      <c r="Y369" s="37"/>
      <c r="Z369" s="23"/>
      <c r="AA369" s="33"/>
      <c r="AB369" s="23"/>
      <c r="AC369" s="33"/>
      <c r="AD369" s="23"/>
      <c r="AE369" s="33"/>
      <c r="AF369" s="33"/>
      <c r="AG369" s="33"/>
      <c r="AH369" s="33"/>
      <c r="AI369" s="33"/>
      <c r="AJ369" s="33"/>
      <c r="AK369" s="33"/>
      <c r="AL369" s="33"/>
      <c r="AM369" s="216"/>
      <c r="AN369" s="33"/>
      <c r="AO369" s="33"/>
      <c r="AP369" s="33"/>
    </row>
    <row r="370" spans="1:42" ht="15.75" customHeight="1">
      <c r="A370" s="33"/>
      <c r="B370" s="33"/>
      <c r="C370" s="33"/>
      <c r="D370" s="33"/>
      <c r="E370" s="33"/>
      <c r="F370" s="199"/>
      <c r="G370" s="33"/>
      <c r="H370" s="28"/>
      <c r="I370" s="33"/>
      <c r="J370" s="23"/>
      <c r="K370" s="28"/>
      <c r="L370" s="31"/>
      <c r="M370" s="31"/>
      <c r="N370" s="33"/>
      <c r="O370" s="33"/>
      <c r="P370" s="33"/>
      <c r="Q370" s="31"/>
      <c r="R370" s="23"/>
      <c r="S370" s="33"/>
      <c r="T370" s="33"/>
      <c r="U370" s="33"/>
      <c r="V370" s="33"/>
      <c r="W370" s="33"/>
      <c r="X370" s="33"/>
      <c r="Y370" s="37"/>
      <c r="Z370" s="23"/>
      <c r="AA370" s="33"/>
      <c r="AB370" s="23"/>
      <c r="AC370" s="33"/>
      <c r="AD370" s="23"/>
      <c r="AE370" s="33"/>
      <c r="AF370" s="33"/>
      <c r="AG370" s="33"/>
      <c r="AH370" s="33"/>
      <c r="AI370" s="33"/>
      <c r="AJ370" s="33"/>
      <c r="AK370" s="33"/>
      <c r="AL370" s="33"/>
      <c r="AM370" s="216"/>
      <c r="AN370" s="33"/>
      <c r="AO370" s="33"/>
      <c r="AP370" s="33"/>
    </row>
    <row r="371" spans="1:42" ht="15.75" customHeight="1">
      <c r="A371" s="33"/>
      <c r="B371" s="33"/>
      <c r="C371" s="33"/>
      <c r="D371" s="33"/>
      <c r="E371" s="33"/>
      <c r="F371" s="199"/>
      <c r="G371" s="33"/>
      <c r="H371" s="28"/>
      <c r="I371" s="33"/>
      <c r="J371" s="23"/>
      <c r="K371" s="28"/>
      <c r="L371" s="31"/>
      <c r="M371" s="31"/>
      <c r="N371" s="33"/>
      <c r="O371" s="33"/>
      <c r="P371" s="33"/>
      <c r="Q371" s="31"/>
      <c r="R371" s="23"/>
      <c r="S371" s="33"/>
      <c r="T371" s="33"/>
      <c r="U371" s="33"/>
      <c r="V371" s="33"/>
      <c r="W371" s="33"/>
      <c r="X371" s="33"/>
      <c r="Y371" s="37"/>
      <c r="Z371" s="23"/>
      <c r="AA371" s="33"/>
      <c r="AB371" s="23"/>
      <c r="AC371" s="33"/>
      <c r="AD371" s="23"/>
      <c r="AE371" s="33"/>
      <c r="AF371" s="33"/>
      <c r="AG371" s="33"/>
      <c r="AH371" s="33"/>
      <c r="AI371" s="33"/>
      <c r="AJ371" s="33"/>
      <c r="AK371" s="33"/>
      <c r="AL371" s="33"/>
      <c r="AM371" s="216"/>
      <c r="AN371" s="33"/>
      <c r="AO371" s="33"/>
      <c r="AP371" s="33"/>
    </row>
    <row r="372" spans="1:42" ht="15.75" customHeight="1">
      <c r="A372" s="33"/>
      <c r="B372" s="33"/>
      <c r="C372" s="33"/>
      <c r="D372" s="33"/>
      <c r="E372" s="33"/>
      <c r="F372" s="199"/>
      <c r="G372" s="33"/>
      <c r="H372" s="28"/>
      <c r="I372" s="33"/>
      <c r="J372" s="23"/>
      <c r="K372" s="28"/>
      <c r="L372" s="31"/>
      <c r="M372" s="31"/>
      <c r="N372" s="33"/>
      <c r="O372" s="33"/>
      <c r="P372" s="33"/>
      <c r="Q372" s="31"/>
      <c r="R372" s="23"/>
      <c r="S372" s="33"/>
      <c r="T372" s="33"/>
      <c r="U372" s="33"/>
      <c r="V372" s="33"/>
      <c r="W372" s="33"/>
      <c r="X372" s="33"/>
      <c r="Y372" s="37"/>
      <c r="Z372" s="23"/>
      <c r="AA372" s="33"/>
      <c r="AB372" s="23"/>
      <c r="AC372" s="33"/>
      <c r="AD372" s="23"/>
      <c r="AE372" s="33"/>
      <c r="AF372" s="33"/>
      <c r="AG372" s="33"/>
      <c r="AH372" s="33"/>
      <c r="AI372" s="33"/>
      <c r="AJ372" s="33"/>
      <c r="AK372" s="33"/>
      <c r="AL372" s="33"/>
      <c r="AM372" s="216"/>
      <c r="AN372" s="33"/>
      <c r="AO372" s="33"/>
      <c r="AP372" s="33"/>
    </row>
    <row r="373" spans="1:42" ht="15.75" customHeight="1">
      <c r="A373" s="33"/>
      <c r="B373" s="33"/>
      <c r="C373" s="33"/>
      <c r="D373" s="33"/>
      <c r="E373" s="33"/>
      <c r="F373" s="199"/>
      <c r="G373" s="33"/>
      <c r="H373" s="28"/>
      <c r="I373" s="33"/>
      <c r="J373" s="23"/>
      <c r="K373" s="28"/>
      <c r="L373" s="31"/>
      <c r="M373" s="31"/>
      <c r="N373" s="33"/>
      <c r="O373" s="33"/>
      <c r="P373" s="33"/>
      <c r="Q373" s="31"/>
      <c r="R373" s="23"/>
      <c r="S373" s="33"/>
      <c r="T373" s="33"/>
      <c r="U373" s="33"/>
      <c r="V373" s="33"/>
      <c r="W373" s="33"/>
      <c r="X373" s="33"/>
      <c r="Y373" s="37"/>
      <c r="Z373" s="23"/>
      <c r="AA373" s="33"/>
      <c r="AB373" s="23"/>
      <c r="AC373" s="33"/>
      <c r="AD373" s="23"/>
      <c r="AE373" s="33"/>
      <c r="AF373" s="33"/>
      <c r="AG373" s="33"/>
      <c r="AH373" s="33"/>
      <c r="AI373" s="33"/>
      <c r="AJ373" s="33"/>
      <c r="AK373" s="33"/>
      <c r="AL373" s="33"/>
      <c r="AM373" s="216"/>
      <c r="AN373" s="33"/>
      <c r="AO373" s="33"/>
      <c r="AP373" s="33"/>
    </row>
    <row r="374" spans="1:42" ht="15.75" customHeight="1">
      <c r="A374" s="33"/>
      <c r="B374" s="33"/>
      <c r="C374" s="33"/>
      <c r="D374" s="33"/>
      <c r="E374" s="33"/>
      <c r="F374" s="199"/>
      <c r="G374" s="33"/>
      <c r="H374" s="28"/>
      <c r="I374" s="33"/>
      <c r="J374" s="23"/>
      <c r="K374" s="28"/>
      <c r="L374" s="31"/>
      <c r="M374" s="31"/>
      <c r="N374" s="33"/>
      <c r="O374" s="33"/>
      <c r="P374" s="33"/>
      <c r="Q374" s="31"/>
      <c r="R374" s="23"/>
      <c r="S374" s="33"/>
      <c r="T374" s="33"/>
      <c r="U374" s="33"/>
      <c r="V374" s="33"/>
      <c r="W374" s="33"/>
      <c r="X374" s="33"/>
      <c r="Y374" s="37"/>
      <c r="Z374" s="23"/>
      <c r="AA374" s="33"/>
      <c r="AB374" s="23"/>
      <c r="AC374" s="33"/>
      <c r="AD374" s="23"/>
      <c r="AE374" s="33"/>
      <c r="AF374" s="33"/>
      <c r="AG374" s="33"/>
      <c r="AH374" s="33"/>
      <c r="AI374" s="33"/>
      <c r="AJ374" s="33"/>
      <c r="AK374" s="33"/>
      <c r="AL374" s="33"/>
      <c r="AM374" s="216"/>
      <c r="AN374" s="33"/>
      <c r="AO374" s="33"/>
      <c r="AP374" s="33"/>
    </row>
    <row r="375" spans="1:42" ht="15.75" customHeight="1">
      <c r="A375" s="33"/>
      <c r="B375" s="33"/>
      <c r="C375" s="33"/>
      <c r="D375" s="33"/>
      <c r="E375" s="33"/>
      <c r="F375" s="199"/>
      <c r="G375" s="33"/>
      <c r="H375" s="28"/>
      <c r="I375" s="33"/>
      <c r="J375" s="23"/>
      <c r="K375" s="28"/>
      <c r="L375" s="31"/>
      <c r="M375" s="31"/>
      <c r="N375" s="33"/>
      <c r="O375" s="33"/>
      <c r="P375" s="33"/>
      <c r="Q375" s="31"/>
      <c r="R375" s="23"/>
      <c r="S375" s="33"/>
      <c r="T375" s="33"/>
      <c r="U375" s="33"/>
      <c r="V375" s="33"/>
      <c r="W375" s="33"/>
      <c r="X375" s="33"/>
      <c r="Y375" s="37"/>
      <c r="Z375" s="23"/>
      <c r="AA375" s="33"/>
      <c r="AB375" s="23"/>
      <c r="AC375" s="33"/>
      <c r="AD375" s="23"/>
      <c r="AE375" s="33"/>
      <c r="AF375" s="33"/>
      <c r="AG375" s="33"/>
      <c r="AH375" s="33"/>
      <c r="AI375" s="33"/>
      <c r="AJ375" s="33"/>
      <c r="AK375" s="33"/>
      <c r="AL375" s="33"/>
      <c r="AM375" s="216"/>
      <c r="AN375" s="33"/>
      <c r="AO375" s="33"/>
      <c r="AP375" s="33"/>
    </row>
    <row r="376" spans="1:42" ht="15.75" customHeight="1">
      <c r="A376" s="33"/>
      <c r="B376" s="33"/>
      <c r="C376" s="33"/>
      <c r="D376" s="33"/>
      <c r="E376" s="33"/>
      <c r="F376" s="199"/>
      <c r="G376" s="33"/>
      <c r="H376" s="28"/>
      <c r="I376" s="33"/>
      <c r="J376" s="23"/>
      <c r="K376" s="28"/>
      <c r="L376" s="31"/>
      <c r="M376" s="31"/>
      <c r="N376" s="33"/>
      <c r="O376" s="33"/>
      <c r="P376" s="33"/>
      <c r="Q376" s="31"/>
      <c r="R376" s="23"/>
      <c r="S376" s="33"/>
      <c r="T376" s="33"/>
      <c r="U376" s="33"/>
      <c r="V376" s="33"/>
      <c r="W376" s="33"/>
      <c r="X376" s="33"/>
      <c r="Y376" s="37"/>
      <c r="Z376" s="23"/>
      <c r="AA376" s="33"/>
      <c r="AB376" s="23"/>
      <c r="AC376" s="33"/>
      <c r="AD376" s="23"/>
      <c r="AE376" s="33"/>
      <c r="AF376" s="33"/>
      <c r="AG376" s="33"/>
      <c r="AH376" s="33"/>
      <c r="AI376" s="33"/>
      <c r="AJ376" s="33"/>
      <c r="AK376" s="33"/>
      <c r="AL376" s="33"/>
      <c r="AM376" s="216"/>
      <c r="AN376" s="33"/>
      <c r="AO376" s="33"/>
      <c r="AP376" s="33"/>
    </row>
    <row r="377" spans="1:42" ht="15.75" customHeight="1">
      <c r="A377" s="33"/>
      <c r="B377" s="33"/>
      <c r="C377" s="33"/>
      <c r="D377" s="33"/>
      <c r="E377" s="33"/>
      <c r="F377" s="199"/>
      <c r="G377" s="33"/>
      <c r="H377" s="28"/>
      <c r="I377" s="33"/>
      <c r="J377" s="23"/>
      <c r="K377" s="28"/>
      <c r="L377" s="31"/>
      <c r="M377" s="31"/>
      <c r="N377" s="33"/>
      <c r="O377" s="33"/>
      <c r="P377" s="33"/>
      <c r="Q377" s="31"/>
      <c r="R377" s="23"/>
      <c r="S377" s="33"/>
      <c r="T377" s="33"/>
      <c r="U377" s="33"/>
      <c r="V377" s="33"/>
      <c r="W377" s="33"/>
      <c r="X377" s="33"/>
      <c r="Y377" s="37"/>
      <c r="Z377" s="23"/>
      <c r="AA377" s="33"/>
      <c r="AB377" s="23"/>
      <c r="AC377" s="33"/>
      <c r="AD377" s="23"/>
      <c r="AE377" s="33"/>
      <c r="AF377" s="33"/>
      <c r="AG377" s="33"/>
      <c r="AH377" s="33"/>
      <c r="AI377" s="33"/>
      <c r="AJ377" s="33"/>
      <c r="AK377" s="33"/>
      <c r="AL377" s="33"/>
      <c r="AM377" s="216"/>
      <c r="AN377" s="33"/>
      <c r="AO377" s="33"/>
      <c r="AP377" s="33"/>
    </row>
    <row r="378" spans="1:42" ht="15.75" customHeight="1">
      <c r="A378" s="33"/>
      <c r="B378" s="33"/>
      <c r="C378" s="33"/>
      <c r="D378" s="33"/>
      <c r="E378" s="33"/>
      <c r="F378" s="199"/>
      <c r="G378" s="33"/>
      <c r="H378" s="28"/>
      <c r="I378" s="33"/>
      <c r="J378" s="23"/>
      <c r="K378" s="28"/>
      <c r="L378" s="31"/>
      <c r="M378" s="31"/>
      <c r="N378" s="33"/>
      <c r="O378" s="33"/>
      <c r="P378" s="33"/>
      <c r="Q378" s="31"/>
      <c r="R378" s="23"/>
      <c r="S378" s="33"/>
      <c r="T378" s="33"/>
      <c r="U378" s="33"/>
      <c r="V378" s="33"/>
      <c r="W378" s="33"/>
      <c r="X378" s="33"/>
      <c r="Y378" s="37"/>
      <c r="Z378" s="23"/>
      <c r="AA378" s="33"/>
      <c r="AB378" s="23"/>
      <c r="AC378" s="33"/>
      <c r="AD378" s="23"/>
      <c r="AE378" s="33"/>
      <c r="AF378" s="33"/>
      <c r="AG378" s="33"/>
      <c r="AH378" s="33"/>
      <c r="AI378" s="33"/>
      <c r="AJ378" s="33"/>
      <c r="AK378" s="33"/>
      <c r="AL378" s="33"/>
      <c r="AM378" s="216"/>
      <c r="AN378" s="33"/>
      <c r="AO378" s="33"/>
      <c r="AP378" s="33"/>
    </row>
    <row r="379" spans="1:42" ht="15.75" customHeight="1">
      <c r="A379" s="33"/>
      <c r="B379" s="33"/>
      <c r="C379" s="33"/>
      <c r="D379" s="33"/>
      <c r="E379" s="33"/>
      <c r="F379" s="199"/>
      <c r="G379" s="33"/>
      <c r="H379" s="28"/>
      <c r="I379" s="33"/>
      <c r="J379" s="23"/>
      <c r="K379" s="28"/>
      <c r="L379" s="31"/>
      <c r="M379" s="31"/>
      <c r="N379" s="33"/>
      <c r="O379" s="33"/>
      <c r="P379" s="33"/>
      <c r="Q379" s="31"/>
      <c r="R379" s="23"/>
      <c r="S379" s="33"/>
      <c r="T379" s="33"/>
      <c r="U379" s="33"/>
      <c r="V379" s="33"/>
      <c r="W379" s="33"/>
      <c r="X379" s="33"/>
      <c r="Y379" s="37"/>
      <c r="Z379" s="23"/>
      <c r="AA379" s="33"/>
      <c r="AB379" s="23"/>
      <c r="AC379" s="33"/>
      <c r="AD379" s="23"/>
      <c r="AE379" s="33"/>
      <c r="AF379" s="33"/>
      <c r="AG379" s="33"/>
      <c r="AH379" s="33"/>
      <c r="AI379" s="33"/>
      <c r="AJ379" s="33"/>
      <c r="AK379" s="33"/>
      <c r="AL379" s="33"/>
      <c r="AM379" s="216"/>
      <c r="AN379" s="33"/>
      <c r="AO379" s="33"/>
      <c r="AP379" s="33"/>
    </row>
    <row r="380" spans="1:42" ht="15.75" customHeight="1">
      <c r="A380" s="33"/>
      <c r="B380" s="33"/>
      <c r="C380" s="33"/>
      <c r="D380" s="33"/>
      <c r="E380" s="33"/>
      <c r="F380" s="199"/>
      <c r="G380" s="33"/>
      <c r="H380" s="28"/>
      <c r="I380" s="33"/>
      <c r="J380" s="23"/>
      <c r="K380" s="28"/>
      <c r="L380" s="31"/>
      <c r="M380" s="31"/>
      <c r="N380" s="33"/>
      <c r="O380" s="33"/>
      <c r="P380" s="33"/>
      <c r="Q380" s="31"/>
      <c r="R380" s="23"/>
      <c r="S380" s="33"/>
      <c r="T380" s="33"/>
      <c r="U380" s="33"/>
      <c r="V380" s="33"/>
      <c r="W380" s="33"/>
      <c r="X380" s="33"/>
      <c r="Y380" s="37"/>
      <c r="Z380" s="23"/>
      <c r="AA380" s="33"/>
      <c r="AB380" s="23"/>
      <c r="AC380" s="33"/>
      <c r="AD380" s="23"/>
      <c r="AE380" s="33"/>
      <c r="AF380" s="33"/>
      <c r="AG380" s="33"/>
      <c r="AH380" s="33"/>
      <c r="AI380" s="33"/>
      <c r="AJ380" s="33"/>
      <c r="AK380" s="33"/>
      <c r="AL380" s="33"/>
      <c r="AM380" s="216"/>
      <c r="AN380" s="33"/>
      <c r="AO380" s="33"/>
      <c r="AP380" s="33"/>
    </row>
    <row r="381" spans="1:42" ht="15.75" customHeight="1">
      <c r="A381" s="33"/>
      <c r="B381" s="33"/>
      <c r="C381" s="33"/>
      <c r="D381" s="33"/>
      <c r="E381" s="33"/>
      <c r="F381" s="199"/>
      <c r="G381" s="33"/>
      <c r="H381" s="28"/>
      <c r="I381" s="33"/>
      <c r="J381" s="23"/>
      <c r="K381" s="28"/>
      <c r="L381" s="31"/>
      <c r="M381" s="31"/>
      <c r="N381" s="33"/>
      <c r="O381" s="33"/>
      <c r="P381" s="33"/>
      <c r="Q381" s="31"/>
      <c r="R381" s="23"/>
      <c r="S381" s="33"/>
      <c r="T381" s="33"/>
      <c r="U381" s="33"/>
      <c r="V381" s="33"/>
      <c r="W381" s="33"/>
      <c r="X381" s="33"/>
      <c r="Y381" s="37"/>
      <c r="Z381" s="23"/>
      <c r="AA381" s="33"/>
      <c r="AB381" s="23"/>
      <c r="AC381" s="33"/>
      <c r="AD381" s="23"/>
      <c r="AE381" s="33"/>
      <c r="AF381" s="33"/>
      <c r="AG381" s="33"/>
      <c r="AH381" s="33"/>
      <c r="AI381" s="33"/>
      <c r="AJ381" s="33"/>
      <c r="AK381" s="33"/>
      <c r="AL381" s="33"/>
      <c r="AM381" s="216"/>
      <c r="AN381" s="33"/>
      <c r="AO381" s="33"/>
      <c r="AP381" s="33"/>
    </row>
    <row r="382" spans="1:42" ht="15.75" customHeight="1">
      <c r="A382" s="33"/>
      <c r="B382" s="33"/>
      <c r="C382" s="33"/>
      <c r="D382" s="33"/>
      <c r="E382" s="33"/>
      <c r="F382" s="199"/>
      <c r="G382" s="33"/>
      <c r="H382" s="28"/>
      <c r="I382" s="33"/>
      <c r="J382" s="23"/>
      <c r="K382" s="28"/>
      <c r="L382" s="31"/>
      <c r="M382" s="31"/>
      <c r="N382" s="33"/>
      <c r="O382" s="33"/>
      <c r="P382" s="33"/>
      <c r="Q382" s="31"/>
      <c r="R382" s="23"/>
      <c r="S382" s="33"/>
      <c r="T382" s="33"/>
      <c r="U382" s="33"/>
      <c r="V382" s="33"/>
      <c r="W382" s="33"/>
      <c r="X382" s="33"/>
      <c r="Y382" s="37"/>
      <c r="Z382" s="23"/>
      <c r="AA382" s="33"/>
      <c r="AB382" s="23"/>
      <c r="AC382" s="33"/>
      <c r="AD382" s="23"/>
      <c r="AE382" s="33"/>
      <c r="AF382" s="33"/>
      <c r="AG382" s="33"/>
      <c r="AH382" s="33"/>
      <c r="AI382" s="33"/>
      <c r="AJ382" s="33"/>
      <c r="AK382" s="33"/>
      <c r="AL382" s="33"/>
      <c r="AM382" s="216"/>
      <c r="AN382" s="33"/>
      <c r="AO382" s="33"/>
      <c r="AP382" s="33"/>
    </row>
    <row r="383" spans="1:42" ht="15.75" customHeight="1">
      <c r="A383" s="33"/>
      <c r="B383" s="33"/>
      <c r="C383" s="33"/>
      <c r="D383" s="33"/>
      <c r="E383" s="33"/>
      <c r="F383" s="199"/>
      <c r="G383" s="33"/>
      <c r="H383" s="28"/>
      <c r="I383" s="33"/>
      <c r="J383" s="23"/>
      <c r="K383" s="28"/>
      <c r="L383" s="31"/>
      <c r="M383" s="31"/>
      <c r="N383" s="33"/>
      <c r="O383" s="33"/>
      <c r="P383" s="33"/>
      <c r="Q383" s="31"/>
      <c r="R383" s="23"/>
      <c r="S383" s="33"/>
      <c r="T383" s="33"/>
      <c r="U383" s="33"/>
      <c r="V383" s="33"/>
      <c r="W383" s="33"/>
      <c r="X383" s="33"/>
      <c r="Y383" s="37"/>
      <c r="Z383" s="23"/>
      <c r="AA383" s="33"/>
      <c r="AB383" s="23"/>
      <c r="AC383" s="33"/>
      <c r="AD383" s="23"/>
      <c r="AE383" s="33"/>
      <c r="AF383" s="33"/>
      <c r="AG383" s="33"/>
      <c r="AH383" s="33"/>
      <c r="AI383" s="33"/>
      <c r="AJ383" s="33"/>
      <c r="AK383" s="33"/>
      <c r="AL383" s="33"/>
      <c r="AM383" s="216"/>
      <c r="AN383" s="33"/>
      <c r="AO383" s="33"/>
      <c r="AP383" s="33"/>
    </row>
    <row r="384" spans="1:42" ht="15.75" customHeight="1">
      <c r="A384" s="33"/>
      <c r="B384" s="33"/>
      <c r="C384" s="33"/>
      <c r="D384" s="33"/>
      <c r="E384" s="33"/>
      <c r="F384" s="199"/>
      <c r="G384" s="33"/>
      <c r="H384" s="28"/>
      <c r="I384" s="33"/>
      <c r="J384" s="23"/>
      <c r="K384" s="28"/>
      <c r="L384" s="31"/>
      <c r="M384" s="31"/>
      <c r="N384" s="33"/>
      <c r="O384" s="33"/>
      <c r="P384" s="33"/>
      <c r="Q384" s="31"/>
      <c r="R384" s="23"/>
      <c r="S384" s="33"/>
      <c r="T384" s="33"/>
      <c r="U384" s="33"/>
      <c r="V384" s="33"/>
      <c r="W384" s="33"/>
      <c r="X384" s="33"/>
      <c r="Y384" s="37"/>
      <c r="Z384" s="23"/>
      <c r="AA384" s="33"/>
      <c r="AB384" s="23"/>
      <c r="AC384" s="33"/>
      <c r="AD384" s="23"/>
      <c r="AE384" s="33"/>
      <c r="AF384" s="33"/>
      <c r="AG384" s="33"/>
      <c r="AH384" s="33"/>
      <c r="AI384" s="33"/>
      <c r="AJ384" s="33"/>
      <c r="AK384" s="33"/>
      <c r="AL384" s="33"/>
      <c r="AM384" s="216"/>
      <c r="AN384" s="33"/>
      <c r="AO384" s="33"/>
      <c r="AP384" s="33"/>
    </row>
    <row r="385" spans="1:42" ht="15.75" customHeight="1">
      <c r="A385" s="33"/>
      <c r="B385" s="33"/>
      <c r="C385" s="33"/>
      <c r="D385" s="33"/>
      <c r="E385" s="33"/>
      <c r="F385" s="199"/>
      <c r="G385" s="33"/>
      <c r="H385" s="28"/>
      <c r="I385" s="33"/>
      <c r="J385" s="23"/>
      <c r="K385" s="28"/>
      <c r="L385" s="31"/>
      <c r="M385" s="31"/>
      <c r="N385" s="33"/>
      <c r="O385" s="33"/>
      <c r="P385" s="33"/>
      <c r="Q385" s="31"/>
      <c r="R385" s="23"/>
      <c r="S385" s="33"/>
      <c r="T385" s="33"/>
      <c r="U385" s="33"/>
      <c r="V385" s="33"/>
      <c r="W385" s="33"/>
      <c r="X385" s="33"/>
      <c r="Y385" s="37"/>
      <c r="Z385" s="23"/>
      <c r="AA385" s="33"/>
      <c r="AB385" s="23"/>
      <c r="AC385" s="33"/>
      <c r="AD385" s="23"/>
      <c r="AE385" s="33"/>
      <c r="AF385" s="33"/>
      <c r="AG385" s="33"/>
      <c r="AH385" s="33"/>
      <c r="AI385" s="33"/>
      <c r="AJ385" s="33"/>
      <c r="AK385" s="33"/>
      <c r="AL385" s="33"/>
      <c r="AM385" s="216"/>
      <c r="AN385" s="33"/>
      <c r="AO385" s="33"/>
      <c r="AP385" s="33"/>
    </row>
    <row r="386" spans="1:42" ht="15.75" customHeight="1">
      <c r="A386" s="33"/>
      <c r="B386" s="33"/>
      <c r="C386" s="33"/>
      <c r="D386" s="33"/>
      <c r="E386" s="33"/>
      <c r="F386" s="199"/>
      <c r="G386" s="33"/>
      <c r="H386" s="28"/>
      <c r="I386" s="33"/>
      <c r="J386" s="23"/>
      <c r="K386" s="28"/>
      <c r="L386" s="31"/>
      <c r="M386" s="31"/>
      <c r="N386" s="33"/>
      <c r="O386" s="33"/>
      <c r="P386" s="33"/>
      <c r="Q386" s="31"/>
      <c r="R386" s="23"/>
      <c r="S386" s="33"/>
      <c r="T386" s="33"/>
      <c r="U386" s="33"/>
      <c r="V386" s="33"/>
      <c r="W386" s="33"/>
      <c r="X386" s="33"/>
      <c r="Y386" s="37"/>
      <c r="Z386" s="23"/>
      <c r="AA386" s="33"/>
      <c r="AB386" s="23"/>
      <c r="AC386" s="33"/>
      <c r="AD386" s="23"/>
      <c r="AE386" s="33"/>
      <c r="AF386" s="33"/>
      <c r="AG386" s="33"/>
      <c r="AH386" s="33"/>
      <c r="AI386" s="33"/>
      <c r="AJ386" s="33"/>
      <c r="AK386" s="33"/>
      <c r="AL386" s="33"/>
      <c r="AM386" s="216"/>
      <c r="AN386" s="33"/>
      <c r="AO386" s="33"/>
      <c r="AP386" s="33"/>
    </row>
    <row r="387" spans="1:42" ht="15.75" customHeight="1">
      <c r="A387" s="33"/>
      <c r="B387" s="33"/>
      <c r="C387" s="33"/>
      <c r="D387" s="33"/>
      <c r="E387" s="33"/>
      <c r="F387" s="199"/>
      <c r="G387" s="33"/>
      <c r="H387" s="28"/>
      <c r="I387" s="33"/>
      <c r="J387" s="23"/>
      <c r="K387" s="28"/>
      <c r="L387" s="31"/>
      <c r="M387" s="31"/>
      <c r="N387" s="33"/>
      <c r="O387" s="33"/>
      <c r="P387" s="33"/>
      <c r="Q387" s="31"/>
      <c r="R387" s="23"/>
      <c r="S387" s="33"/>
      <c r="T387" s="33"/>
      <c r="U387" s="33"/>
      <c r="V387" s="33"/>
      <c r="W387" s="33"/>
      <c r="X387" s="33"/>
      <c r="Y387" s="37"/>
      <c r="Z387" s="23"/>
      <c r="AA387" s="33"/>
      <c r="AB387" s="23"/>
      <c r="AC387" s="33"/>
      <c r="AD387" s="23"/>
      <c r="AE387" s="33"/>
      <c r="AF387" s="33"/>
      <c r="AG387" s="33"/>
      <c r="AH387" s="33"/>
      <c r="AI387" s="33"/>
      <c r="AJ387" s="33"/>
      <c r="AK387" s="33"/>
      <c r="AL387" s="33"/>
      <c r="AM387" s="216"/>
      <c r="AN387" s="33"/>
      <c r="AO387" s="33"/>
      <c r="AP387" s="33"/>
    </row>
    <row r="388" spans="1:42" ht="15.75" customHeight="1">
      <c r="A388" s="33"/>
      <c r="B388" s="33"/>
      <c r="C388" s="33"/>
      <c r="D388" s="33"/>
      <c r="E388" s="33"/>
      <c r="F388" s="199"/>
      <c r="G388" s="33"/>
      <c r="H388" s="28"/>
      <c r="I388" s="33"/>
      <c r="J388" s="23"/>
      <c r="K388" s="28"/>
      <c r="L388" s="31"/>
      <c r="M388" s="31"/>
      <c r="N388" s="33"/>
      <c r="O388" s="33"/>
      <c r="P388" s="33"/>
      <c r="Q388" s="31"/>
      <c r="R388" s="23"/>
      <c r="S388" s="33"/>
      <c r="T388" s="33"/>
      <c r="U388" s="33"/>
      <c r="V388" s="33"/>
      <c r="W388" s="33"/>
      <c r="X388" s="33"/>
      <c r="Y388" s="37"/>
      <c r="Z388" s="23"/>
      <c r="AA388" s="33"/>
      <c r="AB388" s="23"/>
      <c r="AC388" s="33"/>
      <c r="AD388" s="23"/>
      <c r="AE388" s="33"/>
      <c r="AF388" s="33"/>
      <c r="AG388" s="33"/>
      <c r="AH388" s="33"/>
      <c r="AI388" s="33"/>
      <c r="AJ388" s="33"/>
      <c r="AK388" s="33"/>
      <c r="AL388" s="33"/>
      <c r="AM388" s="216"/>
      <c r="AN388" s="33"/>
      <c r="AO388" s="33"/>
      <c r="AP388" s="33"/>
    </row>
    <row r="389" spans="1:42" ht="15.75" customHeight="1">
      <c r="A389" s="33"/>
      <c r="B389" s="33"/>
      <c r="C389" s="33"/>
      <c r="D389" s="33"/>
      <c r="E389" s="33"/>
      <c r="F389" s="199"/>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216"/>
      <c r="AN389" s="33"/>
      <c r="AO389" s="33"/>
      <c r="AP389" s="33"/>
    </row>
    <row r="390" spans="1:42" ht="15.75" customHeight="1">
      <c r="A390" s="33"/>
      <c r="B390" s="33"/>
      <c r="C390" s="33"/>
      <c r="D390" s="33"/>
      <c r="E390" s="33"/>
      <c r="F390" s="199"/>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216"/>
      <c r="AN390" s="33"/>
      <c r="AO390" s="33"/>
      <c r="AP390" s="33"/>
    </row>
    <row r="391" spans="1:42" ht="15.75" customHeight="1">
      <c r="A391" s="33"/>
      <c r="B391" s="33"/>
      <c r="C391" s="33"/>
      <c r="D391" s="33"/>
      <c r="E391" s="33"/>
      <c r="F391" s="199"/>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216"/>
      <c r="AN391" s="33"/>
      <c r="AO391" s="33"/>
      <c r="AP391" s="33"/>
    </row>
    <row r="392" spans="1:42" ht="15.75" customHeight="1">
      <c r="A392" s="33"/>
      <c r="B392" s="33"/>
      <c r="C392" s="33"/>
      <c r="D392" s="33"/>
      <c r="E392" s="33"/>
      <c r="F392" s="199"/>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216"/>
      <c r="AN392" s="33"/>
      <c r="AO392" s="33"/>
      <c r="AP392" s="33"/>
    </row>
    <row r="393" spans="1:42" ht="15.75" customHeight="1">
      <c r="A393" s="33"/>
      <c r="B393" s="33"/>
      <c r="C393" s="33"/>
      <c r="D393" s="33"/>
      <c r="E393" s="33"/>
      <c r="F393" s="199"/>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216"/>
      <c r="AN393" s="33"/>
      <c r="AO393" s="33"/>
      <c r="AP393" s="33"/>
    </row>
    <row r="394" spans="1:42" ht="15.75" customHeight="1">
      <c r="A394" s="33"/>
      <c r="B394" s="33"/>
      <c r="C394" s="33"/>
      <c r="D394" s="33"/>
      <c r="E394" s="33"/>
      <c r="F394" s="199"/>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216"/>
      <c r="AN394" s="33"/>
      <c r="AO394" s="33"/>
      <c r="AP394" s="33"/>
    </row>
    <row r="395" spans="1:42" ht="15.75" customHeight="1">
      <c r="A395" s="33"/>
      <c r="B395" s="33"/>
      <c r="C395" s="33"/>
      <c r="D395" s="33"/>
      <c r="E395" s="33"/>
      <c r="F395" s="199"/>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216"/>
      <c r="AN395" s="33"/>
      <c r="AO395" s="33"/>
      <c r="AP395" s="33"/>
    </row>
    <row r="396" spans="1:42" ht="15.75" customHeight="1">
      <c r="A396" s="33"/>
      <c r="B396" s="33"/>
      <c r="C396" s="33"/>
      <c r="D396" s="33"/>
      <c r="E396" s="33"/>
      <c r="F396" s="199"/>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216"/>
      <c r="AN396" s="33"/>
      <c r="AO396" s="33"/>
      <c r="AP396" s="33"/>
    </row>
    <row r="397" spans="1:42" ht="15.75" customHeight="1">
      <c r="A397" s="33"/>
      <c r="B397" s="33"/>
      <c r="C397" s="33"/>
      <c r="D397" s="33"/>
      <c r="E397" s="33"/>
      <c r="F397" s="199"/>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216"/>
      <c r="AN397" s="33"/>
      <c r="AO397" s="33"/>
      <c r="AP397" s="33"/>
    </row>
    <row r="398" spans="1:42" ht="15.75" customHeight="1">
      <c r="A398" s="33"/>
      <c r="B398" s="33"/>
      <c r="C398" s="33"/>
      <c r="D398" s="33"/>
      <c r="E398" s="33"/>
      <c r="F398" s="199"/>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216"/>
      <c r="AN398" s="33"/>
      <c r="AO398" s="33"/>
      <c r="AP398" s="33"/>
    </row>
    <row r="399" spans="1:42" ht="15.75" customHeight="1">
      <c r="A399" s="33"/>
      <c r="B399" s="33"/>
      <c r="C399" s="33"/>
      <c r="D399" s="33"/>
      <c r="E399" s="33"/>
      <c r="F399" s="199"/>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216"/>
      <c r="AN399" s="33"/>
      <c r="AO399" s="33"/>
      <c r="AP399" s="33"/>
    </row>
    <row r="400" spans="1:42" ht="15.75" customHeight="1">
      <c r="A400" s="33"/>
      <c r="B400" s="33"/>
      <c r="C400" s="33"/>
      <c r="D400" s="33"/>
      <c r="E400" s="33"/>
      <c r="F400" s="199"/>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216"/>
      <c r="AN400" s="33"/>
      <c r="AO400" s="33"/>
      <c r="AP400" s="33"/>
    </row>
    <row r="401" spans="1:42" ht="15.75" customHeight="1">
      <c r="A401" s="33"/>
      <c r="B401" s="33"/>
      <c r="C401" s="33"/>
      <c r="D401" s="33"/>
      <c r="E401" s="33"/>
      <c r="F401" s="199"/>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216"/>
      <c r="AN401" s="33"/>
      <c r="AO401" s="33"/>
      <c r="AP401" s="33"/>
    </row>
    <row r="402" spans="1:42" ht="15.75" customHeight="1">
      <c r="A402" s="33"/>
      <c r="B402" s="33"/>
      <c r="C402" s="33"/>
      <c r="D402" s="33"/>
      <c r="E402" s="33"/>
      <c r="F402" s="199"/>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216"/>
      <c r="AN402" s="33"/>
      <c r="AO402" s="33"/>
      <c r="AP402" s="33"/>
    </row>
    <row r="403" spans="1:42" ht="15.75" customHeight="1">
      <c r="A403" s="33"/>
      <c r="B403" s="33"/>
      <c r="C403" s="33"/>
      <c r="D403" s="33"/>
      <c r="E403" s="33"/>
      <c r="F403" s="199"/>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216"/>
      <c r="AN403" s="33"/>
      <c r="AO403" s="33"/>
      <c r="AP403" s="33"/>
    </row>
    <row r="404" spans="1:42" ht="15.75" customHeight="1">
      <c r="A404" s="33"/>
      <c r="B404" s="33"/>
      <c r="C404" s="33"/>
      <c r="D404" s="33"/>
      <c r="E404" s="33"/>
      <c r="F404" s="199"/>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216"/>
      <c r="AN404" s="33"/>
      <c r="AO404" s="33"/>
      <c r="AP404" s="33"/>
    </row>
    <row r="405" spans="1:42" ht="15.75" customHeight="1">
      <c r="A405" s="33"/>
      <c r="B405" s="33"/>
      <c r="C405" s="33"/>
      <c r="D405" s="33"/>
      <c r="E405" s="33"/>
      <c r="F405" s="199"/>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216"/>
      <c r="AN405" s="33"/>
      <c r="AO405" s="33"/>
      <c r="AP405" s="33"/>
    </row>
    <row r="406" spans="1:42" ht="15.75" customHeight="1">
      <c r="A406" s="33"/>
      <c r="B406" s="33"/>
      <c r="C406" s="33"/>
      <c r="D406" s="33"/>
      <c r="E406" s="33"/>
      <c r="F406" s="199"/>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216"/>
      <c r="AN406" s="33"/>
      <c r="AO406" s="33"/>
      <c r="AP406" s="33"/>
    </row>
    <row r="407" spans="1:42" ht="15.75" customHeight="1">
      <c r="A407" s="33"/>
      <c r="B407" s="33"/>
      <c r="C407" s="33"/>
      <c r="D407" s="33"/>
      <c r="E407" s="33"/>
      <c r="F407" s="199"/>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216"/>
      <c r="AN407" s="33"/>
      <c r="AO407" s="33"/>
      <c r="AP407" s="33"/>
    </row>
    <row r="408" spans="1:42" ht="15.75" customHeight="1">
      <c r="A408" s="33"/>
      <c r="B408" s="33"/>
      <c r="C408" s="33"/>
      <c r="D408" s="33"/>
      <c r="E408" s="33"/>
      <c r="F408" s="199"/>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216"/>
      <c r="AN408" s="33"/>
      <c r="AO408" s="33"/>
      <c r="AP408" s="33"/>
    </row>
    <row r="409" spans="1:42" ht="15.75" customHeight="1">
      <c r="A409" s="33"/>
      <c r="B409" s="33"/>
      <c r="C409" s="33"/>
      <c r="D409" s="33"/>
      <c r="E409" s="33"/>
      <c r="F409" s="199"/>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216"/>
      <c r="AN409" s="33"/>
      <c r="AO409" s="33"/>
      <c r="AP409" s="33"/>
    </row>
    <row r="410" spans="1:42" ht="15.75" customHeight="1">
      <c r="A410" s="33"/>
      <c r="B410" s="33"/>
      <c r="C410" s="33"/>
      <c r="D410" s="33"/>
      <c r="E410" s="33"/>
      <c r="F410" s="199"/>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216"/>
      <c r="AN410" s="33"/>
      <c r="AO410" s="33"/>
      <c r="AP410" s="33"/>
    </row>
    <row r="411" spans="1:42" ht="15.75" customHeight="1">
      <c r="A411" s="33"/>
      <c r="B411" s="33"/>
      <c r="C411" s="33"/>
      <c r="D411" s="33"/>
      <c r="E411" s="33"/>
      <c r="F411" s="199"/>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216"/>
      <c r="AN411" s="33"/>
      <c r="AO411" s="33"/>
      <c r="AP411" s="33"/>
    </row>
    <row r="412" spans="1:42" ht="15.75" customHeight="1">
      <c r="A412" s="33"/>
      <c r="B412" s="33"/>
      <c r="C412" s="33"/>
      <c r="D412" s="33"/>
      <c r="E412" s="33"/>
      <c r="F412" s="199"/>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216"/>
      <c r="AN412" s="33"/>
      <c r="AO412" s="33"/>
      <c r="AP412" s="33"/>
    </row>
    <row r="413" spans="1:42" ht="15.75" customHeight="1">
      <c r="A413" s="33"/>
      <c r="B413" s="33"/>
      <c r="C413" s="33"/>
      <c r="D413" s="33"/>
      <c r="E413" s="33"/>
      <c r="F413" s="199"/>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216"/>
      <c r="AN413" s="33"/>
      <c r="AO413" s="33"/>
      <c r="AP413" s="33"/>
    </row>
    <row r="414" spans="1:42" ht="15.75" customHeight="1">
      <c r="A414" s="33"/>
      <c r="B414" s="33"/>
      <c r="C414" s="33"/>
      <c r="D414" s="33"/>
      <c r="E414" s="33"/>
      <c r="F414" s="199"/>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216"/>
      <c r="AN414" s="33"/>
      <c r="AO414" s="33"/>
      <c r="AP414" s="33"/>
    </row>
    <row r="415" spans="1:42" ht="15.75" customHeight="1">
      <c r="A415" s="33"/>
      <c r="B415" s="33"/>
      <c r="C415" s="33"/>
      <c r="D415" s="33"/>
      <c r="E415" s="33"/>
      <c r="F415" s="199"/>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216"/>
      <c r="AN415" s="33"/>
      <c r="AO415" s="33"/>
      <c r="AP415" s="33"/>
    </row>
    <row r="416" spans="1:42" ht="15.75" customHeight="1">
      <c r="A416" s="33"/>
      <c r="B416" s="33"/>
      <c r="C416" s="33"/>
      <c r="D416" s="33"/>
      <c r="E416" s="33"/>
      <c r="F416" s="199"/>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216"/>
      <c r="AN416" s="33"/>
      <c r="AO416" s="33"/>
      <c r="AP416" s="33"/>
    </row>
    <row r="417" spans="1:42" ht="15.75" customHeight="1">
      <c r="A417" s="33"/>
      <c r="B417" s="33"/>
      <c r="C417" s="33"/>
      <c r="D417" s="33"/>
      <c r="E417" s="33"/>
      <c r="F417" s="199"/>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216"/>
      <c r="AN417" s="33"/>
      <c r="AO417" s="33"/>
      <c r="AP417" s="33"/>
    </row>
    <row r="418" spans="1:42" ht="15.75" customHeight="1">
      <c r="A418" s="33"/>
      <c r="B418" s="33"/>
      <c r="C418" s="33"/>
      <c r="D418" s="33"/>
      <c r="E418" s="33"/>
      <c r="F418" s="199"/>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216"/>
      <c r="AN418" s="33"/>
      <c r="AO418" s="33"/>
      <c r="AP418" s="33"/>
    </row>
    <row r="419" spans="1:42" ht="15.75" customHeight="1">
      <c r="A419" s="33"/>
      <c r="B419" s="33"/>
      <c r="C419" s="33"/>
      <c r="D419" s="33"/>
      <c r="E419" s="33"/>
      <c r="F419" s="199"/>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216"/>
      <c r="AN419" s="33"/>
      <c r="AO419" s="33"/>
      <c r="AP419" s="33"/>
    </row>
    <row r="420" spans="1:42" ht="15.75" customHeight="1">
      <c r="A420" s="33"/>
      <c r="B420" s="33"/>
      <c r="C420" s="33"/>
      <c r="D420" s="33"/>
      <c r="E420" s="33"/>
      <c r="F420" s="199"/>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216"/>
      <c r="AN420" s="33"/>
      <c r="AO420" s="33"/>
      <c r="AP420" s="33"/>
    </row>
    <row r="421" spans="1:42" ht="15.75" customHeight="1">
      <c r="A421" s="33"/>
      <c r="B421" s="33"/>
      <c r="C421" s="33"/>
      <c r="D421" s="33"/>
      <c r="E421" s="33"/>
      <c r="F421" s="199"/>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216"/>
      <c r="AN421" s="33"/>
      <c r="AO421" s="33"/>
      <c r="AP421" s="33"/>
    </row>
    <row r="422" spans="1:42" ht="15.75" customHeight="1">
      <c r="A422" s="33"/>
      <c r="B422" s="33"/>
      <c r="C422" s="33"/>
      <c r="D422" s="33"/>
      <c r="E422" s="33"/>
      <c r="F422" s="199"/>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216"/>
      <c r="AN422" s="33"/>
      <c r="AO422" s="33"/>
      <c r="AP422" s="33"/>
    </row>
    <row r="423" spans="1:42" ht="15.75" customHeight="1">
      <c r="A423" s="33"/>
      <c r="B423" s="33"/>
      <c r="C423" s="33"/>
      <c r="D423" s="33"/>
      <c r="E423" s="33"/>
      <c r="F423" s="199"/>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216"/>
      <c r="AN423" s="33"/>
      <c r="AO423" s="33"/>
      <c r="AP423" s="33"/>
    </row>
    <row r="424" spans="1:42" ht="15.75" customHeight="1">
      <c r="A424" s="33"/>
      <c r="B424" s="33"/>
      <c r="C424" s="33"/>
      <c r="D424" s="33"/>
      <c r="E424" s="33"/>
      <c r="F424" s="199"/>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216"/>
      <c r="AN424" s="33"/>
      <c r="AO424" s="33"/>
      <c r="AP424" s="33"/>
    </row>
    <row r="425" spans="1:42" ht="15.75" customHeight="1">
      <c r="A425" s="33"/>
      <c r="B425" s="33"/>
      <c r="C425" s="33"/>
      <c r="D425" s="33"/>
      <c r="E425" s="33"/>
      <c r="F425" s="199"/>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216"/>
      <c r="AN425" s="33"/>
      <c r="AO425" s="33"/>
      <c r="AP425" s="33"/>
    </row>
    <row r="426" spans="1:42" ht="15.75" customHeight="1">
      <c r="A426" s="33"/>
      <c r="B426" s="33"/>
      <c r="C426" s="33"/>
      <c r="D426" s="33"/>
      <c r="E426" s="33"/>
      <c r="F426" s="199"/>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216"/>
      <c r="AN426" s="33"/>
      <c r="AO426" s="33"/>
      <c r="AP426" s="33"/>
    </row>
    <row r="427" spans="1:42" ht="15.75" customHeight="1">
      <c r="A427" s="33"/>
      <c r="B427" s="33"/>
      <c r="C427" s="33"/>
      <c r="D427" s="33"/>
      <c r="E427" s="33"/>
      <c r="F427" s="199"/>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216"/>
      <c r="AN427" s="33"/>
      <c r="AO427" s="33"/>
      <c r="AP427" s="33"/>
    </row>
    <row r="428" spans="1:42" ht="15.75" customHeight="1">
      <c r="A428" s="33"/>
      <c r="B428" s="33"/>
      <c r="C428" s="33"/>
      <c r="D428" s="33"/>
      <c r="E428" s="33"/>
      <c r="F428" s="199"/>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216"/>
      <c r="AN428" s="33"/>
      <c r="AO428" s="33"/>
      <c r="AP428" s="33"/>
    </row>
    <row r="429" spans="1:42" ht="15.75" customHeight="1">
      <c r="A429" s="33"/>
      <c r="B429" s="33"/>
      <c r="C429" s="33"/>
      <c r="D429" s="33"/>
      <c r="E429" s="33"/>
      <c r="F429" s="199"/>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216"/>
      <c r="AN429" s="33"/>
      <c r="AO429" s="33"/>
      <c r="AP429" s="33"/>
    </row>
    <row r="430" spans="1:42" ht="15.75" customHeight="1">
      <c r="A430" s="33"/>
      <c r="B430" s="33"/>
      <c r="C430" s="33"/>
      <c r="D430" s="33"/>
      <c r="E430" s="33"/>
      <c r="F430" s="199"/>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216"/>
      <c r="AN430" s="33"/>
      <c r="AO430" s="33"/>
      <c r="AP430" s="33"/>
    </row>
    <row r="431" spans="1:42" ht="15.75" customHeight="1">
      <c r="A431" s="33"/>
      <c r="B431" s="33"/>
      <c r="C431" s="33"/>
      <c r="D431" s="33"/>
      <c r="E431" s="33"/>
      <c r="F431" s="199"/>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216"/>
      <c r="AN431" s="33"/>
      <c r="AO431" s="33"/>
      <c r="AP431" s="33"/>
    </row>
    <row r="432" spans="1:42" ht="15.75" customHeight="1">
      <c r="A432" s="33"/>
      <c r="B432" s="33"/>
      <c r="C432" s="33"/>
      <c r="D432" s="33"/>
      <c r="E432" s="33"/>
      <c r="F432" s="199"/>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216"/>
      <c r="AN432" s="33"/>
      <c r="AO432" s="33"/>
      <c r="AP432" s="33"/>
    </row>
    <row r="433" spans="1:42" ht="15.75" customHeight="1">
      <c r="A433" s="33"/>
      <c r="B433" s="33"/>
      <c r="C433" s="33"/>
      <c r="D433" s="33"/>
      <c r="E433" s="33"/>
      <c r="F433" s="199"/>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216"/>
      <c r="AN433" s="33"/>
      <c r="AO433" s="33"/>
      <c r="AP433" s="33"/>
    </row>
    <row r="434" spans="1:42" ht="15.75" customHeight="1">
      <c r="A434" s="33"/>
      <c r="B434" s="33"/>
      <c r="C434" s="33"/>
      <c r="D434" s="33"/>
      <c r="E434" s="33"/>
      <c r="F434" s="199"/>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216"/>
      <c r="AN434" s="33"/>
      <c r="AO434" s="33"/>
      <c r="AP434" s="33"/>
    </row>
    <row r="435" spans="1:42" ht="15.75" customHeight="1">
      <c r="A435" s="33"/>
      <c r="B435" s="33"/>
      <c r="C435" s="33"/>
      <c r="D435" s="33"/>
      <c r="E435" s="33"/>
      <c r="F435" s="199"/>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216"/>
      <c r="AN435" s="33"/>
      <c r="AO435" s="33"/>
      <c r="AP435" s="33"/>
    </row>
    <row r="436" spans="1:42" ht="15.75" customHeight="1">
      <c r="A436" s="33"/>
      <c r="B436" s="33"/>
      <c r="C436" s="33"/>
      <c r="D436" s="33"/>
      <c r="E436" s="33"/>
      <c r="F436" s="199"/>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216"/>
      <c r="AN436" s="33"/>
      <c r="AO436" s="33"/>
      <c r="AP436" s="33"/>
    </row>
    <row r="437" spans="1:42" ht="15.75" customHeight="1">
      <c r="A437" s="33"/>
      <c r="B437" s="33"/>
      <c r="C437" s="33"/>
      <c r="D437" s="33"/>
      <c r="E437" s="33"/>
      <c r="F437" s="199"/>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216"/>
      <c r="AN437" s="33"/>
      <c r="AO437" s="33"/>
      <c r="AP437" s="33"/>
    </row>
    <row r="438" spans="1:42" ht="15.75" customHeight="1">
      <c r="A438" s="33"/>
      <c r="B438" s="33"/>
      <c r="C438" s="33"/>
      <c r="D438" s="33"/>
      <c r="E438" s="33"/>
      <c r="F438" s="199"/>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216"/>
      <c r="AN438" s="33"/>
      <c r="AO438" s="33"/>
      <c r="AP438" s="33"/>
    </row>
    <row r="439" spans="1:42" ht="15.75" customHeight="1">
      <c r="A439" s="33"/>
      <c r="B439" s="33"/>
      <c r="C439" s="33"/>
      <c r="D439" s="33"/>
      <c r="E439" s="33"/>
      <c r="F439" s="199"/>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216"/>
      <c r="AN439" s="33"/>
      <c r="AO439" s="33"/>
      <c r="AP439" s="33"/>
    </row>
    <row r="440" spans="1:42" ht="15.75" customHeight="1">
      <c r="A440" s="33"/>
      <c r="B440" s="33"/>
      <c r="C440" s="33"/>
      <c r="D440" s="33"/>
      <c r="E440" s="33"/>
      <c r="F440" s="199"/>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216"/>
      <c r="AN440" s="33"/>
      <c r="AO440" s="33"/>
      <c r="AP440" s="33"/>
    </row>
    <row r="441" spans="1:42" ht="15.75" customHeight="1">
      <c r="A441" s="33"/>
      <c r="B441" s="33"/>
      <c r="C441" s="33"/>
      <c r="D441" s="33"/>
      <c r="E441" s="33"/>
      <c r="F441" s="199"/>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216"/>
      <c r="AN441" s="33"/>
      <c r="AO441" s="33"/>
      <c r="AP441" s="33"/>
    </row>
    <row r="442" spans="1:42" ht="15.75" customHeight="1">
      <c r="A442" s="33"/>
      <c r="B442" s="33"/>
      <c r="C442" s="33"/>
      <c r="D442" s="33"/>
      <c r="E442" s="33"/>
      <c r="F442" s="199"/>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216"/>
      <c r="AN442" s="33"/>
      <c r="AO442" s="33"/>
      <c r="AP442" s="33"/>
    </row>
    <row r="443" spans="1:42" ht="15.75" customHeight="1">
      <c r="A443" s="33"/>
      <c r="B443" s="33"/>
      <c r="C443" s="33"/>
      <c r="D443" s="33"/>
      <c r="E443" s="33"/>
      <c r="F443" s="199"/>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216"/>
      <c r="AN443" s="33"/>
      <c r="AO443" s="33"/>
      <c r="AP443" s="33"/>
    </row>
    <row r="444" spans="1:42" ht="15.75" customHeight="1">
      <c r="A444" s="33"/>
      <c r="B444" s="33"/>
      <c r="C444" s="33"/>
      <c r="D444" s="33"/>
      <c r="E444" s="33"/>
      <c r="F444" s="199"/>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216"/>
      <c r="AN444" s="33"/>
      <c r="AO444" s="33"/>
      <c r="AP444" s="33"/>
    </row>
    <row r="445" spans="1:42" ht="15.75" customHeight="1">
      <c r="A445" s="33"/>
      <c r="B445" s="33"/>
      <c r="C445" s="33"/>
      <c r="D445" s="33"/>
      <c r="E445" s="33"/>
      <c r="F445" s="199"/>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216"/>
      <c r="AN445" s="33"/>
      <c r="AO445" s="33"/>
      <c r="AP445" s="33"/>
    </row>
    <row r="446" spans="1:42" ht="15.75" customHeight="1">
      <c r="A446" s="33"/>
      <c r="B446" s="33"/>
      <c r="C446" s="33"/>
      <c r="D446" s="33"/>
      <c r="E446" s="33"/>
      <c r="F446" s="199"/>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216"/>
      <c r="AN446" s="33"/>
      <c r="AO446" s="33"/>
      <c r="AP446" s="33"/>
    </row>
    <row r="447" spans="1:42" ht="15.75" customHeight="1">
      <c r="A447" s="33"/>
      <c r="B447" s="33"/>
      <c r="C447" s="33"/>
      <c r="D447" s="33"/>
      <c r="E447" s="33"/>
      <c r="F447" s="199"/>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216"/>
      <c r="AN447" s="33"/>
      <c r="AO447" s="33"/>
      <c r="AP447" s="33"/>
    </row>
    <row r="448" spans="1:42" ht="15.75" customHeight="1">
      <c r="A448" s="33"/>
      <c r="B448" s="33"/>
      <c r="C448" s="33"/>
      <c r="D448" s="33"/>
      <c r="E448" s="33"/>
      <c r="F448" s="199"/>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216"/>
      <c r="AN448" s="33"/>
      <c r="AO448" s="33"/>
      <c r="AP448" s="33"/>
    </row>
    <row r="449" spans="1:42" ht="15.75" customHeight="1">
      <c r="A449" s="33"/>
      <c r="B449" s="33"/>
      <c r="C449" s="33"/>
      <c r="D449" s="33"/>
      <c r="E449" s="33"/>
      <c r="F449" s="199"/>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216"/>
      <c r="AN449" s="33"/>
      <c r="AO449" s="33"/>
      <c r="AP449" s="33"/>
    </row>
    <row r="450" spans="1:42" ht="15.75" customHeight="1">
      <c r="A450" s="33"/>
      <c r="B450" s="33"/>
      <c r="C450" s="33"/>
      <c r="D450" s="33"/>
      <c r="E450" s="33"/>
      <c r="F450" s="199"/>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216"/>
      <c r="AN450" s="33"/>
      <c r="AO450" s="33"/>
      <c r="AP450" s="33"/>
    </row>
    <row r="451" spans="1:42" ht="15.75" customHeight="1">
      <c r="A451" s="33"/>
      <c r="B451" s="33"/>
      <c r="C451" s="33"/>
      <c r="D451" s="33"/>
      <c r="E451" s="33"/>
      <c r="F451" s="199"/>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216"/>
      <c r="AN451" s="33"/>
      <c r="AO451" s="33"/>
      <c r="AP451" s="33"/>
    </row>
    <row r="452" spans="1:42" ht="15.75" customHeight="1">
      <c r="A452" s="33"/>
      <c r="B452" s="33"/>
      <c r="C452" s="33"/>
      <c r="D452" s="33"/>
      <c r="E452" s="33"/>
      <c r="F452" s="199"/>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216"/>
      <c r="AN452" s="33"/>
      <c r="AO452" s="33"/>
      <c r="AP452" s="33"/>
    </row>
    <row r="453" spans="1:42" ht="15.75" customHeight="1">
      <c r="A453" s="33"/>
      <c r="B453" s="33"/>
      <c r="C453" s="33"/>
      <c r="D453" s="33"/>
      <c r="E453" s="33"/>
      <c r="F453" s="199"/>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216"/>
      <c r="AN453" s="33"/>
      <c r="AO453" s="33"/>
      <c r="AP453" s="33"/>
    </row>
    <row r="454" spans="1:42" ht="15.75" customHeight="1">
      <c r="A454" s="33"/>
      <c r="B454" s="33"/>
      <c r="C454" s="33"/>
      <c r="D454" s="33"/>
      <c r="E454" s="33"/>
      <c r="F454" s="199"/>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216"/>
      <c r="AN454" s="33"/>
      <c r="AO454" s="33"/>
      <c r="AP454" s="33"/>
    </row>
    <row r="455" spans="1:42" ht="15.75" customHeight="1">
      <c r="A455" s="33"/>
      <c r="B455" s="33"/>
      <c r="C455" s="33"/>
      <c r="D455" s="33"/>
      <c r="E455" s="33"/>
      <c r="F455" s="199"/>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216"/>
      <c r="AN455" s="33"/>
      <c r="AO455" s="33"/>
      <c r="AP455" s="33"/>
    </row>
    <row r="456" spans="1:42" ht="15.75" customHeight="1">
      <c r="A456" s="33"/>
      <c r="B456" s="33"/>
      <c r="C456" s="33"/>
      <c r="D456" s="33"/>
      <c r="E456" s="33"/>
      <c r="F456" s="199"/>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216"/>
      <c r="AN456" s="33"/>
      <c r="AO456" s="33"/>
      <c r="AP456" s="33"/>
    </row>
    <row r="457" spans="1:42" ht="15.75" customHeight="1">
      <c r="A457" s="33"/>
      <c r="B457" s="33"/>
      <c r="C457" s="33"/>
      <c r="D457" s="33"/>
      <c r="E457" s="33"/>
      <c r="F457" s="199"/>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216"/>
      <c r="AN457" s="33"/>
      <c r="AO457" s="33"/>
      <c r="AP457" s="33"/>
    </row>
    <row r="458" spans="1:42" ht="15.75" customHeight="1">
      <c r="A458" s="33"/>
      <c r="B458" s="33"/>
      <c r="C458" s="33"/>
      <c r="D458" s="33"/>
      <c r="E458" s="33"/>
      <c r="F458" s="199"/>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216"/>
      <c r="AN458" s="33"/>
      <c r="AO458" s="33"/>
      <c r="AP458" s="33"/>
    </row>
    <row r="459" spans="1:42" ht="15.75" customHeight="1">
      <c r="A459" s="33"/>
      <c r="B459" s="33"/>
      <c r="C459" s="33"/>
      <c r="D459" s="33"/>
      <c r="E459" s="33"/>
      <c r="F459" s="199"/>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216"/>
      <c r="AN459" s="33"/>
      <c r="AO459" s="33"/>
      <c r="AP459" s="33"/>
    </row>
    <row r="460" spans="1:42" ht="15.75" customHeight="1">
      <c r="A460" s="33"/>
      <c r="B460" s="33"/>
      <c r="C460" s="33"/>
      <c r="D460" s="33"/>
      <c r="E460" s="33"/>
      <c r="F460" s="199"/>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216"/>
      <c r="AN460" s="33"/>
      <c r="AO460" s="33"/>
      <c r="AP460" s="33"/>
    </row>
    <row r="461" spans="1:42" ht="15.75" customHeight="1">
      <c r="A461" s="33"/>
      <c r="B461" s="33"/>
      <c r="C461" s="33"/>
      <c r="D461" s="33"/>
      <c r="E461" s="33"/>
      <c r="F461" s="199"/>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216"/>
      <c r="AN461" s="33"/>
      <c r="AO461" s="33"/>
      <c r="AP461" s="33"/>
    </row>
    <row r="462" spans="1:42" ht="15.75" customHeight="1">
      <c r="A462" s="33"/>
      <c r="B462" s="33"/>
      <c r="C462" s="33"/>
      <c r="D462" s="33"/>
      <c r="E462" s="33"/>
      <c r="F462" s="199"/>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216"/>
      <c r="AN462" s="33"/>
      <c r="AO462" s="33"/>
      <c r="AP462" s="33"/>
    </row>
    <row r="463" spans="1:42" ht="15.75" customHeight="1">
      <c r="A463" s="33"/>
      <c r="B463" s="33"/>
      <c r="C463" s="33"/>
      <c r="D463" s="33"/>
      <c r="E463" s="33"/>
      <c r="F463" s="199"/>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216"/>
      <c r="AN463" s="33"/>
      <c r="AO463" s="33"/>
      <c r="AP463" s="33"/>
    </row>
    <row r="464" spans="1:42" ht="15.75" customHeight="1">
      <c r="A464" s="33"/>
      <c r="B464" s="33"/>
      <c r="C464" s="33"/>
      <c r="D464" s="33"/>
      <c r="E464" s="33"/>
      <c r="F464" s="199"/>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216"/>
      <c r="AN464" s="33"/>
      <c r="AO464" s="33"/>
      <c r="AP464" s="33"/>
    </row>
    <row r="465" spans="1:42" ht="15.75" customHeight="1">
      <c r="A465" s="33"/>
      <c r="B465" s="33"/>
      <c r="C465" s="33"/>
      <c r="D465" s="33"/>
      <c r="E465" s="33"/>
      <c r="F465" s="199"/>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216"/>
      <c r="AN465" s="33"/>
      <c r="AO465" s="33"/>
      <c r="AP465" s="33"/>
    </row>
    <row r="466" spans="1:42" ht="15.75" customHeight="1">
      <c r="A466" s="33"/>
      <c r="B466" s="33"/>
      <c r="C466" s="33"/>
      <c r="D466" s="33"/>
      <c r="E466" s="33"/>
      <c r="F466" s="199"/>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216"/>
      <c r="AN466" s="33"/>
      <c r="AO466" s="33"/>
      <c r="AP466" s="33"/>
    </row>
    <row r="467" spans="1:42" ht="15.75" customHeight="1">
      <c r="A467" s="33"/>
      <c r="B467" s="33"/>
      <c r="C467" s="33"/>
      <c r="D467" s="33"/>
      <c r="E467" s="33"/>
      <c r="F467" s="199"/>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216"/>
      <c r="AN467" s="33"/>
      <c r="AO467" s="33"/>
      <c r="AP467" s="33"/>
    </row>
    <row r="468" spans="1:42" ht="15.75" customHeight="1">
      <c r="A468" s="33"/>
      <c r="B468" s="33"/>
      <c r="C468" s="33"/>
      <c r="D468" s="33"/>
      <c r="E468" s="33"/>
      <c r="F468" s="199"/>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216"/>
      <c r="AN468" s="33"/>
      <c r="AO468" s="33"/>
      <c r="AP468" s="33"/>
    </row>
    <row r="469" spans="1:42" ht="15.75" customHeight="1">
      <c r="A469" s="33"/>
      <c r="B469" s="33"/>
      <c r="C469" s="33"/>
      <c r="D469" s="33"/>
      <c r="E469" s="33"/>
      <c r="F469" s="199"/>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216"/>
      <c r="AN469" s="33"/>
      <c r="AO469" s="33"/>
      <c r="AP469" s="33"/>
    </row>
    <row r="470" spans="1:42" ht="15.75" customHeight="1">
      <c r="A470" s="33"/>
      <c r="B470" s="33"/>
      <c r="C470" s="33"/>
      <c r="D470" s="33"/>
      <c r="E470" s="33"/>
      <c r="F470" s="199"/>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216"/>
      <c r="AN470" s="33"/>
      <c r="AO470" s="33"/>
      <c r="AP470" s="33"/>
    </row>
    <row r="471" spans="1:42" ht="15.75" customHeight="1">
      <c r="A471" s="33"/>
      <c r="B471" s="33"/>
      <c r="C471" s="33"/>
      <c r="D471" s="33"/>
      <c r="E471" s="33"/>
      <c r="F471" s="199"/>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216"/>
      <c r="AN471" s="33"/>
      <c r="AO471" s="33"/>
      <c r="AP471" s="33"/>
    </row>
    <row r="472" spans="1:42" ht="15.75" customHeight="1">
      <c r="A472" s="33"/>
      <c r="B472" s="33"/>
      <c r="C472" s="33"/>
      <c r="D472" s="33"/>
      <c r="E472" s="33"/>
      <c r="F472" s="199"/>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216"/>
      <c r="AN472" s="33"/>
      <c r="AO472" s="33"/>
      <c r="AP472" s="33"/>
    </row>
    <row r="473" spans="1:42" ht="15.75" customHeight="1">
      <c r="A473" s="33"/>
      <c r="B473" s="33"/>
      <c r="C473" s="33"/>
      <c r="D473" s="33"/>
      <c r="E473" s="33"/>
      <c r="F473" s="199"/>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216"/>
      <c r="AN473" s="33"/>
      <c r="AO473" s="33"/>
      <c r="AP473" s="33"/>
    </row>
    <row r="474" spans="1:42" ht="15.75" customHeight="1">
      <c r="A474" s="33"/>
      <c r="B474" s="33"/>
      <c r="C474" s="33"/>
      <c r="D474" s="33"/>
      <c r="E474" s="33"/>
      <c r="F474" s="199"/>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216"/>
      <c r="AN474" s="33"/>
      <c r="AO474" s="33"/>
      <c r="AP474" s="33"/>
    </row>
    <row r="475" spans="1:42" ht="15.75" customHeight="1">
      <c r="A475" s="33"/>
      <c r="B475" s="33"/>
      <c r="C475" s="33"/>
      <c r="D475" s="33"/>
      <c r="E475" s="33"/>
      <c r="F475" s="199"/>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216"/>
      <c r="AN475" s="33"/>
      <c r="AO475" s="33"/>
      <c r="AP475" s="33"/>
    </row>
    <row r="476" spans="1:42" ht="15.75" customHeight="1">
      <c r="A476" s="33"/>
      <c r="B476" s="33"/>
      <c r="C476" s="33"/>
      <c r="D476" s="33"/>
      <c r="E476" s="33"/>
      <c r="F476" s="199"/>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216"/>
      <c r="AN476" s="33"/>
      <c r="AO476" s="33"/>
      <c r="AP476" s="33"/>
    </row>
    <row r="477" spans="1:42" ht="15.75" customHeight="1">
      <c r="A477" s="33"/>
      <c r="B477" s="33"/>
      <c r="C477" s="33"/>
      <c r="D477" s="33"/>
      <c r="E477" s="33"/>
      <c r="F477" s="199"/>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216"/>
      <c r="AN477" s="33"/>
      <c r="AO477" s="33"/>
      <c r="AP477" s="33"/>
    </row>
    <row r="478" spans="1:42" ht="15.75" customHeight="1">
      <c r="A478" s="33"/>
      <c r="B478" s="33"/>
      <c r="C478" s="33"/>
      <c r="D478" s="33"/>
      <c r="E478" s="33"/>
      <c r="F478" s="199"/>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216"/>
      <c r="AN478" s="33"/>
      <c r="AO478" s="33"/>
      <c r="AP478" s="33"/>
    </row>
    <row r="479" spans="1:42" ht="15.75" customHeight="1">
      <c r="A479" s="33"/>
      <c r="B479" s="33"/>
      <c r="C479" s="33"/>
      <c r="D479" s="33"/>
      <c r="E479" s="33"/>
      <c r="F479" s="199"/>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216"/>
      <c r="AN479" s="33"/>
      <c r="AO479" s="33"/>
      <c r="AP479" s="33"/>
    </row>
    <row r="480" spans="1:42" ht="15.75" customHeight="1">
      <c r="A480" s="33"/>
      <c r="B480" s="33"/>
      <c r="C480" s="33"/>
      <c r="D480" s="33"/>
      <c r="E480" s="33"/>
      <c r="F480" s="199"/>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216"/>
      <c r="AN480" s="33"/>
      <c r="AO480" s="33"/>
      <c r="AP480" s="33"/>
    </row>
    <row r="481" spans="1:42" ht="15.75" customHeight="1">
      <c r="A481" s="33"/>
      <c r="B481" s="33"/>
      <c r="C481" s="33"/>
      <c r="D481" s="33"/>
      <c r="E481" s="33"/>
      <c r="F481" s="199"/>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216"/>
      <c r="AN481" s="33"/>
      <c r="AO481" s="33"/>
      <c r="AP481" s="33"/>
    </row>
    <row r="482" spans="1:42" ht="15.75" customHeight="1">
      <c r="A482" s="33"/>
      <c r="B482" s="33"/>
      <c r="C482" s="33"/>
      <c r="D482" s="33"/>
      <c r="E482" s="33"/>
      <c r="F482" s="199"/>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216"/>
      <c r="AN482" s="33"/>
      <c r="AO482" s="33"/>
      <c r="AP482" s="33"/>
    </row>
    <row r="483" spans="1:42" ht="15.75" customHeight="1">
      <c r="A483" s="33"/>
      <c r="B483" s="33"/>
      <c r="C483" s="33"/>
      <c r="D483" s="33"/>
      <c r="E483" s="33"/>
      <c r="F483" s="199"/>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216"/>
      <c r="AN483" s="33"/>
      <c r="AO483" s="33"/>
      <c r="AP483" s="33"/>
    </row>
    <row r="484" spans="1:42" ht="15.75" customHeight="1">
      <c r="A484" s="33"/>
      <c r="B484" s="33"/>
      <c r="C484" s="33"/>
      <c r="D484" s="33"/>
      <c r="E484" s="33"/>
      <c r="F484" s="199"/>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216"/>
      <c r="AN484" s="33"/>
      <c r="AO484" s="33"/>
      <c r="AP484" s="33"/>
    </row>
    <row r="485" spans="1:42" ht="15.75" customHeight="1">
      <c r="A485" s="33"/>
      <c r="B485" s="33"/>
      <c r="C485" s="33"/>
      <c r="D485" s="33"/>
      <c r="E485" s="33"/>
      <c r="F485" s="199"/>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216"/>
      <c r="AN485" s="33"/>
      <c r="AO485" s="33"/>
      <c r="AP485" s="33"/>
    </row>
    <row r="486" spans="1:42" ht="15.75" customHeight="1">
      <c r="A486" s="33"/>
      <c r="B486" s="33"/>
      <c r="C486" s="33"/>
      <c r="D486" s="33"/>
      <c r="E486" s="33"/>
      <c r="F486" s="199"/>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216"/>
      <c r="AN486" s="33"/>
      <c r="AO486" s="33"/>
      <c r="AP486" s="33"/>
    </row>
    <row r="487" spans="1:42" ht="15.75" customHeight="1">
      <c r="A487" s="33"/>
      <c r="B487" s="33"/>
      <c r="C487" s="33"/>
      <c r="D487" s="33"/>
      <c r="E487" s="33"/>
      <c r="F487" s="199"/>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216"/>
      <c r="AN487" s="33"/>
      <c r="AO487" s="33"/>
      <c r="AP487" s="33"/>
    </row>
    <row r="488" spans="1:42" ht="15.75" customHeight="1">
      <c r="A488" s="33"/>
      <c r="B488" s="33"/>
      <c r="C488" s="33"/>
      <c r="D488" s="33"/>
      <c r="E488" s="33"/>
      <c r="F488" s="199"/>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216"/>
      <c r="AN488" s="33"/>
      <c r="AO488" s="33"/>
      <c r="AP488" s="33"/>
    </row>
    <row r="489" spans="1:42" ht="15.75" customHeight="1">
      <c r="A489" s="33"/>
      <c r="B489" s="33"/>
      <c r="C489" s="33"/>
      <c r="D489" s="33"/>
      <c r="E489" s="33"/>
      <c r="F489" s="199"/>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216"/>
      <c r="AN489" s="33"/>
      <c r="AO489" s="33"/>
      <c r="AP489" s="33"/>
    </row>
    <row r="490" spans="1:42" ht="15.75" customHeight="1">
      <c r="A490" s="33"/>
      <c r="B490" s="33"/>
      <c r="C490" s="33"/>
      <c r="D490" s="33"/>
      <c r="E490" s="33"/>
      <c r="F490" s="199"/>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216"/>
      <c r="AN490" s="33"/>
      <c r="AO490" s="33"/>
      <c r="AP490" s="33"/>
    </row>
    <row r="491" spans="1:42" ht="15.75" customHeight="1">
      <c r="A491" s="33"/>
      <c r="B491" s="33"/>
      <c r="C491" s="33"/>
      <c r="D491" s="33"/>
      <c r="E491" s="33"/>
      <c r="F491" s="199"/>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216"/>
      <c r="AN491" s="33"/>
      <c r="AO491" s="33"/>
      <c r="AP491" s="33"/>
    </row>
    <row r="492" spans="1:42" ht="15.75" customHeight="1">
      <c r="A492" s="33"/>
      <c r="B492" s="33"/>
      <c r="C492" s="33"/>
      <c r="D492" s="33"/>
      <c r="E492" s="33"/>
      <c r="F492" s="199"/>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216"/>
      <c r="AN492" s="33"/>
      <c r="AO492" s="33"/>
      <c r="AP492" s="33"/>
    </row>
    <row r="493" spans="1:42" ht="15.75" customHeight="1">
      <c r="A493" s="33"/>
      <c r="B493" s="33"/>
      <c r="C493" s="33"/>
      <c r="D493" s="33"/>
      <c r="E493" s="33"/>
      <c r="F493" s="199"/>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216"/>
      <c r="AN493" s="33"/>
      <c r="AO493" s="33"/>
      <c r="AP493" s="33"/>
    </row>
    <row r="494" spans="1:42" ht="15.75" customHeight="1">
      <c r="A494" s="33"/>
      <c r="B494" s="33"/>
      <c r="C494" s="33"/>
      <c r="D494" s="33"/>
      <c r="E494" s="33"/>
      <c r="F494" s="199"/>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216"/>
      <c r="AN494" s="33"/>
      <c r="AO494" s="33"/>
      <c r="AP494" s="33"/>
    </row>
    <row r="495" spans="1:42" ht="15.75" customHeight="1">
      <c r="A495" s="33"/>
      <c r="B495" s="33"/>
      <c r="C495" s="33"/>
      <c r="D495" s="33"/>
      <c r="E495" s="33"/>
      <c r="F495" s="199"/>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216"/>
      <c r="AN495" s="33"/>
      <c r="AO495" s="33"/>
      <c r="AP495" s="33"/>
    </row>
    <row r="496" spans="1:42" ht="15.75" customHeight="1">
      <c r="A496" s="33"/>
      <c r="B496" s="33"/>
      <c r="C496" s="33"/>
      <c r="D496" s="33"/>
      <c r="E496" s="33"/>
      <c r="F496" s="199"/>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216"/>
      <c r="AN496" s="33"/>
      <c r="AO496" s="33"/>
      <c r="AP496" s="33"/>
    </row>
    <row r="497" spans="1:42" ht="15.75" customHeight="1">
      <c r="A497" s="33"/>
      <c r="B497" s="33"/>
      <c r="C497" s="33"/>
      <c r="D497" s="33"/>
      <c r="E497" s="33"/>
      <c r="F497" s="199"/>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216"/>
      <c r="AN497" s="33"/>
      <c r="AO497" s="33"/>
      <c r="AP497" s="33"/>
    </row>
    <row r="498" spans="1:42" ht="15.75" customHeight="1">
      <c r="A498" s="33"/>
      <c r="B498" s="33"/>
      <c r="C498" s="33"/>
      <c r="D498" s="33"/>
      <c r="E498" s="33"/>
      <c r="F498" s="199"/>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216"/>
      <c r="AN498" s="33"/>
      <c r="AO498" s="33"/>
      <c r="AP498" s="33"/>
    </row>
    <row r="499" spans="1:42" ht="15.75" customHeight="1">
      <c r="A499" s="33"/>
      <c r="B499" s="33"/>
      <c r="C499" s="33"/>
      <c r="D499" s="33"/>
      <c r="E499" s="33"/>
      <c r="F499" s="199"/>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216"/>
      <c r="AN499" s="33"/>
      <c r="AO499" s="33"/>
      <c r="AP499" s="33"/>
    </row>
    <row r="500" spans="1:42" ht="15.75" customHeight="1">
      <c r="A500" s="33"/>
      <c r="B500" s="33"/>
      <c r="C500" s="33"/>
      <c r="D500" s="33"/>
      <c r="E500" s="33"/>
      <c r="F500" s="199"/>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216"/>
      <c r="AN500" s="33"/>
      <c r="AO500" s="33"/>
      <c r="AP500" s="33"/>
    </row>
    <row r="501" spans="1:42" ht="15.75" customHeight="1">
      <c r="A501" s="33"/>
      <c r="B501" s="33"/>
      <c r="C501" s="33"/>
      <c r="D501" s="33"/>
      <c r="E501" s="33"/>
      <c r="F501" s="199"/>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216"/>
      <c r="AN501" s="33"/>
      <c r="AO501" s="33"/>
      <c r="AP501" s="33"/>
    </row>
    <row r="502" spans="1:42" ht="15.75" customHeight="1">
      <c r="A502" s="33"/>
      <c r="B502" s="33"/>
      <c r="C502" s="33"/>
      <c r="D502" s="33"/>
      <c r="E502" s="33"/>
      <c r="F502" s="199"/>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216"/>
      <c r="AN502" s="33"/>
      <c r="AO502" s="33"/>
      <c r="AP502" s="33"/>
    </row>
    <row r="503" spans="1:42" ht="15.75" customHeight="1">
      <c r="A503" s="33"/>
      <c r="B503" s="33"/>
      <c r="C503" s="33"/>
      <c r="D503" s="33"/>
      <c r="E503" s="33"/>
      <c r="F503" s="199"/>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216"/>
      <c r="AN503" s="33"/>
      <c r="AO503" s="33"/>
      <c r="AP503" s="33"/>
    </row>
    <row r="504" spans="1:42" ht="15.75" customHeight="1">
      <c r="A504" s="33"/>
      <c r="B504" s="33"/>
      <c r="C504" s="33"/>
      <c r="D504" s="33"/>
      <c r="E504" s="33"/>
      <c r="F504" s="199"/>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216"/>
      <c r="AN504" s="33"/>
      <c r="AO504" s="33"/>
      <c r="AP504" s="33"/>
    </row>
    <row r="505" spans="1:42" ht="15.75" customHeight="1">
      <c r="A505" s="33"/>
      <c r="B505" s="33"/>
      <c r="C505" s="33"/>
      <c r="D505" s="33"/>
      <c r="E505" s="33"/>
      <c r="F505" s="199"/>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216"/>
      <c r="AN505" s="33"/>
      <c r="AO505" s="33"/>
      <c r="AP505" s="33"/>
    </row>
    <row r="506" spans="1:42" ht="15.75" customHeight="1">
      <c r="A506" s="33"/>
      <c r="B506" s="33"/>
      <c r="C506" s="33"/>
      <c r="D506" s="33"/>
      <c r="E506" s="33"/>
      <c r="F506" s="199"/>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216"/>
      <c r="AN506" s="33"/>
      <c r="AO506" s="33"/>
      <c r="AP506" s="33"/>
    </row>
    <row r="507" spans="1:42" ht="15.75" customHeight="1">
      <c r="A507" s="33"/>
      <c r="B507" s="33"/>
      <c r="C507" s="33"/>
      <c r="D507" s="33"/>
      <c r="E507" s="33"/>
      <c r="F507" s="199"/>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216"/>
      <c r="AN507" s="33"/>
      <c r="AO507" s="33"/>
      <c r="AP507" s="33"/>
    </row>
    <row r="508" spans="1:42" ht="15.75" customHeight="1">
      <c r="A508" s="33"/>
      <c r="B508" s="33"/>
      <c r="C508" s="33"/>
      <c r="D508" s="33"/>
      <c r="E508" s="33"/>
      <c r="F508" s="199"/>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216"/>
      <c r="AN508" s="33"/>
      <c r="AO508" s="33"/>
      <c r="AP508" s="33"/>
    </row>
    <row r="509" spans="1:42" ht="15.75" customHeight="1">
      <c r="A509" s="33"/>
      <c r="B509" s="33"/>
      <c r="C509" s="33"/>
      <c r="D509" s="33"/>
      <c r="E509" s="33"/>
      <c r="F509" s="199"/>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216"/>
      <c r="AN509" s="33"/>
      <c r="AO509" s="33"/>
      <c r="AP509" s="33"/>
    </row>
    <row r="510" spans="1:42" ht="15.75" customHeight="1">
      <c r="A510" s="33"/>
      <c r="B510" s="33"/>
      <c r="C510" s="33"/>
      <c r="D510" s="33"/>
      <c r="E510" s="33"/>
      <c r="F510" s="199"/>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216"/>
      <c r="AN510" s="33"/>
      <c r="AO510" s="33"/>
      <c r="AP510" s="33"/>
    </row>
    <row r="511" spans="1:42" ht="15.75" customHeight="1">
      <c r="A511" s="33"/>
      <c r="B511" s="33"/>
      <c r="C511" s="33"/>
      <c r="D511" s="33"/>
      <c r="E511" s="33"/>
      <c r="F511" s="199"/>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216"/>
      <c r="AN511" s="33"/>
      <c r="AO511" s="33"/>
      <c r="AP511" s="33"/>
    </row>
    <row r="512" spans="1:42" ht="15.75" customHeight="1">
      <c r="A512" s="33"/>
      <c r="B512" s="33"/>
      <c r="C512" s="33"/>
      <c r="D512" s="33"/>
      <c r="E512" s="33"/>
      <c r="F512" s="199"/>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216"/>
      <c r="AN512" s="33"/>
      <c r="AO512" s="33"/>
      <c r="AP512" s="33"/>
    </row>
    <row r="513" spans="1:42" ht="15.75" customHeight="1">
      <c r="A513" s="33"/>
      <c r="B513" s="33"/>
      <c r="C513" s="33"/>
      <c r="D513" s="33"/>
      <c r="E513" s="33"/>
      <c r="F513" s="199"/>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216"/>
      <c r="AN513" s="33"/>
      <c r="AO513" s="33"/>
      <c r="AP513" s="33"/>
    </row>
    <row r="514" spans="1:42" ht="15.75" customHeight="1">
      <c r="A514" s="33"/>
      <c r="B514" s="33"/>
      <c r="C514" s="33"/>
      <c r="D514" s="33"/>
      <c r="E514" s="33"/>
      <c r="F514" s="199"/>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216"/>
      <c r="AN514" s="33"/>
      <c r="AO514" s="33"/>
      <c r="AP514" s="33"/>
    </row>
    <row r="515" spans="1:42" ht="15.75" customHeight="1">
      <c r="A515" s="33"/>
      <c r="B515" s="33"/>
      <c r="C515" s="33"/>
      <c r="D515" s="33"/>
      <c r="E515" s="33"/>
      <c r="F515" s="199"/>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216"/>
      <c r="AN515" s="33"/>
      <c r="AO515" s="33"/>
      <c r="AP515" s="33"/>
    </row>
    <row r="516" spans="1:42" ht="15.75" customHeight="1">
      <c r="A516" s="33"/>
      <c r="B516" s="33"/>
      <c r="C516" s="33"/>
      <c r="D516" s="33"/>
      <c r="E516" s="33"/>
      <c r="F516" s="199"/>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216"/>
      <c r="AN516" s="33"/>
      <c r="AO516" s="33"/>
      <c r="AP516" s="33"/>
    </row>
    <row r="517" spans="1:42" ht="15.75" customHeight="1">
      <c r="A517" s="33"/>
      <c r="B517" s="33"/>
      <c r="C517" s="33"/>
      <c r="D517" s="33"/>
      <c r="E517" s="33"/>
      <c r="F517" s="199"/>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216"/>
      <c r="AN517" s="33"/>
      <c r="AO517" s="33"/>
      <c r="AP517" s="33"/>
    </row>
    <row r="518" spans="1:42" ht="15.75" customHeight="1">
      <c r="A518" s="33"/>
      <c r="B518" s="33"/>
      <c r="C518" s="33"/>
      <c r="D518" s="33"/>
      <c r="E518" s="33"/>
      <c r="F518" s="199"/>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216"/>
      <c r="AN518" s="33"/>
      <c r="AO518" s="33"/>
      <c r="AP518" s="33"/>
    </row>
    <row r="519" spans="1:42" ht="15.75" customHeight="1">
      <c r="A519" s="33"/>
      <c r="B519" s="33"/>
      <c r="C519" s="33"/>
      <c r="D519" s="33"/>
      <c r="E519" s="33"/>
      <c r="F519" s="199"/>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216"/>
      <c r="AN519" s="33"/>
      <c r="AO519" s="33"/>
      <c r="AP519" s="33"/>
    </row>
    <row r="520" spans="1:42" ht="15.75" customHeight="1">
      <c r="A520" s="33"/>
      <c r="B520" s="33"/>
      <c r="C520" s="33"/>
      <c r="D520" s="33"/>
      <c r="E520" s="33"/>
      <c r="F520" s="199"/>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216"/>
      <c r="AN520" s="33"/>
      <c r="AO520" s="33"/>
      <c r="AP520" s="33"/>
    </row>
    <row r="521" spans="1:42" ht="15.75" customHeight="1">
      <c r="A521" s="33"/>
      <c r="B521" s="33"/>
      <c r="C521" s="33"/>
      <c r="D521" s="33"/>
      <c r="E521" s="33"/>
      <c r="F521" s="199"/>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216"/>
      <c r="AN521" s="33"/>
      <c r="AO521" s="33"/>
      <c r="AP521" s="33"/>
    </row>
    <row r="522" spans="1:42" ht="15.75" customHeight="1">
      <c r="A522" s="33"/>
      <c r="B522" s="33"/>
      <c r="C522" s="33"/>
      <c r="D522" s="33"/>
      <c r="E522" s="33"/>
      <c r="F522" s="199"/>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216"/>
      <c r="AN522" s="33"/>
      <c r="AO522" s="33"/>
      <c r="AP522" s="33"/>
    </row>
    <row r="523" spans="1:42" ht="15.75" customHeight="1">
      <c r="A523" s="33"/>
      <c r="B523" s="33"/>
      <c r="C523" s="33"/>
      <c r="D523" s="33"/>
      <c r="E523" s="33"/>
      <c r="F523" s="199"/>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216"/>
      <c r="AN523" s="33"/>
      <c r="AO523" s="33"/>
      <c r="AP523" s="33"/>
    </row>
    <row r="524" spans="1:42" ht="15.75" customHeight="1">
      <c r="A524" s="33"/>
      <c r="B524" s="33"/>
      <c r="C524" s="33"/>
      <c r="D524" s="33"/>
      <c r="E524" s="33"/>
      <c r="F524" s="199"/>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216"/>
      <c r="AN524" s="33"/>
      <c r="AO524" s="33"/>
      <c r="AP524" s="33"/>
    </row>
    <row r="525" spans="1:42" ht="15.75" customHeight="1">
      <c r="A525" s="33"/>
      <c r="B525" s="33"/>
      <c r="C525" s="33"/>
      <c r="D525" s="33"/>
      <c r="E525" s="33"/>
      <c r="F525" s="199"/>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216"/>
      <c r="AN525" s="33"/>
      <c r="AO525" s="33"/>
      <c r="AP525" s="33"/>
    </row>
    <row r="526" spans="1:42" ht="15.75" customHeight="1">
      <c r="A526" s="33"/>
      <c r="B526" s="33"/>
      <c r="C526" s="33"/>
      <c r="D526" s="33"/>
      <c r="E526" s="33"/>
      <c r="F526" s="199"/>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216"/>
      <c r="AN526" s="33"/>
      <c r="AO526" s="33"/>
      <c r="AP526" s="33"/>
    </row>
    <row r="527" spans="1:42" ht="15.75" customHeight="1">
      <c r="A527" s="33"/>
      <c r="B527" s="33"/>
      <c r="C527" s="33"/>
      <c r="D527" s="33"/>
      <c r="E527" s="33"/>
      <c r="F527" s="199"/>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216"/>
      <c r="AN527" s="33"/>
      <c r="AO527" s="33"/>
      <c r="AP527" s="33"/>
    </row>
    <row r="528" spans="1:42" ht="15.75" customHeight="1">
      <c r="A528" s="33"/>
      <c r="B528" s="33"/>
      <c r="C528" s="33"/>
      <c r="D528" s="33"/>
      <c r="E528" s="33"/>
      <c r="F528" s="199"/>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216"/>
      <c r="AN528" s="33"/>
      <c r="AO528" s="33"/>
      <c r="AP528" s="33"/>
    </row>
    <row r="529" spans="1:42" ht="15.75" customHeight="1">
      <c r="A529" s="33"/>
      <c r="B529" s="33"/>
      <c r="C529" s="33"/>
      <c r="D529" s="33"/>
      <c r="E529" s="33"/>
      <c r="F529" s="199"/>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216"/>
      <c r="AN529" s="33"/>
      <c r="AO529" s="33"/>
      <c r="AP529" s="33"/>
    </row>
    <row r="530" spans="1:42" ht="15.75" customHeight="1">
      <c r="A530" s="33"/>
      <c r="B530" s="33"/>
      <c r="C530" s="33"/>
      <c r="D530" s="33"/>
      <c r="E530" s="33"/>
      <c r="F530" s="199"/>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216"/>
      <c r="AN530" s="33"/>
      <c r="AO530" s="33"/>
      <c r="AP530" s="33"/>
    </row>
    <row r="531" spans="1:42" ht="15.75" customHeight="1">
      <c r="A531" s="33"/>
      <c r="B531" s="33"/>
      <c r="C531" s="33"/>
      <c r="D531" s="33"/>
      <c r="E531" s="33"/>
      <c r="F531" s="199"/>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216"/>
      <c r="AN531" s="33"/>
      <c r="AO531" s="33"/>
      <c r="AP531" s="33"/>
    </row>
    <row r="532" spans="1:42" ht="15.75" customHeight="1">
      <c r="A532" s="33"/>
      <c r="B532" s="33"/>
      <c r="C532" s="33"/>
      <c r="D532" s="33"/>
      <c r="E532" s="33"/>
      <c r="F532" s="199"/>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216"/>
      <c r="AN532" s="33"/>
      <c r="AO532" s="33"/>
      <c r="AP532" s="33"/>
    </row>
    <row r="533" spans="1:42" ht="15.75" customHeight="1">
      <c r="A533" s="33"/>
      <c r="B533" s="33"/>
      <c r="C533" s="33"/>
      <c r="D533" s="33"/>
      <c r="E533" s="33"/>
      <c r="F533" s="199"/>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216"/>
      <c r="AN533" s="33"/>
      <c r="AO533" s="33"/>
      <c r="AP533" s="33"/>
    </row>
    <row r="534" spans="1:42" ht="15.75" customHeight="1">
      <c r="A534" s="33"/>
      <c r="B534" s="33"/>
      <c r="C534" s="33"/>
      <c r="D534" s="33"/>
      <c r="E534" s="33"/>
      <c r="F534" s="199"/>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216"/>
      <c r="AN534" s="33"/>
      <c r="AO534" s="33"/>
      <c r="AP534" s="33"/>
    </row>
    <row r="535" spans="1:42" ht="15.75" customHeight="1">
      <c r="A535" s="33"/>
      <c r="B535" s="33"/>
      <c r="C535" s="33"/>
      <c r="D535" s="33"/>
      <c r="E535" s="33"/>
      <c r="F535" s="199"/>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216"/>
      <c r="AN535" s="33"/>
      <c r="AO535" s="33"/>
      <c r="AP535" s="33"/>
    </row>
    <row r="536" spans="1:42" ht="15.75" customHeight="1">
      <c r="A536" s="33"/>
      <c r="B536" s="33"/>
      <c r="C536" s="33"/>
      <c r="D536" s="33"/>
      <c r="E536" s="33"/>
      <c r="F536" s="199"/>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216"/>
      <c r="AN536" s="33"/>
      <c r="AO536" s="33"/>
      <c r="AP536" s="33"/>
    </row>
    <row r="537" spans="1:42" ht="15.75" customHeight="1">
      <c r="A537" s="33"/>
      <c r="B537" s="33"/>
      <c r="C537" s="33"/>
      <c r="D537" s="33"/>
      <c r="E537" s="33"/>
      <c r="F537" s="199"/>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216"/>
      <c r="AN537" s="33"/>
      <c r="AO537" s="33"/>
      <c r="AP537" s="33"/>
    </row>
    <row r="538" spans="1:42" ht="15.75" customHeight="1">
      <c r="A538" s="33"/>
      <c r="B538" s="33"/>
      <c r="C538" s="33"/>
      <c r="D538" s="33"/>
      <c r="E538" s="33"/>
      <c r="F538" s="199"/>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216"/>
      <c r="AN538" s="33"/>
      <c r="AO538" s="33"/>
      <c r="AP538" s="33"/>
    </row>
    <row r="539" spans="1:42" ht="15.75" customHeight="1">
      <c r="A539" s="33"/>
      <c r="B539" s="33"/>
      <c r="C539" s="33"/>
      <c r="D539" s="33"/>
      <c r="E539" s="33"/>
      <c r="F539" s="199"/>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216"/>
      <c r="AN539" s="33"/>
      <c r="AO539" s="33"/>
      <c r="AP539" s="33"/>
    </row>
    <row r="540" spans="1:42" ht="15.75" customHeight="1">
      <c r="A540" s="33"/>
      <c r="B540" s="33"/>
      <c r="C540" s="33"/>
      <c r="D540" s="33"/>
      <c r="E540" s="33"/>
      <c r="F540" s="199"/>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216"/>
      <c r="AN540" s="33"/>
      <c r="AO540" s="33"/>
      <c r="AP540" s="33"/>
    </row>
    <row r="541" spans="1:42" ht="15.75" customHeight="1">
      <c r="A541" s="33"/>
      <c r="B541" s="33"/>
      <c r="C541" s="33"/>
      <c r="D541" s="33"/>
      <c r="E541" s="33"/>
      <c r="F541" s="199"/>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216"/>
      <c r="AN541" s="33"/>
      <c r="AO541" s="33"/>
      <c r="AP541" s="33"/>
    </row>
    <row r="542" spans="1:42" ht="15.75" customHeight="1">
      <c r="A542" s="33"/>
      <c r="B542" s="33"/>
      <c r="C542" s="33"/>
      <c r="D542" s="33"/>
      <c r="E542" s="33"/>
      <c r="F542" s="199"/>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216"/>
      <c r="AN542" s="33"/>
      <c r="AO542" s="33"/>
      <c r="AP542" s="33"/>
    </row>
    <row r="543" spans="1:42" ht="15.75" customHeight="1">
      <c r="A543" s="33"/>
      <c r="B543" s="33"/>
      <c r="C543" s="33"/>
      <c r="D543" s="33"/>
      <c r="E543" s="33"/>
      <c r="F543" s="199"/>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216"/>
      <c r="AN543" s="33"/>
      <c r="AO543" s="33"/>
      <c r="AP543" s="33"/>
    </row>
    <row r="544" spans="1:42" ht="15.75" customHeight="1">
      <c r="A544" s="33"/>
      <c r="B544" s="33"/>
      <c r="C544" s="33"/>
      <c r="D544" s="33"/>
      <c r="E544" s="33"/>
      <c r="F544" s="199"/>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216"/>
      <c r="AN544" s="33"/>
      <c r="AO544" s="33"/>
      <c r="AP544" s="33"/>
    </row>
    <row r="545" spans="1:42" ht="15.75" customHeight="1">
      <c r="A545" s="33"/>
      <c r="B545" s="33"/>
      <c r="C545" s="33"/>
      <c r="D545" s="33"/>
      <c r="E545" s="33"/>
      <c r="F545" s="199"/>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216"/>
      <c r="AN545" s="33"/>
      <c r="AO545" s="33"/>
      <c r="AP545" s="33"/>
    </row>
    <row r="546" spans="1:42" ht="15.75" customHeight="1">
      <c r="A546" s="33"/>
      <c r="B546" s="33"/>
      <c r="C546" s="33"/>
      <c r="D546" s="33"/>
      <c r="E546" s="33"/>
      <c r="F546" s="199"/>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216"/>
      <c r="AN546" s="33"/>
      <c r="AO546" s="33"/>
      <c r="AP546" s="33"/>
    </row>
    <row r="547" spans="1:42" ht="15.75" customHeight="1">
      <c r="A547" s="33"/>
      <c r="B547" s="33"/>
      <c r="C547" s="33"/>
      <c r="D547" s="33"/>
      <c r="E547" s="33"/>
      <c r="F547" s="199"/>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216"/>
      <c r="AN547" s="33"/>
      <c r="AO547" s="33"/>
      <c r="AP547" s="33"/>
    </row>
    <row r="548" spans="1:42" ht="15.75" customHeight="1">
      <c r="A548" s="33"/>
      <c r="B548" s="33"/>
      <c r="C548" s="33"/>
      <c r="D548" s="33"/>
      <c r="E548" s="33"/>
      <c r="F548" s="199"/>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216"/>
      <c r="AN548" s="33"/>
      <c r="AO548" s="33"/>
      <c r="AP548" s="33"/>
    </row>
    <row r="549" spans="1:42" ht="15.75" customHeight="1">
      <c r="A549" s="33"/>
      <c r="B549" s="33"/>
      <c r="C549" s="33"/>
      <c r="D549" s="33"/>
      <c r="E549" s="33"/>
      <c r="F549" s="199"/>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216"/>
      <c r="AN549" s="33"/>
      <c r="AO549" s="33"/>
      <c r="AP549" s="33"/>
    </row>
    <row r="550" spans="1:42" ht="15.75" customHeight="1">
      <c r="A550" s="33"/>
      <c r="B550" s="33"/>
      <c r="C550" s="33"/>
      <c r="D550" s="33"/>
      <c r="E550" s="33"/>
      <c r="F550" s="199"/>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216"/>
      <c r="AN550" s="33"/>
      <c r="AO550" s="33"/>
      <c r="AP550" s="33"/>
    </row>
    <row r="551" spans="1:42" ht="15.75" customHeight="1">
      <c r="A551" s="33"/>
      <c r="B551" s="33"/>
      <c r="C551" s="33"/>
      <c r="D551" s="33"/>
      <c r="E551" s="33"/>
      <c r="F551" s="199"/>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216"/>
      <c r="AN551" s="33"/>
      <c r="AO551" s="33"/>
      <c r="AP551" s="33"/>
    </row>
    <row r="552" spans="1:42" ht="15.75" customHeight="1">
      <c r="A552" s="33"/>
      <c r="B552" s="33"/>
      <c r="C552" s="33"/>
      <c r="D552" s="33"/>
      <c r="E552" s="33"/>
      <c r="F552" s="199"/>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216"/>
      <c r="AN552" s="33"/>
      <c r="AO552" s="33"/>
      <c r="AP552" s="33"/>
    </row>
    <row r="553" spans="1:42" ht="15.75" customHeight="1">
      <c r="A553" s="33"/>
      <c r="B553" s="33"/>
      <c r="C553" s="33"/>
      <c r="D553" s="33"/>
      <c r="E553" s="33"/>
      <c r="F553" s="199"/>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216"/>
      <c r="AN553" s="33"/>
      <c r="AO553" s="33"/>
      <c r="AP553" s="33"/>
    </row>
    <row r="554" spans="1:42" ht="15.75" customHeight="1">
      <c r="A554" s="33"/>
      <c r="B554" s="33"/>
      <c r="C554" s="33"/>
      <c r="D554" s="33"/>
      <c r="E554" s="33"/>
      <c r="F554" s="199"/>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216"/>
      <c r="AN554" s="33"/>
      <c r="AO554" s="33"/>
      <c r="AP554" s="33"/>
    </row>
    <row r="555" spans="1:42" ht="15.75" customHeight="1">
      <c r="A555" s="33"/>
      <c r="B555" s="33"/>
      <c r="C555" s="33"/>
      <c r="D555" s="33"/>
      <c r="E555" s="33"/>
      <c r="F555" s="199"/>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216"/>
      <c r="AN555" s="33"/>
      <c r="AO555" s="33"/>
      <c r="AP555" s="33"/>
    </row>
    <row r="556" spans="1:42" ht="15.75" customHeight="1">
      <c r="A556" s="33"/>
      <c r="B556" s="33"/>
      <c r="C556" s="33"/>
      <c r="D556" s="33"/>
      <c r="E556" s="33"/>
      <c r="F556" s="199"/>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216"/>
      <c r="AN556" s="33"/>
      <c r="AO556" s="33"/>
      <c r="AP556" s="33"/>
    </row>
    <row r="557" spans="1:42" ht="15.75" customHeight="1">
      <c r="A557" s="33"/>
      <c r="B557" s="33"/>
      <c r="C557" s="33"/>
      <c r="D557" s="33"/>
      <c r="E557" s="33"/>
      <c r="F557" s="199"/>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216"/>
      <c r="AN557" s="33"/>
      <c r="AO557" s="33"/>
      <c r="AP557" s="33"/>
    </row>
    <row r="558" spans="1:42" ht="15.75" customHeight="1">
      <c r="A558" s="33"/>
      <c r="B558" s="33"/>
      <c r="C558" s="33"/>
      <c r="D558" s="33"/>
      <c r="E558" s="33"/>
      <c r="F558" s="199"/>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216"/>
      <c r="AN558" s="33"/>
      <c r="AO558" s="33"/>
      <c r="AP558" s="33"/>
    </row>
    <row r="559" spans="1:42" ht="15.75" customHeight="1">
      <c r="A559" s="33"/>
      <c r="B559" s="33"/>
      <c r="C559" s="33"/>
      <c r="D559" s="33"/>
      <c r="E559" s="33"/>
      <c r="F559" s="199"/>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216"/>
      <c r="AN559" s="33"/>
      <c r="AO559" s="33"/>
      <c r="AP559" s="33"/>
    </row>
    <row r="560" spans="1:42" ht="15.75" customHeight="1">
      <c r="A560" s="33"/>
      <c r="B560" s="33"/>
      <c r="C560" s="33"/>
      <c r="D560" s="33"/>
      <c r="E560" s="33"/>
      <c r="F560" s="199"/>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216"/>
      <c r="AN560" s="33"/>
      <c r="AO560" s="33"/>
      <c r="AP560" s="33"/>
    </row>
    <row r="561" spans="1:42" ht="15.75" customHeight="1">
      <c r="A561" s="33"/>
      <c r="B561" s="33"/>
      <c r="C561" s="33"/>
      <c r="D561" s="33"/>
      <c r="E561" s="33"/>
      <c r="F561" s="199"/>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216"/>
      <c r="AN561" s="33"/>
      <c r="AO561" s="33"/>
      <c r="AP561" s="33"/>
    </row>
    <row r="562" spans="1:42" ht="15.75" customHeight="1">
      <c r="A562" s="33"/>
      <c r="B562" s="33"/>
      <c r="C562" s="33"/>
      <c r="D562" s="33"/>
      <c r="E562" s="33"/>
      <c r="F562" s="199"/>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216"/>
      <c r="AN562" s="33"/>
      <c r="AO562" s="33"/>
      <c r="AP562" s="33"/>
    </row>
    <row r="563" spans="1:42" ht="15.75" customHeight="1">
      <c r="A563" s="33"/>
      <c r="B563" s="33"/>
      <c r="C563" s="33"/>
      <c r="D563" s="33"/>
      <c r="E563" s="33"/>
      <c r="F563" s="199"/>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216"/>
      <c r="AN563" s="33"/>
      <c r="AO563" s="33"/>
      <c r="AP563" s="33"/>
    </row>
    <row r="564" spans="1:42" ht="15.75" customHeight="1">
      <c r="A564" s="33"/>
      <c r="B564" s="33"/>
      <c r="C564" s="33"/>
      <c r="D564" s="33"/>
      <c r="E564" s="33"/>
      <c r="F564" s="199"/>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216"/>
      <c r="AN564" s="33"/>
      <c r="AO564" s="33"/>
      <c r="AP564" s="33"/>
    </row>
    <row r="565" spans="1:42" ht="15.75" customHeight="1">
      <c r="A565" s="33"/>
      <c r="B565" s="33"/>
      <c r="C565" s="33"/>
      <c r="D565" s="33"/>
      <c r="E565" s="33"/>
      <c r="F565" s="199"/>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216"/>
      <c r="AN565" s="33"/>
      <c r="AO565" s="33"/>
      <c r="AP565" s="33"/>
    </row>
    <row r="566" spans="1:42" ht="15.75" customHeight="1">
      <c r="A566" s="33"/>
      <c r="B566" s="33"/>
      <c r="C566" s="33"/>
      <c r="D566" s="33"/>
      <c r="E566" s="33"/>
      <c r="F566" s="199"/>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216"/>
      <c r="AN566" s="33"/>
      <c r="AO566" s="33"/>
      <c r="AP566" s="33"/>
    </row>
    <row r="567" spans="1:42" ht="15.75" customHeight="1">
      <c r="A567" s="33"/>
      <c r="B567" s="33"/>
      <c r="C567" s="33"/>
      <c r="D567" s="33"/>
      <c r="E567" s="33"/>
      <c r="F567" s="199"/>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216"/>
      <c r="AN567" s="33"/>
      <c r="AO567" s="33"/>
      <c r="AP567" s="33"/>
    </row>
    <row r="568" spans="1:42" ht="15.75" customHeight="1">
      <c r="A568" s="33"/>
      <c r="B568" s="33"/>
      <c r="C568" s="33"/>
      <c r="D568" s="33"/>
      <c r="E568" s="33"/>
      <c r="F568" s="199"/>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216"/>
      <c r="AN568" s="33"/>
      <c r="AO568" s="33"/>
      <c r="AP568" s="33"/>
    </row>
    <row r="569" spans="1:42" ht="15.75" customHeight="1">
      <c r="A569" s="33"/>
      <c r="B569" s="33"/>
      <c r="C569" s="33"/>
      <c r="D569" s="33"/>
      <c r="E569" s="33"/>
      <c r="F569" s="199"/>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216"/>
      <c r="AN569" s="33"/>
      <c r="AO569" s="33"/>
      <c r="AP569" s="33"/>
    </row>
    <row r="570" spans="1:42" ht="15.75" customHeight="1">
      <c r="A570" s="33"/>
      <c r="B570" s="33"/>
      <c r="C570" s="33"/>
      <c r="D570" s="33"/>
      <c r="E570" s="33"/>
      <c r="F570" s="199"/>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216"/>
      <c r="AN570" s="33"/>
      <c r="AO570" s="33"/>
      <c r="AP570" s="33"/>
    </row>
    <row r="571" spans="1:42" ht="15.75" customHeight="1">
      <c r="A571" s="33"/>
      <c r="B571" s="33"/>
      <c r="C571" s="33"/>
      <c r="D571" s="33"/>
      <c r="E571" s="33"/>
      <c r="F571" s="199"/>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216"/>
      <c r="AN571" s="33"/>
      <c r="AO571" s="33"/>
      <c r="AP571" s="33"/>
    </row>
    <row r="572" spans="1:42" ht="15.75" customHeight="1">
      <c r="A572" s="33"/>
      <c r="B572" s="33"/>
      <c r="C572" s="33"/>
      <c r="D572" s="33"/>
      <c r="E572" s="33"/>
      <c r="F572" s="199"/>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216"/>
      <c r="AN572" s="33"/>
      <c r="AO572" s="33"/>
      <c r="AP572" s="33"/>
    </row>
    <row r="573" spans="1:42" ht="15.75" customHeight="1">
      <c r="A573" s="33"/>
      <c r="B573" s="33"/>
      <c r="C573" s="33"/>
      <c r="D573" s="33"/>
      <c r="E573" s="33"/>
      <c r="F573" s="199"/>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216"/>
      <c r="AN573" s="33"/>
      <c r="AO573" s="33"/>
      <c r="AP573" s="33"/>
    </row>
    <row r="574" spans="1:42" ht="15.75" customHeight="1">
      <c r="A574" s="33"/>
      <c r="B574" s="33"/>
      <c r="C574" s="33"/>
      <c r="D574" s="33"/>
      <c r="E574" s="33"/>
      <c r="F574" s="199"/>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216"/>
      <c r="AN574" s="33"/>
      <c r="AO574" s="33"/>
      <c r="AP574" s="33"/>
    </row>
    <row r="575" spans="1:42" ht="15.75" customHeight="1">
      <c r="A575" s="33"/>
      <c r="B575" s="33"/>
      <c r="C575" s="33"/>
      <c r="D575" s="33"/>
      <c r="E575" s="33"/>
      <c r="F575" s="199"/>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216"/>
      <c r="AN575" s="33"/>
      <c r="AO575" s="33"/>
      <c r="AP575" s="33"/>
    </row>
    <row r="576" spans="1:42" ht="15.75" customHeight="1">
      <c r="A576" s="33"/>
      <c r="B576" s="33"/>
      <c r="C576" s="33"/>
      <c r="D576" s="33"/>
      <c r="E576" s="33"/>
      <c r="F576" s="199"/>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216"/>
      <c r="AN576" s="33"/>
      <c r="AO576" s="33"/>
      <c r="AP576" s="33"/>
    </row>
    <row r="577" spans="1:42" ht="15.75" customHeight="1">
      <c r="A577" s="33"/>
      <c r="B577" s="33"/>
      <c r="C577" s="33"/>
      <c r="D577" s="33"/>
      <c r="E577" s="33"/>
      <c r="F577" s="199"/>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216"/>
      <c r="AN577" s="33"/>
      <c r="AO577" s="33"/>
      <c r="AP577" s="33"/>
    </row>
    <row r="578" spans="1:42" ht="15.75" customHeight="1">
      <c r="A578" s="33"/>
      <c r="B578" s="33"/>
      <c r="C578" s="33"/>
      <c r="D578" s="33"/>
      <c r="E578" s="33"/>
      <c r="F578" s="199"/>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216"/>
      <c r="AN578" s="33"/>
      <c r="AO578" s="33"/>
      <c r="AP578" s="33"/>
    </row>
    <row r="579" spans="1:42" ht="15.75" customHeight="1">
      <c r="A579" s="33"/>
      <c r="B579" s="33"/>
      <c r="C579" s="33"/>
      <c r="D579" s="33"/>
      <c r="E579" s="33"/>
      <c r="F579" s="199"/>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216"/>
      <c r="AN579" s="33"/>
      <c r="AO579" s="33"/>
      <c r="AP579" s="33"/>
    </row>
    <row r="580" spans="1:42" ht="15.75" customHeight="1">
      <c r="A580" s="33"/>
      <c r="B580" s="33"/>
      <c r="C580" s="33"/>
      <c r="D580" s="33"/>
      <c r="E580" s="33"/>
      <c r="F580" s="199"/>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216"/>
      <c r="AN580" s="33"/>
      <c r="AO580" s="33"/>
      <c r="AP580" s="33"/>
    </row>
    <row r="581" spans="1:42" ht="15.75" customHeight="1">
      <c r="A581" s="33"/>
      <c r="B581" s="33"/>
      <c r="C581" s="33"/>
      <c r="D581" s="33"/>
      <c r="E581" s="33"/>
      <c r="F581" s="199"/>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216"/>
      <c r="AN581" s="33"/>
      <c r="AO581" s="33"/>
      <c r="AP581" s="33"/>
    </row>
    <row r="582" spans="1:42" ht="15.75" customHeight="1">
      <c r="A582" s="33"/>
      <c r="B582" s="33"/>
      <c r="C582" s="33"/>
      <c r="D582" s="33"/>
      <c r="E582" s="33"/>
      <c r="F582" s="199"/>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216"/>
      <c r="AN582" s="33"/>
      <c r="AO582" s="33"/>
      <c r="AP582" s="33"/>
    </row>
    <row r="583" spans="1:42" ht="15.75" customHeight="1">
      <c r="A583" s="33"/>
      <c r="B583" s="33"/>
      <c r="C583" s="33"/>
      <c r="D583" s="33"/>
      <c r="E583" s="33"/>
      <c r="F583" s="199"/>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216"/>
      <c r="AN583" s="33"/>
      <c r="AO583" s="33"/>
      <c r="AP583" s="33"/>
    </row>
    <row r="584" spans="1:42" ht="15.75" customHeight="1">
      <c r="A584" s="33"/>
      <c r="B584" s="33"/>
      <c r="C584" s="33"/>
      <c r="D584" s="33"/>
      <c r="E584" s="33"/>
      <c r="F584" s="199"/>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216"/>
      <c r="AN584" s="33"/>
      <c r="AO584" s="33"/>
      <c r="AP584" s="33"/>
    </row>
    <row r="585" spans="1:42" ht="15.75" customHeight="1">
      <c r="A585" s="33"/>
      <c r="B585" s="33"/>
      <c r="C585" s="33"/>
      <c r="D585" s="33"/>
      <c r="E585" s="33"/>
      <c r="F585" s="199"/>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216"/>
      <c r="AN585" s="33"/>
      <c r="AO585" s="33"/>
      <c r="AP585" s="33"/>
    </row>
    <row r="586" spans="1:42" ht="15.75" customHeight="1">
      <c r="A586" s="33"/>
      <c r="B586" s="33"/>
      <c r="C586" s="33"/>
      <c r="D586" s="33"/>
      <c r="E586" s="33"/>
      <c r="F586" s="199"/>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216"/>
      <c r="AN586" s="33"/>
      <c r="AO586" s="33"/>
      <c r="AP586" s="33"/>
    </row>
    <row r="587" spans="1:42" ht="15.75" customHeight="1">
      <c r="A587" s="33"/>
      <c r="B587" s="33"/>
      <c r="C587" s="33"/>
      <c r="D587" s="33"/>
      <c r="E587" s="33"/>
      <c r="F587" s="199"/>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216"/>
      <c r="AN587" s="33"/>
      <c r="AO587" s="33"/>
      <c r="AP587" s="33"/>
    </row>
    <row r="588" spans="1:42" ht="15.75" customHeight="1">
      <c r="A588" s="33"/>
      <c r="B588" s="33"/>
      <c r="C588" s="33"/>
      <c r="D588" s="33"/>
      <c r="E588" s="33"/>
      <c r="F588" s="199"/>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216"/>
      <c r="AN588" s="33"/>
      <c r="AO588" s="33"/>
      <c r="AP588" s="33"/>
    </row>
    <row r="589" spans="1:42" ht="15.75" customHeight="1">
      <c r="A589" s="33"/>
      <c r="B589" s="33"/>
      <c r="C589" s="33"/>
      <c r="D589" s="33"/>
      <c r="E589" s="33"/>
      <c r="F589" s="199"/>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216"/>
      <c r="AN589" s="33"/>
      <c r="AO589" s="33"/>
      <c r="AP589" s="33"/>
    </row>
    <row r="590" spans="1:42" ht="15.75" customHeight="1">
      <c r="A590" s="33"/>
      <c r="B590" s="33"/>
      <c r="C590" s="33"/>
      <c r="D590" s="33"/>
      <c r="E590" s="33"/>
      <c r="F590" s="199"/>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216"/>
      <c r="AN590" s="33"/>
      <c r="AO590" s="33"/>
      <c r="AP590" s="33"/>
    </row>
    <row r="591" spans="1:42" ht="15.75" customHeight="1">
      <c r="A591" s="33"/>
      <c r="B591" s="33"/>
      <c r="C591" s="33"/>
      <c r="D591" s="33"/>
      <c r="E591" s="33"/>
      <c r="F591" s="199"/>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216"/>
      <c r="AN591" s="33"/>
      <c r="AO591" s="33"/>
      <c r="AP591" s="33"/>
    </row>
    <row r="592" spans="1:42" ht="15.75" customHeight="1">
      <c r="A592" s="33"/>
      <c r="B592" s="33"/>
      <c r="C592" s="33"/>
      <c r="D592" s="33"/>
      <c r="E592" s="33"/>
      <c r="F592" s="199"/>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216"/>
      <c r="AN592" s="33"/>
      <c r="AO592" s="33"/>
      <c r="AP592" s="33"/>
    </row>
    <row r="593" spans="1:42" ht="15.75" customHeight="1">
      <c r="A593" s="33"/>
      <c r="B593" s="33"/>
      <c r="C593" s="33"/>
      <c r="D593" s="33"/>
      <c r="E593" s="33"/>
      <c r="F593" s="199"/>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216"/>
      <c r="AN593" s="33"/>
      <c r="AO593" s="33"/>
      <c r="AP593" s="33"/>
    </row>
    <row r="594" spans="1:42" ht="15.75" customHeight="1">
      <c r="A594" s="33"/>
      <c r="B594" s="33"/>
      <c r="C594" s="33"/>
      <c r="D594" s="33"/>
      <c r="E594" s="33"/>
      <c r="F594" s="199"/>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216"/>
      <c r="AN594" s="33"/>
      <c r="AO594" s="33"/>
      <c r="AP594" s="33"/>
    </row>
    <row r="595" spans="1:42" ht="15.75" customHeight="1">
      <c r="A595" s="33"/>
      <c r="B595" s="33"/>
      <c r="C595" s="33"/>
      <c r="D595" s="33"/>
      <c r="E595" s="33"/>
      <c r="F595" s="199"/>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216"/>
      <c r="AN595" s="33"/>
      <c r="AO595" s="33"/>
      <c r="AP595" s="33"/>
    </row>
    <row r="596" spans="1:42" ht="15.75" customHeight="1">
      <c r="A596" s="33"/>
      <c r="B596" s="33"/>
      <c r="C596" s="33"/>
      <c r="D596" s="33"/>
      <c r="E596" s="33"/>
      <c r="F596" s="199"/>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216"/>
      <c r="AN596" s="33"/>
      <c r="AO596" s="33"/>
      <c r="AP596" s="33"/>
    </row>
    <row r="597" spans="1:42" ht="15.75" customHeight="1">
      <c r="A597" s="33"/>
      <c r="B597" s="33"/>
      <c r="C597" s="33"/>
      <c r="D597" s="33"/>
      <c r="E597" s="33"/>
      <c r="F597" s="199"/>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216"/>
      <c r="AN597" s="33"/>
      <c r="AO597" s="33"/>
      <c r="AP597" s="33"/>
    </row>
    <row r="598" spans="1:42" ht="15.75" customHeight="1">
      <c r="A598" s="33"/>
      <c r="B598" s="33"/>
      <c r="C598" s="33"/>
      <c r="D598" s="33"/>
      <c r="E598" s="33"/>
      <c r="F598" s="199"/>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216"/>
      <c r="AN598" s="33"/>
      <c r="AO598" s="33"/>
      <c r="AP598" s="33"/>
    </row>
    <row r="599" spans="1:42" ht="15.75" customHeight="1">
      <c r="A599" s="33"/>
      <c r="B599" s="33"/>
      <c r="C599" s="33"/>
      <c r="D599" s="33"/>
      <c r="E599" s="33"/>
      <c r="F599" s="199"/>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216"/>
      <c r="AN599" s="33"/>
      <c r="AO599" s="33"/>
      <c r="AP599" s="33"/>
    </row>
    <row r="600" spans="1:42" ht="15.75" customHeight="1">
      <c r="A600" s="33"/>
      <c r="B600" s="33"/>
      <c r="C600" s="33"/>
      <c r="D600" s="33"/>
      <c r="E600" s="33"/>
      <c r="F600" s="199"/>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216"/>
      <c r="AN600" s="33"/>
      <c r="AO600" s="33"/>
      <c r="AP600" s="33"/>
    </row>
    <row r="601" spans="1:42" ht="15.75" customHeight="1">
      <c r="A601" s="33"/>
      <c r="B601" s="33"/>
      <c r="C601" s="33"/>
      <c r="D601" s="33"/>
      <c r="E601" s="33"/>
      <c r="F601" s="199"/>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216"/>
      <c r="AN601" s="33"/>
      <c r="AO601" s="33"/>
      <c r="AP601" s="33"/>
    </row>
    <row r="602" spans="1:42" ht="15.75" customHeight="1">
      <c r="A602" s="33"/>
      <c r="B602" s="33"/>
      <c r="C602" s="33"/>
      <c r="D602" s="33"/>
      <c r="E602" s="33"/>
      <c r="F602" s="199"/>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216"/>
      <c r="AN602" s="33"/>
      <c r="AO602" s="33"/>
      <c r="AP602" s="33"/>
    </row>
    <row r="603" spans="1:42" ht="15.75" customHeight="1">
      <c r="A603" s="33"/>
      <c r="B603" s="33"/>
      <c r="C603" s="33"/>
      <c r="D603" s="33"/>
      <c r="E603" s="33"/>
      <c r="F603" s="199"/>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216"/>
      <c r="AN603" s="33"/>
      <c r="AO603" s="33"/>
      <c r="AP603" s="33"/>
    </row>
    <row r="604" spans="1:42" ht="15.75" customHeight="1">
      <c r="A604" s="33"/>
      <c r="B604" s="33"/>
      <c r="C604" s="33"/>
      <c r="D604" s="33"/>
      <c r="E604" s="33"/>
      <c r="F604" s="199"/>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216"/>
      <c r="AN604" s="33"/>
      <c r="AO604" s="33"/>
      <c r="AP604" s="33"/>
    </row>
    <row r="605" spans="1:42" ht="15.75" customHeight="1">
      <c r="A605" s="33"/>
      <c r="B605" s="33"/>
      <c r="C605" s="33"/>
      <c r="D605" s="33"/>
      <c r="E605" s="33"/>
      <c r="F605" s="199"/>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216"/>
      <c r="AN605" s="33"/>
      <c r="AO605" s="33"/>
      <c r="AP605" s="33"/>
    </row>
    <row r="606" spans="1:42" ht="15.75" customHeight="1">
      <c r="A606" s="33"/>
      <c r="B606" s="33"/>
      <c r="C606" s="33"/>
      <c r="D606" s="33"/>
      <c r="E606" s="33"/>
      <c r="F606" s="199"/>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216"/>
      <c r="AN606" s="33"/>
      <c r="AO606" s="33"/>
      <c r="AP606" s="33"/>
    </row>
    <row r="607" spans="1:42" ht="15.75" customHeight="1">
      <c r="A607" s="33"/>
      <c r="B607" s="33"/>
      <c r="C607" s="33"/>
      <c r="D607" s="33"/>
      <c r="E607" s="33"/>
      <c r="F607" s="199"/>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216"/>
      <c r="AN607" s="33"/>
      <c r="AO607" s="33"/>
      <c r="AP607" s="33"/>
    </row>
    <row r="608" spans="1:42" ht="15.75" customHeight="1">
      <c r="A608" s="33"/>
      <c r="B608" s="33"/>
      <c r="C608" s="33"/>
      <c r="D608" s="33"/>
      <c r="E608" s="33"/>
      <c r="F608" s="199"/>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216"/>
      <c r="AN608" s="33"/>
      <c r="AO608" s="33"/>
      <c r="AP608" s="33"/>
    </row>
    <row r="609" spans="1:42" ht="15.75" customHeight="1">
      <c r="A609" s="33"/>
      <c r="B609" s="33"/>
      <c r="C609" s="33"/>
      <c r="D609" s="33"/>
      <c r="E609" s="33"/>
      <c r="F609" s="199"/>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216"/>
      <c r="AN609" s="33"/>
      <c r="AO609" s="33"/>
      <c r="AP609" s="33"/>
    </row>
    <row r="610" spans="1:42" ht="15.75" customHeight="1">
      <c r="A610" s="33"/>
      <c r="B610" s="33"/>
      <c r="C610" s="33"/>
      <c r="D610" s="33"/>
      <c r="E610" s="33"/>
      <c r="F610" s="199"/>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216"/>
      <c r="AN610" s="33"/>
      <c r="AO610" s="33"/>
      <c r="AP610" s="33"/>
    </row>
    <row r="611" spans="1:42" ht="15.75" customHeight="1">
      <c r="A611" s="33"/>
      <c r="B611" s="33"/>
      <c r="C611" s="33"/>
      <c r="D611" s="33"/>
      <c r="E611" s="33"/>
      <c r="F611" s="199"/>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216"/>
      <c r="AN611" s="33"/>
      <c r="AO611" s="33"/>
      <c r="AP611" s="33"/>
    </row>
    <row r="612" spans="1:42" ht="15.75" customHeight="1">
      <c r="A612" s="33"/>
      <c r="B612" s="33"/>
      <c r="C612" s="33"/>
      <c r="D612" s="33"/>
      <c r="E612" s="33"/>
      <c r="F612" s="199"/>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216"/>
      <c r="AN612" s="33"/>
      <c r="AO612" s="33"/>
      <c r="AP612" s="33"/>
    </row>
    <row r="613" spans="1:42" ht="15.75" customHeight="1">
      <c r="A613" s="33"/>
      <c r="B613" s="33"/>
      <c r="C613" s="33"/>
      <c r="D613" s="33"/>
      <c r="E613" s="33"/>
      <c r="F613" s="199"/>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216"/>
      <c r="AN613" s="33"/>
      <c r="AO613" s="33"/>
      <c r="AP613" s="33"/>
    </row>
    <row r="614" spans="1:42" ht="15.75" customHeight="1">
      <c r="A614" s="33"/>
      <c r="B614" s="33"/>
      <c r="C614" s="33"/>
      <c r="D614" s="33"/>
      <c r="E614" s="33"/>
      <c r="F614" s="199"/>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216"/>
      <c r="AN614" s="33"/>
      <c r="AO614" s="33"/>
      <c r="AP614" s="33"/>
    </row>
    <row r="615" spans="1:42" ht="15.75" customHeight="1">
      <c r="A615" s="33"/>
      <c r="B615" s="33"/>
      <c r="C615" s="33"/>
      <c r="D615" s="33"/>
      <c r="E615" s="33"/>
      <c r="F615" s="199"/>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216"/>
      <c r="AN615" s="33"/>
      <c r="AO615" s="33"/>
      <c r="AP615" s="33"/>
    </row>
    <row r="616" spans="1:42" ht="15.75" customHeight="1">
      <c r="A616" s="33"/>
      <c r="B616" s="33"/>
      <c r="C616" s="33"/>
      <c r="D616" s="33"/>
      <c r="E616" s="33"/>
      <c r="F616" s="199"/>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216"/>
      <c r="AN616" s="33"/>
      <c r="AO616" s="33"/>
      <c r="AP616" s="33"/>
    </row>
    <row r="617" spans="1:42" ht="15.75" customHeight="1">
      <c r="A617" s="33"/>
      <c r="B617" s="33"/>
      <c r="C617" s="33"/>
      <c r="D617" s="33"/>
      <c r="E617" s="33"/>
      <c r="F617" s="199"/>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216"/>
      <c r="AN617" s="33"/>
      <c r="AO617" s="33"/>
      <c r="AP617" s="33"/>
    </row>
    <row r="618" spans="1:42" ht="15.75" customHeight="1">
      <c r="A618" s="33"/>
      <c r="B618" s="33"/>
      <c r="C618" s="33"/>
      <c r="D618" s="33"/>
      <c r="E618" s="33"/>
      <c r="F618" s="199"/>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216"/>
      <c r="AN618" s="33"/>
      <c r="AO618" s="33"/>
      <c r="AP618" s="33"/>
    </row>
    <row r="619" spans="1:42" ht="15.75" customHeight="1">
      <c r="A619" s="33"/>
      <c r="B619" s="33"/>
      <c r="C619" s="33"/>
      <c r="D619" s="33"/>
      <c r="E619" s="33"/>
      <c r="F619" s="199"/>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216"/>
      <c r="AN619" s="33"/>
      <c r="AO619" s="33"/>
      <c r="AP619" s="33"/>
    </row>
    <row r="620" spans="1:42" ht="15.75" customHeight="1">
      <c r="A620" s="33"/>
      <c r="B620" s="33"/>
      <c r="C620" s="33"/>
      <c r="D620" s="33"/>
      <c r="E620" s="33"/>
      <c r="F620" s="199"/>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216"/>
      <c r="AN620" s="33"/>
      <c r="AO620" s="33"/>
      <c r="AP620" s="33"/>
    </row>
    <row r="621" spans="1:42" ht="15.75" customHeight="1">
      <c r="A621" s="33"/>
      <c r="B621" s="33"/>
      <c r="C621" s="33"/>
      <c r="D621" s="33"/>
      <c r="E621" s="33"/>
      <c r="F621" s="199"/>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216"/>
      <c r="AN621" s="33"/>
      <c r="AO621" s="33"/>
      <c r="AP621" s="33"/>
    </row>
    <row r="622" spans="1:42" ht="15.75" customHeight="1">
      <c r="A622" s="33"/>
      <c r="B622" s="33"/>
      <c r="C622" s="33"/>
      <c r="D622" s="33"/>
      <c r="E622" s="33"/>
      <c r="F622" s="199"/>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216"/>
      <c r="AN622" s="33"/>
      <c r="AO622" s="33"/>
      <c r="AP622" s="33"/>
    </row>
    <row r="623" spans="1:42" ht="15.75" customHeight="1">
      <c r="A623" s="33"/>
      <c r="B623" s="33"/>
      <c r="C623" s="33"/>
      <c r="D623" s="33"/>
      <c r="E623" s="33"/>
      <c r="F623" s="199"/>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216"/>
      <c r="AN623" s="33"/>
      <c r="AO623" s="33"/>
      <c r="AP623" s="33"/>
    </row>
    <row r="624" spans="1:42" ht="15.75" customHeight="1">
      <c r="A624" s="33"/>
      <c r="B624" s="33"/>
      <c r="C624" s="33"/>
      <c r="D624" s="33"/>
      <c r="E624" s="33"/>
      <c r="F624" s="199"/>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216"/>
      <c r="AN624" s="33"/>
      <c r="AO624" s="33"/>
      <c r="AP624" s="33"/>
    </row>
    <row r="625" spans="1:42" ht="15.75" customHeight="1">
      <c r="A625" s="33"/>
      <c r="B625" s="33"/>
      <c r="C625" s="33"/>
      <c r="D625" s="33"/>
      <c r="E625" s="33"/>
      <c r="F625" s="199"/>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216"/>
      <c r="AN625" s="33"/>
      <c r="AO625" s="33"/>
      <c r="AP625" s="33"/>
    </row>
    <row r="626" spans="1:42" ht="15.75" customHeight="1">
      <c r="A626" s="33"/>
      <c r="B626" s="33"/>
      <c r="C626" s="33"/>
      <c r="D626" s="33"/>
      <c r="E626" s="33"/>
      <c r="F626" s="199"/>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216"/>
      <c r="AN626" s="33"/>
      <c r="AO626" s="33"/>
      <c r="AP626" s="33"/>
    </row>
    <row r="627" spans="1:42" ht="15.75" customHeight="1">
      <c r="A627" s="33"/>
      <c r="B627" s="33"/>
      <c r="C627" s="33"/>
      <c r="D627" s="33"/>
      <c r="E627" s="33"/>
      <c r="F627" s="199"/>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216"/>
      <c r="AN627" s="33"/>
      <c r="AO627" s="33"/>
      <c r="AP627" s="33"/>
    </row>
    <row r="628" spans="1:42" ht="15.75" customHeight="1">
      <c r="A628" s="33"/>
      <c r="B628" s="33"/>
      <c r="C628" s="33"/>
      <c r="D628" s="33"/>
      <c r="E628" s="33"/>
      <c r="F628" s="199"/>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216"/>
      <c r="AN628" s="33"/>
      <c r="AO628" s="33"/>
      <c r="AP628" s="33"/>
    </row>
    <row r="629" spans="1:42" ht="15.75" customHeight="1">
      <c r="A629" s="33"/>
      <c r="B629" s="33"/>
      <c r="C629" s="33"/>
      <c r="D629" s="33"/>
      <c r="E629" s="33"/>
      <c r="F629" s="199"/>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216"/>
      <c r="AN629" s="33"/>
      <c r="AO629" s="33"/>
      <c r="AP629" s="33"/>
    </row>
    <row r="630" spans="1:42" ht="15.75" customHeight="1">
      <c r="A630" s="33"/>
      <c r="B630" s="33"/>
      <c r="C630" s="33"/>
      <c r="D630" s="33"/>
      <c r="E630" s="33"/>
      <c r="F630" s="199"/>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216"/>
      <c r="AN630" s="33"/>
      <c r="AO630" s="33"/>
      <c r="AP630" s="33"/>
    </row>
    <row r="631" spans="1:42" ht="15.75" customHeight="1">
      <c r="A631" s="33"/>
      <c r="B631" s="33"/>
      <c r="C631" s="33"/>
      <c r="D631" s="33"/>
      <c r="E631" s="33"/>
      <c r="F631" s="199"/>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216"/>
      <c r="AN631" s="33"/>
      <c r="AO631" s="33"/>
      <c r="AP631" s="33"/>
    </row>
    <row r="632" spans="1:42" ht="15.75" customHeight="1">
      <c r="A632" s="33"/>
      <c r="B632" s="33"/>
      <c r="C632" s="33"/>
      <c r="D632" s="33"/>
      <c r="E632" s="33"/>
      <c r="F632" s="199"/>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216"/>
      <c r="AN632" s="33"/>
      <c r="AO632" s="33"/>
      <c r="AP632" s="33"/>
    </row>
    <row r="633" spans="1:42" ht="15.75" customHeight="1">
      <c r="A633" s="33"/>
      <c r="B633" s="33"/>
      <c r="C633" s="33"/>
      <c r="D633" s="33"/>
      <c r="E633" s="33"/>
      <c r="F633" s="199"/>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216"/>
      <c r="AN633" s="33"/>
      <c r="AO633" s="33"/>
      <c r="AP633" s="33"/>
    </row>
    <row r="634" spans="1:42" ht="15.75" customHeight="1">
      <c r="A634" s="33"/>
      <c r="B634" s="33"/>
      <c r="C634" s="33"/>
      <c r="D634" s="33"/>
      <c r="E634" s="33"/>
      <c r="F634" s="199"/>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216"/>
      <c r="AN634" s="33"/>
      <c r="AO634" s="33"/>
      <c r="AP634" s="33"/>
    </row>
    <row r="635" spans="1:42" ht="15.75" customHeight="1">
      <c r="A635" s="33"/>
      <c r="B635" s="33"/>
      <c r="C635" s="33"/>
      <c r="D635" s="33"/>
      <c r="E635" s="33"/>
      <c r="F635" s="199"/>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216"/>
      <c r="AN635" s="33"/>
      <c r="AO635" s="33"/>
      <c r="AP635" s="33"/>
    </row>
    <row r="636" spans="1:42" ht="15.75" customHeight="1">
      <c r="A636" s="33"/>
      <c r="B636" s="33"/>
      <c r="C636" s="33"/>
      <c r="D636" s="33"/>
      <c r="E636" s="33"/>
      <c r="F636" s="199"/>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216"/>
      <c r="AN636" s="33"/>
      <c r="AO636" s="33"/>
      <c r="AP636" s="33"/>
    </row>
    <row r="637" spans="1:42" ht="15.75" customHeight="1">
      <c r="A637" s="33"/>
      <c r="B637" s="33"/>
      <c r="C637" s="33"/>
      <c r="D637" s="33"/>
      <c r="E637" s="33"/>
      <c r="F637" s="199"/>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216"/>
      <c r="AN637" s="33"/>
      <c r="AO637" s="33"/>
      <c r="AP637" s="33"/>
    </row>
    <row r="638" spans="1:42" ht="15.75" customHeight="1">
      <c r="A638" s="33"/>
      <c r="B638" s="33"/>
      <c r="C638" s="33"/>
      <c r="D638" s="33"/>
      <c r="E638" s="33"/>
      <c r="F638" s="199"/>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216"/>
      <c r="AN638" s="33"/>
      <c r="AO638" s="33"/>
      <c r="AP638" s="33"/>
    </row>
    <row r="639" spans="1:42" ht="15.75" customHeight="1">
      <c r="A639" s="33"/>
      <c r="B639" s="33"/>
      <c r="C639" s="33"/>
      <c r="D639" s="33"/>
      <c r="E639" s="33"/>
      <c r="F639" s="199"/>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216"/>
      <c r="AN639" s="33"/>
      <c r="AO639" s="33"/>
      <c r="AP639" s="33"/>
    </row>
    <row r="640" spans="1:42" ht="15.75" customHeight="1">
      <c r="A640" s="33"/>
      <c r="B640" s="33"/>
      <c r="C640" s="33"/>
      <c r="D640" s="33"/>
      <c r="E640" s="33"/>
      <c r="F640" s="199"/>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216"/>
      <c r="AN640" s="33"/>
      <c r="AO640" s="33"/>
      <c r="AP640" s="33"/>
    </row>
    <row r="641" spans="1:42" ht="15.75" customHeight="1">
      <c r="A641" s="33"/>
      <c r="B641" s="33"/>
      <c r="C641" s="33"/>
      <c r="D641" s="33"/>
      <c r="E641" s="33"/>
      <c r="F641" s="199"/>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216"/>
      <c r="AN641" s="33"/>
      <c r="AO641" s="33"/>
      <c r="AP641" s="33"/>
    </row>
    <row r="642" spans="1:42" ht="15.75" customHeight="1">
      <c r="A642" s="33"/>
      <c r="B642" s="33"/>
      <c r="C642" s="33"/>
      <c r="D642" s="33"/>
      <c r="E642" s="33"/>
      <c r="F642" s="199"/>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216"/>
      <c r="AN642" s="33"/>
      <c r="AO642" s="33"/>
      <c r="AP642" s="33"/>
    </row>
    <row r="643" spans="1:42" ht="15.75" customHeight="1">
      <c r="A643" s="33"/>
      <c r="B643" s="33"/>
      <c r="C643" s="33"/>
      <c r="D643" s="33"/>
      <c r="E643" s="33"/>
      <c r="F643" s="199"/>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216"/>
      <c r="AN643" s="33"/>
      <c r="AO643" s="33"/>
      <c r="AP643" s="33"/>
    </row>
    <row r="644" spans="1:42" ht="15.75" customHeight="1">
      <c r="A644" s="33"/>
      <c r="B644" s="33"/>
      <c r="C644" s="33"/>
      <c r="D644" s="33"/>
      <c r="E644" s="33"/>
      <c r="F644" s="199"/>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216"/>
      <c r="AN644" s="33"/>
      <c r="AO644" s="33"/>
      <c r="AP644" s="33"/>
    </row>
    <row r="645" spans="1:42" ht="15.75" customHeight="1">
      <c r="A645" s="33"/>
      <c r="B645" s="33"/>
      <c r="C645" s="33"/>
      <c r="D645" s="33"/>
      <c r="E645" s="33"/>
      <c r="F645" s="199"/>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216"/>
      <c r="AN645" s="33"/>
      <c r="AO645" s="33"/>
      <c r="AP645" s="33"/>
    </row>
    <row r="646" spans="1:42" ht="15.75" customHeight="1">
      <c r="A646" s="33"/>
      <c r="B646" s="33"/>
      <c r="C646" s="33"/>
      <c r="D646" s="33"/>
      <c r="E646" s="33"/>
      <c r="F646" s="199"/>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216"/>
      <c r="AN646" s="33"/>
      <c r="AO646" s="33"/>
      <c r="AP646" s="33"/>
    </row>
    <row r="647" spans="1:42" ht="15.75" customHeight="1">
      <c r="A647" s="33"/>
      <c r="B647" s="33"/>
      <c r="C647" s="33"/>
      <c r="D647" s="33"/>
      <c r="E647" s="33"/>
      <c r="F647" s="199"/>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216"/>
      <c r="AN647" s="33"/>
      <c r="AO647" s="33"/>
      <c r="AP647" s="33"/>
    </row>
    <row r="648" spans="1:42" ht="15.75" customHeight="1">
      <c r="A648" s="33"/>
      <c r="B648" s="33"/>
      <c r="C648" s="33"/>
      <c r="D648" s="33"/>
      <c r="E648" s="33"/>
      <c r="F648" s="199"/>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216"/>
      <c r="AN648" s="33"/>
      <c r="AO648" s="33"/>
      <c r="AP648" s="33"/>
    </row>
    <row r="649" spans="1:42" ht="15.75" customHeight="1">
      <c r="A649" s="33"/>
      <c r="B649" s="33"/>
      <c r="C649" s="33"/>
      <c r="D649" s="33"/>
      <c r="E649" s="33"/>
      <c r="F649" s="199"/>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216"/>
      <c r="AN649" s="33"/>
      <c r="AO649" s="33"/>
      <c r="AP649" s="33"/>
    </row>
    <row r="650" spans="1:42" ht="15.75" customHeight="1">
      <c r="A650" s="33"/>
      <c r="B650" s="33"/>
      <c r="C650" s="33"/>
      <c r="D650" s="33"/>
      <c r="E650" s="33"/>
      <c r="F650" s="199"/>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216"/>
      <c r="AN650" s="33"/>
      <c r="AO650" s="33"/>
      <c r="AP650" s="33"/>
    </row>
    <row r="651" spans="1:42" ht="15.75" customHeight="1">
      <c r="A651" s="33"/>
      <c r="B651" s="33"/>
      <c r="C651" s="33"/>
      <c r="D651" s="33"/>
      <c r="E651" s="33"/>
      <c r="F651" s="199"/>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216"/>
      <c r="AN651" s="33"/>
      <c r="AO651" s="33"/>
      <c r="AP651" s="33"/>
    </row>
    <row r="652" spans="1:42" ht="15.75" customHeight="1">
      <c r="A652" s="33"/>
      <c r="B652" s="33"/>
      <c r="C652" s="33"/>
      <c r="D652" s="33"/>
      <c r="E652" s="33"/>
      <c r="F652" s="199"/>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216"/>
      <c r="AN652" s="33"/>
      <c r="AO652" s="33"/>
      <c r="AP652" s="33"/>
    </row>
    <row r="653" spans="1:42" ht="15.75" customHeight="1">
      <c r="A653" s="33"/>
      <c r="B653" s="33"/>
      <c r="C653" s="33"/>
      <c r="D653" s="33"/>
      <c r="E653" s="33"/>
      <c r="F653" s="199"/>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216"/>
      <c r="AN653" s="33"/>
      <c r="AO653" s="33"/>
      <c r="AP653" s="33"/>
    </row>
    <row r="654" spans="1:42" ht="15.75" customHeight="1">
      <c r="A654" s="33"/>
      <c r="B654" s="33"/>
      <c r="C654" s="33"/>
      <c r="D654" s="33"/>
      <c r="E654" s="33"/>
      <c r="F654" s="199"/>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216"/>
      <c r="AN654" s="33"/>
      <c r="AO654" s="33"/>
      <c r="AP654" s="33"/>
    </row>
    <row r="655" spans="1:42" ht="15.75" customHeight="1">
      <c r="A655" s="33"/>
      <c r="B655" s="33"/>
      <c r="C655" s="33"/>
      <c r="D655" s="33"/>
      <c r="E655" s="33"/>
      <c r="F655" s="199"/>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216"/>
      <c r="AN655" s="33"/>
      <c r="AO655" s="33"/>
      <c r="AP655" s="33"/>
    </row>
    <row r="656" spans="1:42" ht="15.75" customHeight="1">
      <c r="A656" s="33"/>
      <c r="B656" s="33"/>
      <c r="C656" s="33"/>
      <c r="D656" s="33"/>
      <c r="E656" s="33"/>
      <c r="F656" s="199"/>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216"/>
      <c r="AN656" s="33"/>
      <c r="AO656" s="33"/>
      <c r="AP656" s="33"/>
    </row>
    <row r="657" spans="1:42" ht="15.75" customHeight="1">
      <c r="A657" s="33"/>
      <c r="B657" s="33"/>
      <c r="C657" s="33"/>
      <c r="D657" s="33"/>
      <c r="E657" s="33"/>
      <c r="F657" s="199"/>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216"/>
      <c r="AN657" s="33"/>
      <c r="AO657" s="33"/>
      <c r="AP657" s="33"/>
    </row>
    <row r="658" spans="1:42" ht="15.75" customHeight="1">
      <c r="A658" s="33"/>
      <c r="B658" s="33"/>
      <c r="C658" s="33"/>
      <c r="D658" s="33"/>
      <c r="E658" s="33"/>
      <c r="F658" s="199"/>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216"/>
      <c r="AN658" s="33"/>
      <c r="AO658" s="33"/>
      <c r="AP658" s="33"/>
    </row>
    <row r="659" spans="1:42" ht="15.75" customHeight="1">
      <c r="A659" s="33"/>
      <c r="B659" s="33"/>
      <c r="C659" s="33"/>
      <c r="D659" s="33"/>
      <c r="E659" s="33"/>
      <c r="F659" s="199"/>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216"/>
      <c r="AN659" s="33"/>
      <c r="AO659" s="33"/>
      <c r="AP659" s="33"/>
    </row>
    <row r="660" spans="1:42" ht="15.75" customHeight="1">
      <c r="A660" s="33"/>
      <c r="B660" s="33"/>
      <c r="C660" s="33"/>
      <c r="D660" s="33"/>
      <c r="E660" s="33"/>
      <c r="F660" s="199"/>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216"/>
      <c r="AN660" s="33"/>
      <c r="AO660" s="33"/>
      <c r="AP660" s="33"/>
    </row>
    <row r="661" spans="1:42" ht="15.75" customHeight="1">
      <c r="A661" s="33"/>
      <c r="B661" s="33"/>
      <c r="C661" s="33"/>
      <c r="D661" s="33"/>
      <c r="E661" s="33"/>
      <c r="F661" s="199"/>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216"/>
      <c r="AN661" s="33"/>
      <c r="AO661" s="33"/>
      <c r="AP661" s="33"/>
    </row>
    <row r="662" spans="1:42" ht="15.75" customHeight="1">
      <c r="A662" s="33"/>
      <c r="B662" s="33"/>
      <c r="C662" s="33"/>
      <c r="D662" s="33"/>
      <c r="E662" s="33"/>
      <c r="F662" s="199"/>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216"/>
      <c r="AN662" s="33"/>
      <c r="AO662" s="33"/>
      <c r="AP662" s="33"/>
    </row>
    <row r="663" spans="1:42" ht="15.75" customHeight="1">
      <c r="A663" s="33"/>
      <c r="B663" s="33"/>
      <c r="C663" s="33"/>
      <c r="D663" s="33"/>
      <c r="E663" s="33"/>
      <c r="F663" s="199"/>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216"/>
      <c r="AN663" s="33"/>
      <c r="AO663" s="33"/>
      <c r="AP663" s="33"/>
    </row>
    <row r="664" spans="1:42" ht="15.75" customHeight="1">
      <c r="A664" s="33"/>
      <c r="B664" s="33"/>
      <c r="C664" s="33"/>
      <c r="D664" s="33"/>
      <c r="E664" s="33"/>
      <c r="F664" s="199"/>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216"/>
      <c r="AN664" s="33"/>
      <c r="AO664" s="33"/>
      <c r="AP664" s="33"/>
    </row>
    <row r="665" spans="1:42" ht="15.75" customHeight="1">
      <c r="A665" s="33"/>
      <c r="B665" s="33"/>
      <c r="C665" s="33"/>
      <c r="D665" s="33"/>
      <c r="E665" s="33"/>
      <c r="F665" s="199"/>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216"/>
      <c r="AN665" s="33"/>
      <c r="AO665" s="33"/>
      <c r="AP665" s="33"/>
    </row>
    <row r="666" spans="1:42" ht="15.75" customHeight="1">
      <c r="A666" s="33"/>
      <c r="B666" s="33"/>
      <c r="C666" s="33"/>
      <c r="D666" s="33"/>
      <c r="E666" s="33"/>
      <c r="F666" s="199"/>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216"/>
      <c r="AN666" s="33"/>
      <c r="AO666" s="33"/>
      <c r="AP666" s="33"/>
    </row>
    <row r="667" spans="1:42" ht="15.75" customHeight="1">
      <c r="A667" s="33"/>
      <c r="B667" s="33"/>
      <c r="C667" s="33"/>
      <c r="D667" s="33"/>
      <c r="E667" s="33"/>
      <c r="F667" s="199"/>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216"/>
      <c r="AN667" s="33"/>
      <c r="AO667" s="33"/>
      <c r="AP667" s="33"/>
    </row>
    <row r="668" spans="1:42" ht="15.75" customHeight="1">
      <c r="A668" s="33"/>
      <c r="B668" s="33"/>
      <c r="C668" s="33"/>
      <c r="D668" s="33"/>
      <c r="E668" s="33"/>
      <c r="F668" s="199"/>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216"/>
      <c r="AN668" s="33"/>
      <c r="AO668" s="33"/>
      <c r="AP668" s="33"/>
    </row>
    <row r="669" spans="1:42" ht="15.75" customHeight="1">
      <c r="A669" s="33"/>
      <c r="B669" s="33"/>
      <c r="C669" s="33"/>
      <c r="D669" s="33"/>
      <c r="E669" s="33"/>
      <c r="F669" s="199"/>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216"/>
      <c r="AN669" s="33"/>
      <c r="AO669" s="33"/>
      <c r="AP669" s="33"/>
    </row>
    <row r="670" spans="1:42" ht="15.75" customHeight="1">
      <c r="A670" s="33"/>
      <c r="B670" s="33"/>
      <c r="C670" s="33"/>
      <c r="D670" s="33"/>
      <c r="E670" s="33"/>
      <c r="F670" s="199"/>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216"/>
      <c r="AN670" s="33"/>
      <c r="AO670" s="33"/>
      <c r="AP670" s="33"/>
    </row>
    <row r="671" spans="1:42" ht="15.75" customHeight="1">
      <c r="A671" s="33"/>
      <c r="B671" s="33"/>
      <c r="C671" s="33"/>
      <c r="D671" s="33"/>
      <c r="E671" s="33"/>
      <c r="F671" s="199"/>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216"/>
      <c r="AN671" s="33"/>
      <c r="AO671" s="33"/>
      <c r="AP671" s="33"/>
    </row>
    <row r="672" spans="1:42" ht="15.75" customHeight="1">
      <c r="A672" s="33"/>
      <c r="B672" s="33"/>
      <c r="C672" s="33"/>
      <c r="D672" s="33"/>
      <c r="E672" s="33"/>
      <c r="F672" s="199"/>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216"/>
      <c r="AN672" s="33"/>
      <c r="AO672" s="33"/>
      <c r="AP672" s="33"/>
    </row>
    <row r="673" spans="1:42" ht="15.75" customHeight="1">
      <c r="A673" s="33"/>
      <c r="B673" s="33"/>
      <c r="C673" s="33"/>
      <c r="D673" s="33"/>
      <c r="E673" s="33"/>
      <c r="F673" s="199"/>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216"/>
      <c r="AN673" s="33"/>
      <c r="AO673" s="33"/>
      <c r="AP673" s="33"/>
    </row>
    <row r="674" spans="1:42" ht="15.75" customHeight="1">
      <c r="A674" s="33"/>
      <c r="B674" s="33"/>
      <c r="C674" s="33"/>
      <c r="D674" s="33"/>
      <c r="E674" s="33"/>
      <c r="F674" s="199"/>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216"/>
      <c r="AN674" s="33"/>
      <c r="AO674" s="33"/>
      <c r="AP674" s="33"/>
    </row>
    <row r="675" spans="1:42" ht="15.75" customHeight="1">
      <c r="A675" s="33"/>
      <c r="B675" s="33"/>
      <c r="C675" s="33"/>
      <c r="D675" s="33"/>
      <c r="E675" s="33"/>
      <c r="F675" s="199"/>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216"/>
      <c r="AN675" s="33"/>
      <c r="AO675" s="33"/>
      <c r="AP675" s="33"/>
    </row>
    <row r="676" spans="1:42" ht="15.75" customHeight="1">
      <c r="A676" s="33"/>
      <c r="B676" s="33"/>
      <c r="C676" s="33"/>
      <c r="D676" s="33"/>
      <c r="E676" s="33"/>
      <c r="F676" s="199"/>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216"/>
      <c r="AN676" s="33"/>
      <c r="AO676" s="33"/>
      <c r="AP676" s="33"/>
    </row>
    <row r="677" spans="1:42" ht="15.75" customHeight="1">
      <c r="A677" s="33"/>
      <c r="B677" s="33"/>
      <c r="C677" s="33"/>
      <c r="D677" s="33"/>
      <c r="E677" s="33"/>
      <c r="F677" s="199"/>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216"/>
      <c r="AN677" s="33"/>
      <c r="AO677" s="33"/>
      <c r="AP677" s="33"/>
    </row>
    <row r="678" spans="1:42" ht="15.75" customHeight="1">
      <c r="A678" s="33"/>
      <c r="B678" s="33"/>
      <c r="C678" s="33"/>
      <c r="D678" s="33"/>
      <c r="E678" s="33"/>
      <c r="F678" s="199"/>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216"/>
      <c r="AN678" s="33"/>
      <c r="AO678" s="33"/>
      <c r="AP678" s="33"/>
    </row>
    <row r="679" spans="1:42" ht="15.75" customHeight="1">
      <c r="A679" s="33"/>
      <c r="B679" s="33"/>
      <c r="C679" s="33"/>
      <c r="D679" s="33"/>
      <c r="E679" s="33"/>
      <c r="F679" s="199"/>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216"/>
      <c r="AN679" s="33"/>
      <c r="AO679" s="33"/>
      <c r="AP679" s="33"/>
    </row>
    <row r="680" spans="1:42" ht="15.75" customHeight="1">
      <c r="A680" s="33"/>
      <c r="B680" s="33"/>
      <c r="C680" s="33"/>
      <c r="D680" s="33"/>
      <c r="E680" s="33"/>
      <c r="F680" s="199"/>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216"/>
      <c r="AN680" s="33"/>
      <c r="AO680" s="33"/>
      <c r="AP680" s="33"/>
    </row>
    <row r="681" spans="1:42" ht="15.75" customHeight="1">
      <c r="A681" s="33"/>
      <c r="B681" s="33"/>
      <c r="C681" s="33"/>
      <c r="D681" s="33"/>
      <c r="E681" s="33"/>
      <c r="F681" s="199"/>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216"/>
      <c r="AN681" s="33"/>
      <c r="AO681" s="33"/>
      <c r="AP681" s="33"/>
    </row>
    <row r="682" spans="1:42" ht="15.75" customHeight="1">
      <c r="A682" s="33"/>
      <c r="B682" s="33"/>
      <c r="C682" s="33"/>
      <c r="D682" s="33"/>
      <c r="E682" s="33"/>
      <c r="F682" s="199"/>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216"/>
      <c r="AN682" s="33"/>
      <c r="AO682" s="33"/>
      <c r="AP682" s="33"/>
    </row>
    <row r="683" spans="1:42" ht="15.75" customHeight="1">
      <c r="A683" s="33"/>
      <c r="B683" s="33"/>
      <c r="C683" s="33"/>
      <c r="D683" s="33"/>
      <c r="E683" s="33"/>
      <c r="F683" s="199"/>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216"/>
      <c r="AN683" s="33"/>
      <c r="AO683" s="33"/>
      <c r="AP683" s="33"/>
    </row>
    <row r="684" spans="1:42" ht="15.75" customHeight="1">
      <c r="A684" s="33"/>
      <c r="B684" s="33"/>
      <c r="C684" s="33"/>
      <c r="D684" s="33"/>
      <c r="E684" s="33"/>
      <c r="F684" s="199"/>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216"/>
      <c r="AN684" s="33"/>
      <c r="AO684" s="33"/>
      <c r="AP684" s="33"/>
    </row>
    <row r="685" spans="1:42" ht="15.75" customHeight="1">
      <c r="A685" s="33"/>
      <c r="B685" s="33"/>
      <c r="C685" s="33"/>
      <c r="D685" s="33"/>
      <c r="E685" s="33"/>
      <c r="F685" s="199"/>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216"/>
      <c r="AN685" s="33"/>
      <c r="AO685" s="33"/>
      <c r="AP685" s="33"/>
    </row>
    <row r="686" spans="1:42" ht="15.75" customHeight="1">
      <c r="A686" s="33"/>
      <c r="B686" s="33"/>
      <c r="C686" s="33"/>
      <c r="D686" s="33"/>
      <c r="E686" s="33"/>
      <c r="F686" s="199"/>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216"/>
      <c r="AN686" s="33"/>
      <c r="AO686" s="33"/>
      <c r="AP686" s="33"/>
    </row>
    <row r="687" spans="1:42" ht="15.75" customHeight="1">
      <c r="A687" s="33"/>
      <c r="B687" s="33"/>
      <c r="C687" s="33"/>
      <c r="D687" s="33"/>
      <c r="E687" s="33"/>
      <c r="F687" s="199"/>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216"/>
      <c r="AN687" s="33"/>
      <c r="AO687" s="33"/>
      <c r="AP687" s="33"/>
    </row>
    <row r="688" spans="1:42" ht="15.75" customHeight="1">
      <c r="A688" s="33"/>
      <c r="B688" s="33"/>
      <c r="C688" s="33"/>
      <c r="D688" s="33"/>
      <c r="E688" s="33"/>
      <c r="F688" s="199"/>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216"/>
      <c r="AN688" s="33"/>
      <c r="AO688" s="33"/>
      <c r="AP688" s="33"/>
    </row>
    <row r="689" spans="1:42" ht="15.75" customHeight="1">
      <c r="A689" s="33"/>
      <c r="B689" s="33"/>
      <c r="C689" s="33"/>
      <c r="D689" s="33"/>
      <c r="E689" s="33"/>
      <c r="F689" s="199"/>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216"/>
      <c r="AN689" s="33"/>
      <c r="AO689" s="33"/>
      <c r="AP689" s="33"/>
    </row>
    <row r="690" spans="1:42" ht="15.75" customHeight="1">
      <c r="A690" s="33"/>
      <c r="B690" s="33"/>
      <c r="C690" s="33"/>
      <c r="D690" s="33"/>
      <c r="E690" s="33"/>
      <c r="F690" s="199"/>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216"/>
      <c r="AN690" s="33"/>
      <c r="AO690" s="33"/>
      <c r="AP690" s="33"/>
    </row>
    <row r="691" spans="1:42" ht="15.75" customHeight="1">
      <c r="A691" s="33"/>
      <c r="B691" s="33"/>
      <c r="C691" s="33"/>
      <c r="D691" s="33"/>
      <c r="E691" s="33"/>
      <c r="F691" s="199"/>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216"/>
      <c r="AN691" s="33"/>
      <c r="AO691" s="33"/>
      <c r="AP691" s="33"/>
    </row>
    <row r="692" spans="1:42" ht="15.75" customHeight="1">
      <c r="A692" s="33"/>
      <c r="B692" s="33"/>
      <c r="C692" s="33"/>
      <c r="D692" s="33"/>
      <c r="E692" s="33"/>
      <c r="F692" s="199"/>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216"/>
      <c r="AN692" s="33"/>
      <c r="AO692" s="33"/>
      <c r="AP692" s="33"/>
    </row>
    <row r="693" spans="1:42" ht="15.75" customHeight="1">
      <c r="A693" s="33"/>
      <c r="B693" s="33"/>
      <c r="C693" s="33"/>
      <c r="D693" s="33"/>
      <c r="E693" s="33"/>
      <c r="F693" s="199"/>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216"/>
      <c r="AN693" s="33"/>
      <c r="AO693" s="33"/>
      <c r="AP693" s="33"/>
    </row>
    <row r="694" spans="1:42" ht="15.75" customHeight="1">
      <c r="A694" s="33"/>
      <c r="B694" s="33"/>
      <c r="C694" s="33"/>
      <c r="D694" s="33"/>
      <c r="E694" s="33"/>
      <c r="F694" s="199"/>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216"/>
      <c r="AN694" s="33"/>
      <c r="AO694" s="33"/>
      <c r="AP694" s="33"/>
    </row>
    <row r="695" spans="1:42" ht="15.75" customHeight="1">
      <c r="A695" s="33"/>
      <c r="B695" s="33"/>
      <c r="C695" s="33"/>
      <c r="D695" s="33"/>
      <c r="E695" s="33"/>
      <c r="F695" s="199"/>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216"/>
      <c r="AN695" s="33"/>
      <c r="AO695" s="33"/>
      <c r="AP695" s="33"/>
    </row>
    <row r="696" spans="1:42" ht="15.75" customHeight="1">
      <c r="A696" s="33"/>
      <c r="B696" s="33"/>
      <c r="C696" s="33"/>
      <c r="D696" s="33"/>
      <c r="E696" s="33"/>
      <c r="F696" s="199"/>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216"/>
      <c r="AN696" s="33"/>
      <c r="AO696" s="33"/>
      <c r="AP696" s="33"/>
    </row>
    <row r="697" spans="1:42" ht="15.75" customHeight="1">
      <c r="A697" s="33"/>
      <c r="B697" s="33"/>
      <c r="C697" s="33"/>
      <c r="D697" s="33"/>
      <c r="E697" s="33"/>
      <c r="F697" s="199"/>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216"/>
      <c r="AN697" s="33"/>
      <c r="AO697" s="33"/>
      <c r="AP697" s="33"/>
    </row>
    <row r="698" spans="1:42" ht="15.75" customHeight="1">
      <c r="A698" s="33"/>
      <c r="B698" s="33"/>
      <c r="C698" s="33"/>
      <c r="D698" s="33"/>
      <c r="E698" s="33"/>
      <c r="F698" s="199"/>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216"/>
      <c r="AN698" s="33"/>
      <c r="AO698" s="33"/>
      <c r="AP698" s="33"/>
    </row>
    <row r="699" spans="1:42" ht="15.75" customHeight="1">
      <c r="A699" s="33"/>
      <c r="B699" s="33"/>
      <c r="C699" s="33"/>
      <c r="D699" s="33"/>
      <c r="E699" s="33"/>
      <c r="F699" s="199"/>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216"/>
      <c r="AN699" s="33"/>
      <c r="AO699" s="33"/>
      <c r="AP699" s="33"/>
    </row>
    <row r="700" spans="1:42" ht="15.75" customHeight="1">
      <c r="A700" s="33"/>
      <c r="B700" s="33"/>
      <c r="C700" s="33"/>
      <c r="D700" s="33"/>
      <c r="E700" s="33"/>
      <c r="F700" s="199"/>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216"/>
      <c r="AN700" s="33"/>
      <c r="AO700" s="33"/>
      <c r="AP700" s="33"/>
    </row>
    <row r="701" spans="1:42" ht="15.75" customHeight="1">
      <c r="A701" s="33"/>
      <c r="B701" s="33"/>
      <c r="C701" s="33"/>
      <c r="D701" s="33"/>
      <c r="E701" s="33"/>
      <c r="F701" s="199"/>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216"/>
      <c r="AN701" s="33"/>
      <c r="AO701" s="33"/>
      <c r="AP701" s="33"/>
    </row>
    <row r="702" spans="1:42" ht="15.75" customHeight="1">
      <c r="A702" s="33"/>
      <c r="B702" s="33"/>
      <c r="C702" s="33"/>
      <c r="D702" s="33"/>
      <c r="E702" s="33"/>
      <c r="F702" s="199"/>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216"/>
      <c r="AN702" s="33"/>
      <c r="AO702" s="33"/>
      <c r="AP702" s="33"/>
    </row>
    <row r="703" spans="1:42" ht="15.75" customHeight="1">
      <c r="A703" s="33"/>
      <c r="B703" s="33"/>
      <c r="C703" s="33"/>
      <c r="D703" s="33"/>
      <c r="E703" s="33"/>
      <c r="F703" s="199"/>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216"/>
      <c r="AN703" s="33"/>
      <c r="AO703" s="33"/>
      <c r="AP703" s="33"/>
    </row>
    <row r="704" spans="1:42" ht="15.75" customHeight="1">
      <c r="A704" s="33"/>
      <c r="B704" s="33"/>
      <c r="C704" s="33"/>
      <c r="D704" s="33"/>
      <c r="E704" s="33"/>
      <c r="F704" s="199"/>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216"/>
      <c r="AN704" s="33"/>
      <c r="AO704" s="33"/>
      <c r="AP704" s="33"/>
    </row>
    <row r="705" spans="1:42" ht="15.75" customHeight="1">
      <c r="A705" s="33"/>
      <c r="B705" s="33"/>
      <c r="C705" s="33"/>
      <c r="D705" s="33"/>
      <c r="E705" s="33"/>
      <c r="F705" s="199"/>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216"/>
      <c r="AN705" s="33"/>
      <c r="AO705" s="33"/>
      <c r="AP705" s="33"/>
    </row>
    <row r="706" spans="1:42" ht="15.75" customHeight="1">
      <c r="A706" s="33"/>
      <c r="B706" s="33"/>
      <c r="C706" s="33"/>
      <c r="D706" s="33"/>
      <c r="E706" s="33"/>
      <c r="F706" s="199"/>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216"/>
      <c r="AN706" s="33"/>
      <c r="AO706" s="33"/>
      <c r="AP706" s="33"/>
    </row>
    <row r="707" spans="1:42" ht="15.75" customHeight="1">
      <c r="A707" s="33"/>
      <c r="B707" s="33"/>
      <c r="C707" s="33"/>
      <c r="D707" s="33"/>
      <c r="E707" s="33"/>
      <c r="F707" s="199"/>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216"/>
      <c r="AN707" s="33"/>
      <c r="AO707" s="33"/>
      <c r="AP707" s="33"/>
    </row>
    <row r="708" spans="1:42" ht="15.75" customHeight="1">
      <c r="A708" s="33"/>
      <c r="B708" s="33"/>
      <c r="C708" s="33"/>
      <c r="D708" s="33"/>
      <c r="E708" s="33"/>
      <c r="F708" s="199"/>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216"/>
      <c r="AN708" s="33"/>
      <c r="AO708" s="33"/>
      <c r="AP708" s="33"/>
    </row>
    <row r="709" spans="1:42" ht="15.75" customHeight="1">
      <c r="A709" s="33"/>
      <c r="B709" s="33"/>
      <c r="C709" s="33"/>
      <c r="D709" s="33"/>
      <c r="E709" s="33"/>
      <c r="F709" s="199"/>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216"/>
      <c r="AN709" s="33"/>
      <c r="AO709" s="33"/>
      <c r="AP709" s="33"/>
    </row>
    <row r="710" spans="1:42" ht="15.75" customHeight="1">
      <c r="A710" s="33"/>
      <c r="B710" s="33"/>
      <c r="C710" s="33"/>
      <c r="D710" s="33"/>
      <c r="E710" s="33"/>
      <c r="F710" s="199"/>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216"/>
      <c r="AN710" s="33"/>
      <c r="AO710" s="33"/>
      <c r="AP710" s="33"/>
    </row>
    <row r="711" spans="1:42" ht="15.75" customHeight="1">
      <c r="A711" s="33"/>
      <c r="B711" s="33"/>
      <c r="C711" s="33"/>
      <c r="D711" s="33"/>
      <c r="E711" s="33"/>
      <c r="F711" s="199"/>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216"/>
      <c r="AN711" s="33"/>
      <c r="AO711" s="33"/>
      <c r="AP711" s="33"/>
    </row>
    <row r="712" spans="1:42" ht="15.75" customHeight="1">
      <c r="A712" s="33"/>
      <c r="B712" s="33"/>
      <c r="C712" s="33"/>
      <c r="D712" s="33"/>
      <c r="E712" s="33"/>
      <c r="F712" s="199"/>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216"/>
      <c r="AN712" s="33"/>
      <c r="AO712" s="33"/>
      <c r="AP712" s="33"/>
    </row>
    <row r="713" spans="1:42" ht="15.75" customHeight="1">
      <c r="A713" s="33"/>
      <c r="B713" s="33"/>
      <c r="C713" s="33"/>
      <c r="D713" s="33"/>
      <c r="E713" s="33"/>
      <c r="F713" s="199"/>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216"/>
      <c r="AN713" s="33"/>
      <c r="AO713" s="33"/>
      <c r="AP713" s="33"/>
    </row>
    <row r="714" spans="1:42" ht="15.75" customHeight="1">
      <c r="A714" s="33"/>
      <c r="B714" s="33"/>
      <c r="C714" s="33"/>
      <c r="D714" s="33"/>
      <c r="E714" s="33"/>
      <c r="F714" s="199"/>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216"/>
      <c r="AN714" s="33"/>
      <c r="AO714" s="33"/>
      <c r="AP714" s="33"/>
    </row>
    <row r="715" spans="1:42" ht="15.75" customHeight="1">
      <c r="A715" s="33"/>
      <c r="B715" s="33"/>
      <c r="C715" s="33"/>
      <c r="D715" s="33"/>
      <c r="E715" s="33"/>
      <c r="F715" s="199"/>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216"/>
      <c r="AN715" s="33"/>
      <c r="AO715" s="33"/>
      <c r="AP715" s="33"/>
    </row>
    <row r="716" spans="1:42" ht="15.75" customHeight="1">
      <c r="A716" s="33"/>
      <c r="B716" s="33"/>
      <c r="C716" s="33"/>
      <c r="D716" s="33"/>
      <c r="E716" s="33"/>
      <c r="F716" s="199"/>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216"/>
      <c r="AN716" s="33"/>
      <c r="AO716" s="33"/>
      <c r="AP716" s="33"/>
    </row>
    <row r="717" spans="1:42" ht="15.75" customHeight="1">
      <c r="A717" s="33"/>
      <c r="B717" s="33"/>
      <c r="C717" s="33"/>
      <c r="D717" s="33"/>
      <c r="E717" s="33"/>
      <c r="F717" s="199"/>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216"/>
      <c r="AN717" s="33"/>
      <c r="AO717" s="33"/>
      <c r="AP717" s="33"/>
    </row>
    <row r="718" spans="1:42" ht="15.75" customHeight="1">
      <c r="A718" s="33"/>
      <c r="B718" s="33"/>
      <c r="C718" s="33"/>
      <c r="D718" s="33"/>
      <c r="E718" s="33"/>
      <c r="F718" s="199"/>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216"/>
      <c r="AN718" s="33"/>
      <c r="AO718" s="33"/>
      <c r="AP718" s="33"/>
    </row>
    <row r="719" spans="1:42" ht="15.75" customHeight="1">
      <c r="A719" s="33"/>
      <c r="B719" s="33"/>
      <c r="C719" s="33"/>
      <c r="D719" s="33"/>
      <c r="E719" s="33"/>
      <c r="F719" s="199"/>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216"/>
      <c r="AN719" s="33"/>
      <c r="AO719" s="33"/>
      <c r="AP719" s="33"/>
    </row>
    <row r="720" spans="1:42" ht="15.75" customHeight="1">
      <c r="A720" s="33"/>
      <c r="B720" s="33"/>
      <c r="C720" s="33"/>
      <c r="D720" s="33"/>
      <c r="E720" s="33"/>
      <c r="F720" s="199"/>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216"/>
      <c r="AN720" s="33"/>
      <c r="AO720" s="33"/>
      <c r="AP720" s="33"/>
    </row>
    <row r="721" spans="1:42" ht="15.75" customHeight="1">
      <c r="A721" s="33"/>
      <c r="B721" s="33"/>
      <c r="C721" s="33"/>
      <c r="D721" s="33"/>
      <c r="E721" s="33"/>
      <c r="F721" s="199"/>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216"/>
      <c r="AN721" s="33"/>
      <c r="AO721" s="33"/>
      <c r="AP721" s="33"/>
    </row>
    <row r="722" spans="1:42" ht="15.75" customHeight="1">
      <c r="A722" s="33"/>
      <c r="B722" s="33"/>
      <c r="C722" s="33"/>
      <c r="D722" s="33"/>
      <c r="E722" s="33"/>
      <c r="F722" s="199"/>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216"/>
      <c r="AN722" s="33"/>
      <c r="AO722" s="33"/>
      <c r="AP722" s="33"/>
    </row>
    <row r="723" spans="1:42" ht="15.75" customHeight="1">
      <c r="A723" s="33"/>
      <c r="B723" s="33"/>
      <c r="C723" s="33"/>
      <c r="D723" s="33"/>
      <c r="E723" s="33"/>
      <c r="F723" s="199"/>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216"/>
      <c r="AN723" s="33"/>
      <c r="AO723" s="33"/>
      <c r="AP723" s="33"/>
    </row>
    <row r="724" spans="1:42" ht="15.75" customHeight="1">
      <c r="A724" s="33"/>
      <c r="B724" s="33"/>
      <c r="C724" s="33"/>
      <c r="D724" s="33"/>
      <c r="E724" s="33"/>
      <c r="F724" s="199"/>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216"/>
      <c r="AN724" s="33"/>
      <c r="AO724" s="33"/>
      <c r="AP724" s="33"/>
    </row>
    <row r="725" spans="1:42" ht="15.75" customHeight="1">
      <c r="A725" s="33"/>
      <c r="B725" s="33"/>
      <c r="C725" s="33"/>
      <c r="D725" s="33"/>
      <c r="E725" s="33"/>
      <c r="F725" s="199"/>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216"/>
      <c r="AN725" s="33"/>
      <c r="AO725" s="33"/>
      <c r="AP725" s="33"/>
    </row>
    <row r="726" spans="1:42" ht="15.75" customHeight="1">
      <c r="A726" s="33"/>
      <c r="B726" s="33"/>
      <c r="C726" s="33"/>
      <c r="D726" s="33"/>
      <c r="E726" s="33"/>
      <c r="F726" s="199"/>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216"/>
      <c r="AN726" s="33"/>
      <c r="AO726" s="33"/>
      <c r="AP726" s="33"/>
    </row>
    <row r="727" spans="1:42" ht="15.75" customHeight="1">
      <c r="A727" s="33"/>
      <c r="B727" s="33"/>
      <c r="C727" s="33"/>
      <c r="D727" s="33"/>
      <c r="E727" s="33"/>
      <c r="F727" s="199"/>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216"/>
      <c r="AN727" s="33"/>
      <c r="AO727" s="33"/>
      <c r="AP727" s="33"/>
    </row>
    <row r="728" spans="1:42" ht="15.75" customHeight="1">
      <c r="A728" s="33"/>
      <c r="B728" s="33"/>
      <c r="C728" s="33"/>
      <c r="D728" s="33"/>
      <c r="E728" s="33"/>
      <c r="F728" s="199"/>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216"/>
      <c r="AN728" s="33"/>
      <c r="AO728" s="33"/>
      <c r="AP728" s="33"/>
    </row>
    <row r="729" spans="1:42" ht="15.75" customHeight="1">
      <c r="A729" s="33"/>
      <c r="B729" s="33"/>
      <c r="C729" s="33"/>
      <c r="D729" s="33"/>
      <c r="E729" s="33"/>
      <c r="F729" s="199"/>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216"/>
      <c r="AN729" s="33"/>
      <c r="AO729" s="33"/>
      <c r="AP729" s="33"/>
    </row>
    <row r="730" spans="1:42" ht="15.75" customHeight="1">
      <c r="A730" s="33"/>
      <c r="B730" s="33"/>
      <c r="C730" s="33"/>
      <c r="D730" s="33"/>
      <c r="E730" s="33"/>
      <c r="F730" s="199"/>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216"/>
      <c r="AN730" s="33"/>
      <c r="AO730" s="33"/>
      <c r="AP730" s="33"/>
    </row>
    <row r="731" spans="1:42" ht="15.75" customHeight="1">
      <c r="A731" s="33"/>
      <c r="B731" s="33"/>
      <c r="C731" s="33"/>
      <c r="D731" s="33"/>
      <c r="E731" s="33"/>
      <c r="F731" s="199"/>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216"/>
      <c r="AN731" s="33"/>
      <c r="AO731" s="33"/>
      <c r="AP731" s="33"/>
    </row>
    <row r="732" spans="1:42" ht="15.75" customHeight="1">
      <c r="A732" s="33"/>
      <c r="B732" s="33"/>
      <c r="C732" s="33"/>
      <c r="D732" s="33"/>
      <c r="E732" s="33"/>
      <c r="F732" s="199"/>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216"/>
      <c r="AN732" s="33"/>
      <c r="AO732" s="33"/>
      <c r="AP732" s="33"/>
    </row>
    <row r="733" spans="1:42" ht="15.75" customHeight="1">
      <c r="A733" s="33"/>
      <c r="B733" s="33"/>
      <c r="C733" s="33"/>
      <c r="D733" s="33"/>
      <c r="E733" s="33"/>
      <c r="F733" s="199"/>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216"/>
      <c r="AN733" s="33"/>
      <c r="AO733" s="33"/>
      <c r="AP733" s="33"/>
    </row>
    <row r="734" spans="1:42" ht="15.75" customHeight="1">
      <c r="A734" s="33"/>
      <c r="B734" s="33"/>
      <c r="C734" s="33"/>
      <c r="D734" s="33"/>
      <c r="E734" s="33"/>
      <c r="F734" s="199"/>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216"/>
      <c r="AN734" s="33"/>
      <c r="AO734" s="33"/>
      <c r="AP734" s="33"/>
    </row>
    <row r="735" spans="1:42" ht="15.75" customHeight="1">
      <c r="A735" s="33"/>
      <c r="B735" s="33"/>
      <c r="C735" s="33"/>
      <c r="D735" s="33"/>
      <c r="E735" s="33"/>
      <c r="F735" s="199"/>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216"/>
      <c r="AN735" s="33"/>
      <c r="AO735" s="33"/>
      <c r="AP735" s="33"/>
    </row>
    <row r="736" spans="1:42" ht="15.75" customHeight="1">
      <c r="A736" s="33"/>
      <c r="B736" s="33"/>
      <c r="C736" s="33"/>
      <c r="D736" s="33"/>
      <c r="E736" s="33"/>
      <c r="F736" s="199"/>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216"/>
      <c r="AN736" s="33"/>
      <c r="AO736" s="33"/>
      <c r="AP736" s="33"/>
    </row>
    <row r="737" spans="1:42" ht="15.75" customHeight="1">
      <c r="A737" s="33"/>
      <c r="B737" s="33"/>
      <c r="C737" s="33"/>
      <c r="D737" s="33"/>
      <c r="E737" s="33"/>
      <c r="F737" s="199"/>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216"/>
      <c r="AN737" s="33"/>
      <c r="AO737" s="33"/>
      <c r="AP737" s="33"/>
    </row>
    <row r="738" spans="1:42" ht="15.75" customHeight="1">
      <c r="A738" s="33"/>
      <c r="B738" s="33"/>
      <c r="C738" s="33"/>
      <c r="D738" s="33"/>
      <c r="E738" s="33"/>
      <c r="F738" s="199"/>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216"/>
      <c r="AN738" s="33"/>
      <c r="AO738" s="33"/>
      <c r="AP738" s="33"/>
    </row>
    <row r="739" spans="1:42" ht="15.75" customHeight="1">
      <c r="A739" s="33"/>
      <c r="B739" s="33"/>
      <c r="C739" s="33"/>
      <c r="D739" s="33"/>
      <c r="E739" s="33"/>
      <c r="F739" s="199"/>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216"/>
      <c r="AN739" s="33"/>
      <c r="AO739" s="33"/>
      <c r="AP739" s="33"/>
    </row>
    <row r="740" spans="1:42" ht="15.75" customHeight="1">
      <c r="A740" s="33"/>
      <c r="B740" s="33"/>
      <c r="C740" s="33"/>
      <c r="D740" s="33"/>
      <c r="E740" s="33"/>
      <c r="F740" s="199"/>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216"/>
      <c r="AN740" s="33"/>
      <c r="AO740" s="33"/>
      <c r="AP740" s="33"/>
    </row>
    <row r="741" spans="1:42" ht="15.75" customHeight="1">
      <c r="A741" s="33"/>
      <c r="B741" s="33"/>
      <c r="C741" s="33"/>
      <c r="D741" s="33"/>
      <c r="E741" s="33"/>
      <c r="F741" s="199"/>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216"/>
      <c r="AN741" s="33"/>
      <c r="AO741" s="33"/>
      <c r="AP741" s="33"/>
    </row>
    <row r="742" spans="1:42" ht="15.75" customHeight="1">
      <c r="A742" s="33"/>
      <c r="B742" s="33"/>
      <c r="C742" s="33"/>
      <c r="D742" s="33"/>
      <c r="E742" s="33"/>
      <c r="F742" s="199"/>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216"/>
      <c r="AN742" s="33"/>
      <c r="AO742" s="33"/>
      <c r="AP742" s="33"/>
    </row>
    <row r="743" spans="1:42" ht="15.75" customHeight="1">
      <c r="A743" s="33"/>
      <c r="B743" s="33"/>
      <c r="C743" s="33"/>
      <c r="D743" s="33"/>
      <c r="E743" s="33"/>
      <c r="F743" s="199"/>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216"/>
      <c r="AN743" s="33"/>
      <c r="AO743" s="33"/>
      <c r="AP743" s="33"/>
    </row>
    <row r="744" spans="1:42" ht="15.75" customHeight="1">
      <c r="A744" s="33"/>
      <c r="B744" s="33"/>
      <c r="C744" s="33"/>
      <c r="D744" s="33"/>
      <c r="E744" s="33"/>
      <c r="F744" s="199"/>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216"/>
      <c r="AN744" s="33"/>
      <c r="AO744" s="33"/>
      <c r="AP744" s="33"/>
    </row>
    <row r="745" spans="1:42" ht="15.75" customHeight="1">
      <c r="A745" s="33"/>
      <c r="B745" s="33"/>
      <c r="C745" s="33"/>
      <c r="D745" s="33"/>
      <c r="E745" s="33"/>
      <c r="F745" s="199"/>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216"/>
      <c r="AN745" s="33"/>
      <c r="AO745" s="33"/>
      <c r="AP745" s="33"/>
    </row>
    <row r="746" spans="1:42" ht="15.75" customHeight="1">
      <c r="A746" s="33"/>
      <c r="B746" s="33"/>
      <c r="C746" s="33"/>
      <c r="D746" s="33"/>
      <c r="E746" s="33"/>
      <c r="F746" s="199"/>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216"/>
      <c r="AN746" s="33"/>
      <c r="AO746" s="33"/>
      <c r="AP746" s="33"/>
    </row>
    <row r="747" spans="1:42" ht="15.75" customHeight="1">
      <c r="A747" s="33"/>
      <c r="B747" s="33"/>
      <c r="C747" s="33"/>
      <c r="D747" s="33"/>
      <c r="E747" s="33"/>
      <c r="F747" s="199"/>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216"/>
      <c r="AN747" s="33"/>
      <c r="AO747" s="33"/>
      <c r="AP747" s="33"/>
    </row>
    <row r="748" spans="1:42" ht="15.75" customHeight="1">
      <c r="A748" s="33"/>
      <c r="B748" s="33"/>
      <c r="C748" s="33"/>
      <c r="D748" s="33"/>
      <c r="E748" s="33"/>
      <c r="F748" s="199"/>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216"/>
      <c r="AN748" s="33"/>
      <c r="AO748" s="33"/>
      <c r="AP748" s="33"/>
    </row>
    <row r="749" spans="1:42" ht="15.75" customHeight="1">
      <c r="A749" s="33"/>
      <c r="B749" s="33"/>
      <c r="C749" s="33"/>
      <c r="D749" s="33"/>
      <c r="E749" s="33"/>
      <c r="F749" s="199"/>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216"/>
      <c r="AN749" s="33"/>
      <c r="AO749" s="33"/>
      <c r="AP749" s="33"/>
    </row>
    <row r="750" spans="1:42" ht="15.75" customHeight="1">
      <c r="A750" s="33"/>
      <c r="B750" s="33"/>
      <c r="C750" s="33"/>
      <c r="D750" s="33"/>
      <c r="E750" s="33"/>
      <c r="F750" s="199"/>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216"/>
      <c r="AN750" s="33"/>
      <c r="AO750" s="33"/>
      <c r="AP750" s="33"/>
    </row>
    <row r="751" spans="1:42" ht="15.75" customHeight="1">
      <c r="A751" s="33"/>
      <c r="B751" s="33"/>
      <c r="C751" s="33"/>
      <c r="D751" s="33"/>
      <c r="E751" s="33"/>
      <c r="F751" s="199"/>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216"/>
      <c r="AN751" s="33"/>
      <c r="AO751" s="33"/>
      <c r="AP751" s="33"/>
    </row>
    <row r="752" spans="1:42" ht="15.75" customHeight="1">
      <c r="A752" s="33"/>
      <c r="B752" s="33"/>
      <c r="C752" s="33"/>
      <c r="D752" s="33"/>
      <c r="E752" s="33"/>
      <c r="F752" s="199"/>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216"/>
      <c r="AN752" s="33"/>
      <c r="AO752" s="33"/>
      <c r="AP752" s="33"/>
    </row>
    <row r="753" spans="1:42" ht="15.75" customHeight="1">
      <c r="A753" s="33"/>
      <c r="B753" s="33"/>
      <c r="C753" s="33"/>
      <c r="D753" s="33"/>
      <c r="E753" s="33"/>
      <c r="F753" s="199"/>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216"/>
      <c r="AN753" s="33"/>
      <c r="AO753" s="33"/>
      <c r="AP753" s="33"/>
    </row>
    <row r="754" spans="1:42" ht="15.75" customHeight="1">
      <c r="A754" s="33"/>
      <c r="B754" s="33"/>
      <c r="C754" s="33"/>
      <c r="D754" s="33"/>
      <c r="E754" s="33"/>
      <c r="F754" s="199"/>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216"/>
      <c r="AN754" s="33"/>
      <c r="AO754" s="33"/>
      <c r="AP754" s="33"/>
    </row>
    <row r="755" spans="1:42" ht="15.75" customHeight="1">
      <c r="A755" s="33"/>
      <c r="B755" s="33"/>
      <c r="C755" s="33"/>
      <c r="D755" s="33"/>
      <c r="E755" s="33"/>
      <c r="F755" s="199"/>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216"/>
      <c r="AN755" s="33"/>
      <c r="AO755" s="33"/>
      <c r="AP755" s="33"/>
    </row>
    <row r="756" spans="1:42" ht="15.75" customHeight="1">
      <c r="A756" s="33"/>
      <c r="B756" s="33"/>
      <c r="C756" s="33"/>
      <c r="D756" s="33"/>
      <c r="E756" s="33"/>
      <c r="F756" s="199"/>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216"/>
      <c r="AN756" s="33"/>
      <c r="AO756" s="33"/>
      <c r="AP756" s="33"/>
    </row>
    <row r="757" spans="1:42" ht="15.75" customHeight="1">
      <c r="A757" s="33"/>
      <c r="B757" s="33"/>
      <c r="C757" s="33"/>
      <c r="D757" s="33"/>
      <c r="E757" s="33"/>
      <c r="F757" s="199"/>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216"/>
      <c r="AN757" s="33"/>
      <c r="AO757" s="33"/>
      <c r="AP757" s="33"/>
    </row>
    <row r="758" spans="1:42" ht="15.75" customHeight="1">
      <c r="A758" s="33"/>
      <c r="B758" s="33"/>
      <c r="C758" s="33"/>
      <c r="D758" s="33"/>
      <c r="E758" s="33"/>
      <c r="F758" s="199"/>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216"/>
      <c r="AN758" s="33"/>
      <c r="AO758" s="33"/>
      <c r="AP758" s="33"/>
    </row>
    <row r="759" spans="1:42" ht="15.75" customHeight="1">
      <c r="A759" s="33"/>
      <c r="B759" s="33"/>
      <c r="C759" s="33"/>
      <c r="D759" s="33"/>
      <c r="E759" s="33"/>
      <c r="F759" s="199"/>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216"/>
      <c r="AN759" s="33"/>
      <c r="AO759" s="33"/>
      <c r="AP759" s="33"/>
    </row>
    <row r="760" spans="1:42" ht="15.75" customHeight="1">
      <c r="A760" s="33"/>
      <c r="B760" s="33"/>
      <c r="C760" s="33"/>
      <c r="D760" s="33"/>
      <c r="E760" s="33"/>
      <c r="F760" s="199"/>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216"/>
      <c r="AN760" s="33"/>
      <c r="AO760" s="33"/>
      <c r="AP760" s="33"/>
    </row>
    <row r="761" spans="1:42" ht="15.75" customHeight="1">
      <c r="A761" s="33"/>
      <c r="B761" s="33"/>
      <c r="C761" s="33"/>
      <c r="D761" s="33"/>
      <c r="E761" s="33"/>
      <c r="F761" s="199"/>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216"/>
      <c r="AN761" s="33"/>
      <c r="AO761" s="33"/>
      <c r="AP761" s="33"/>
    </row>
    <row r="762" spans="1:42" ht="15.75" customHeight="1">
      <c r="A762" s="33"/>
      <c r="B762" s="33"/>
      <c r="C762" s="33"/>
      <c r="D762" s="33"/>
      <c r="E762" s="33"/>
      <c r="F762" s="199"/>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216"/>
      <c r="AN762" s="33"/>
      <c r="AO762" s="33"/>
      <c r="AP762" s="33"/>
    </row>
    <row r="763" spans="1:42" ht="15.75" customHeight="1">
      <c r="A763" s="33"/>
      <c r="B763" s="33"/>
      <c r="C763" s="33"/>
      <c r="D763" s="33"/>
      <c r="E763" s="33"/>
      <c r="F763" s="199"/>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216"/>
      <c r="AN763" s="33"/>
      <c r="AO763" s="33"/>
      <c r="AP763" s="33"/>
    </row>
    <row r="764" spans="1:42" ht="15.75" customHeight="1">
      <c r="A764" s="33"/>
      <c r="B764" s="33"/>
      <c r="C764" s="33"/>
      <c r="D764" s="33"/>
      <c r="E764" s="33"/>
      <c r="F764" s="199"/>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216"/>
      <c r="AN764" s="33"/>
      <c r="AO764" s="33"/>
      <c r="AP764" s="33"/>
    </row>
    <row r="765" spans="1:42" ht="15.75" customHeight="1">
      <c r="A765" s="33"/>
      <c r="B765" s="33"/>
      <c r="C765" s="33"/>
      <c r="D765" s="33"/>
      <c r="E765" s="33"/>
      <c r="F765" s="199"/>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216"/>
      <c r="AN765" s="33"/>
      <c r="AO765" s="33"/>
      <c r="AP765" s="33"/>
    </row>
    <row r="766" spans="1:42" ht="15.75" customHeight="1">
      <c r="A766" s="33"/>
      <c r="B766" s="33"/>
      <c r="C766" s="33"/>
      <c r="D766" s="33"/>
      <c r="E766" s="33"/>
      <c r="F766" s="199"/>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216"/>
      <c r="AN766" s="33"/>
      <c r="AO766" s="33"/>
      <c r="AP766" s="33"/>
    </row>
    <row r="767" spans="1:42" ht="15.75" customHeight="1">
      <c r="A767" s="33"/>
      <c r="B767" s="33"/>
      <c r="C767" s="33"/>
      <c r="D767" s="33"/>
      <c r="E767" s="33"/>
      <c r="F767" s="199"/>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216"/>
      <c r="AN767" s="33"/>
      <c r="AO767" s="33"/>
      <c r="AP767" s="33"/>
    </row>
    <row r="768" spans="1:42" ht="15.75" customHeight="1">
      <c r="A768" s="33"/>
      <c r="B768" s="33"/>
      <c r="C768" s="33"/>
      <c r="D768" s="33"/>
      <c r="E768" s="33"/>
      <c r="F768" s="199"/>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216"/>
      <c r="AN768" s="33"/>
      <c r="AO768" s="33"/>
      <c r="AP768" s="33"/>
    </row>
    <row r="769" spans="1:42" ht="15.75" customHeight="1">
      <c r="A769" s="33"/>
      <c r="B769" s="33"/>
      <c r="C769" s="33"/>
      <c r="D769" s="33"/>
      <c r="E769" s="33"/>
      <c r="F769" s="199"/>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216"/>
      <c r="AN769" s="33"/>
      <c r="AO769" s="33"/>
      <c r="AP769" s="33"/>
    </row>
    <row r="770" spans="1:42" ht="15.75" customHeight="1">
      <c r="A770" s="33"/>
      <c r="B770" s="33"/>
      <c r="C770" s="33"/>
      <c r="D770" s="33"/>
      <c r="E770" s="33"/>
      <c r="F770" s="199"/>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216"/>
      <c r="AN770" s="33"/>
      <c r="AO770" s="33"/>
      <c r="AP770" s="33"/>
    </row>
    <row r="771" spans="1:42" ht="15.75" customHeight="1">
      <c r="A771" s="33"/>
      <c r="B771" s="33"/>
      <c r="C771" s="33"/>
      <c r="D771" s="33"/>
      <c r="E771" s="33"/>
      <c r="F771" s="199"/>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216"/>
      <c r="AN771" s="33"/>
      <c r="AO771" s="33"/>
      <c r="AP771" s="33"/>
    </row>
    <row r="772" spans="1:42" ht="15.75" customHeight="1">
      <c r="A772" s="33"/>
      <c r="B772" s="33"/>
      <c r="C772" s="33"/>
      <c r="D772" s="33"/>
      <c r="E772" s="33"/>
      <c r="F772" s="199"/>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216"/>
      <c r="AN772" s="33"/>
      <c r="AO772" s="33"/>
      <c r="AP772" s="33"/>
    </row>
    <row r="773" spans="1:42" ht="15.75" customHeight="1">
      <c r="A773" s="33"/>
      <c r="B773" s="33"/>
      <c r="C773" s="33"/>
      <c r="D773" s="33"/>
      <c r="E773" s="33"/>
      <c r="F773" s="199"/>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216"/>
      <c r="AN773" s="33"/>
      <c r="AO773" s="33"/>
      <c r="AP773" s="33"/>
    </row>
    <row r="774" spans="1:42" ht="15.75" customHeight="1">
      <c r="A774" s="33"/>
      <c r="B774" s="33"/>
      <c r="C774" s="33"/>
      <c r="D774" s="33"/>
      <c r="E774" s="33"/>
      <c r="F774" s="199"/>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216"/>
      <c r="AN774" s="33"/>
      <c r="AO774" s="33"/>
      <c r="AP774" s="33"/>
    </row>
    <row r="775" spans="1:42" ht="15.75" customHeight="1">
      <c r="A775" s="33"/>
      <c r="B775" s="33"/>
      <c r="C775" s="33"/>
      <c r="D775" s="33"/>
      <c r="E775" s="33"/>
      <c r="F775" s="199"/>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216"/>
      <c r="AN775" s="33"/>
      <c r="AO775" s="33"/>
      <c r="AP775" s="33"/>
    </row>
    <row r="776" spans="1:42" ht="15.75" customHeight="1">
      <c r="A776" s="33"/>
      <c r="B776" s="33"/>
      <c r="C776" s="33"/>
      <c r="D776" s="33"/>
      <c r="E776" s="33"/>
      <c r="F776" s="199"/>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216"/>
      <c r="AN776" s="33"/>
      <c r="AO776" s="33"/>
      <c r="AP776" s="33"/>
    </row>
    <row r="777" spans="1:42" ht="15.75" customHeight="1">
      <c r="A777" s="33"/>
      <c r="B777" s="33"/>
      <c r="C777" s="33"/>
      <c r="D777" s="33"/>
      <c r="E777" s="33"/>
      <c r="F777" s="199"/>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216"/>
      <c r="AN777" s="33"/>
      <c r="AO777" s="33"/>
      <c r="AP777" s="33"/>
    </row>
    <row r="778" spans="1:42" ht="15.75" customHeight="1">
      <c r="A778" s="33"/>
      <c r="B778" s="33"/>
      <c r="C778" s="33"/>
      <c r="D778" s="33"/>
      <c r="E778" s="33"/>
      <c r="F778" s="199"/>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216"/>
      <c r="AN778" s="33"/>
      <c r="AO778" s="33"/>
      <c r="AP778" s="33"/>
    </row>
    <row r="779" spans="1:42" ht="15.75" customHeight="1">
      <c r="A779" s="33"/>
      <c r="B779" s="33"/>
      <c r="C779" s="33"/>
      <c r="D779" s="33"/>
      <c r="E779" s="33"/>
      <c r="F779" s="199"/>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216"/>
      <c r="AN779" s="33"/>
      <c r="AO779" s="33"/>
      <c r="AP779" s="33"/>
    </row>
    <row r="780" spans="1:42" ht="15.75" customHeight="1">
      <c r="A780" s="33"/>
      <c r="B780" s="33"/>
      <c r="C780" s="33"/>
      <c r="D780" s="33"/>
      <c r="E780" s="33"/>
      <c r="F780" s="199"/>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216"/>
      <c r="AN780" s="33"/>
      <c r="AO780" s="33"/>
      <c r="AP780" s="33"/>
    </row>
    <row r="781" spans="1:42" ht="15.75" customHeight="1">
      <c r="A781" s="33"/>
      <c r="B781" s="33"/>
      <c r="C781" s="33"/>
      <c r="D781" s="33"/>
      <c r="E781" s="33"/>
      <c r="F781" s="199"/>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216"/>
      <c r="AN781" s="33"/>
      <c r="AO781" s="33"/>
      <c r="AP781" s="33"/>
    </row>
    <row r="782" spans="1:42" ht="15.75" customHeight="1">
      <c r="A782" s="33"/>
      <c r="B782" s="33"/>
      <c r="C782" s="33"/>
      <c r="D782" s="33"/>
      <c r="E782" s="33"/>
      <c r="F782" s="199"/>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216"/>
      <c r="AN782" s="33"/>
      <c r="AO782" s="33"/>
      <c r="AP782" s="33"/>
    </row>
    <row r="783" spans="1:42" ht="15.75" customHeight="1">
      <c r="A783" s="33"/>
      <c r="B783" s="33"/>
      <c r="C783" s="33"/>
      <c r="D783" s="33"/>
      <c r="E783" s="33"/>
      <c r="F783" s="199"/>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216"/>
      <c r="AN783" s="33"/>
      <c r="AO783" s="33"/>
      <c r="AP783" s="33"/>
    </row>
    <row r="784" spans="1:42" ht="15.75" customHeight="1">
      <c r="A784" s="33"/>
      <c r="B784" s="33"/>
      <c r="C784" s="33"/>
      <c r="D784" s="33"/>
      <c r="E784" s="33"/>
      <c r="F784" s="199"/>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216"/>
      <c r="AN784" s="33"/>
      <c r="AO784" s="33"/>
      <c r="AP784" s="33"/>
    </row>
    <row r="785" spans="1:42" ht="15.75" customHeight="1">
      <c r="A785" s="33"/>
      <c r="B785" s="33"/>
      <c r="C785" s="33"/>
      <c r="D785" s="33"/>
      <c r="E785" s="33"/>
      <c r="F785" s="199"/>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216"/>
      <c r="AN785" s="33"/>
      <c r="AO785" s="33"/>
      <c r="AP785" s="33"/>
    </row>
    <row r="786" spans="1:42" ht="15.75" customHeight="1">
      <c r="A786" s="33"/>
      <c r="B786" s="33"/>
      <c r="C786" s="33"/>
      <c r="D786" s="33"/>
      <c r="E786" s="33"/>
      <c r="F786" s="199"/>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216"/>
      <c r="AN786" s="33"/>
      <c r="AO786" s="33"/>
      <c r="AP786" s="33"/>
    </row>
    <row r="787" spans="1:42" ht="15.75" customHeight="1">
      <c r="A787" s="33"/>
      <c r="B787" s="33"/>
      <c r="C787" s="33"/>
      <c r="D787" s="33"/>
      <c r="E787" s="33"/>
      <c r="F787" s="199"/>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216"/>
      <c r="AN787" s="33"/>
      <c r="AO787" s="33"/>
      <c r="AP787" s="33"/>
    </row>
    <row r="788" spans="1:42" ht="15.75" customHeight="1">
      <c r="A788" s="33"/>
      <c r="B788" s="33"/>
      <c r="C788" s="33"/>
      <c r="D788" s="33"/>
      <c r="E788" s="33"/>
      <c r="F788" s="199"/>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216"/>
      <c r="AN788" s="33"/>
      <c r="AO788" s="33"/>
      <c r="AP788" s="33"/>
    </row>
    <row r="789" spans="1:42" ht="15.75" customHeight="1">
      <c r="A789" s="33"/>
      <c r="B789" s="33"/>
      <c r="C789" s="33"/>
      <c r="D789" s="33"/>
      <c r="E789" s="33"/>
      <c r="F789" s="199"/>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216"/>
      <c r="AN789" s="33"/>
      <c r="AO789" s="33"/>
      <c r="AP789" s="33"/>
    </row>
    <row r="790" spans="1:42" ht="15.75" customHeight="1">
      <c r="A790" s="33"/>
      <c r="B790" s="33"/>
      <c r="C790" s="33"/>
      <c r="D790" s="33"/>
      <c r="E790" s="33"/>
      <c r="F790" s="199"/>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216"/>
      <c r="AN790" s="33"/>
      <c r="AO790" s="33"/>
      <c r="AP790" s="33"/>
    </row>
    <row r="791" spans="1:42" ht="15.75" customHeight="1">
      <c r="A791" s="33"/>
      <c r="B791" s="33"/>
      <c r="C791" s="33"/>
      <c r="D791" s="33"/>
      <c r="E791" s="33"/>
      <c r="F791" s="199"/>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216"/>
      <c r="AN791" s="33"/>
      <c r="AO791" s="33"/>
      <c r="AP791" s="33"/>
    </row>
    <row r="792" spans="1:42" ht="15.75" customHeight="1">
      <c r="A792" s="33"/>
      <c r="B792" s="33"/>
      <c r="C792" s="33"/>
      <c r="D792" s="33"/>
      <c r="E792" s="33"/>
      <c r="F792" s="199"/>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216"/>
      <c r="AN792" s="33"/>
      <c r="AO792" s="33"/>
      <c r="AP792" s="33"/>
    </row>
    <row r="793" spans="1:42" ht="15.75" customHeight="1">
      <c r="A793" s="33"/>
      <c r="B793" s="33"/>
      <c r="C793" s="33"/>
      <c r="D793" s="33"/>
      <c r="E793" s="33"/>
      <c r="F793" s="199"/>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216"/>
      <c r="AN793" s="33"/>
      <c r="AO793" s="33"/>
      <c r="AP793" s="33"/>
    </row>
    <row r="794" spans="1:42" ht="15.75" customHeight="1">
      <c r="A794" s="33"/>
      <c r="B794" s="33"/>
      <c r="C794" s="33"/>
      <c r="D794" s="33"/>
      <c r="E794" s="33"/>
      <c r="F794" s="199"/>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216"/>
      <c r="AN794" s="33"/>
      <c r="AO794" s="33"/>
      <c r="AP794" s="33"/>
    </row>
    <row r="795" spans="1:42" ht="15.75" customHeight="1">
      <c r="A795" s="33"/>
      <c r="B795" s="33"/>
      <c r="C795" s="33"/>
      <c r="D795" s="33"/>
      <c r="E795" s="33"/>
      <c r="F795" s="199"/>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216"/>
      <c r="AN795" s="33"/>
      <c r="AO795" s="33"/>
      <c r="AP795" s="33"/>
    </row>
    <row r="796" spans="1:42" ht="15.75" customHeight="1">
      <c r="A796" s="33"/>
      <c r="B796" s="33"/>
      <c r="C796" s="33"/>
      <c r="D796" s="33"/>
      <c r="E796" s="33"/>
      <c r="F796" s="199"/>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216"/>
      <c r="AN796" s="33"/>
      <c r="AO796" s="33"/>
      <c r="AP796" s="33"/>
    </row>
    <row r="797" spans="1:42" ht="15.75" customHeight="1">
      <c r="A797" s="33"/>
      <c r="B797" s="33"/>
      <c r="C797" s="33"/>
      <c r="D797" s="33"/>
      <c r="E797" s="33"/>
      <c r="F797" s="199"/>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216"/>
      <c r="AN797" s="33"/>
      <c r="AO797" s="33"/>
      <c r="AP797" s="33"/>
    </row>
    <row r="798" spans="1:42" ht="15.75" customHeight="1">
      <c r="A798" s="33"/>
      <c r="B798" s="33"/>
      <c r="C798" s="33"/>
      <c r="D798" s="33"/>
      <c r="E798" s="33"/>
      <c r="F798" s="199"/>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216"/>
      <c r="AN798" s="33"/>
      <c r="AO798" s="33"/>
      <c r="AP798" s="33"/>
    </row>
    <row r="799" spans="1:42" ht="15.75" customHeight="1">
      <c r="A799" s="33"/>
      <c r="B799" s="33"/>
      <c r="C799" s="33"/>
      <c r="D799" s="33"/>
      <c r="E799" s="33"/>
      <c r="F799" s="199"/>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216"/>
      <c r="AN799" s="33"/>
      <c r="AO799" s="33"/>
      <c r="AP799" s="33"/>
    </row>
    <row r="800" spans="1:42" ht="15.75" customHeight="1">
      <c r="A800" s="33"/>
      <c r="B800" s="33"/>
      <c r="C800" s="33"/>
      <c r="D800" s="33"/>
      <c r="E800" s="33"/>
      <c r="F800" s="199"/>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216"/>
      <c r="AN800" s="33"/>
      <c r="AO800" s="33"/>
      <c r="AP800" s="33"/>
    </row>
    <row r="801" spans="1:42" ht="15.75" customHeight="1">
      <c r="A801" s="33"/>
      <c r="B801" s="33"/>
      <c r="C801" s="33"/>
      <c r="D801" s="33"/>
      <c r="E801" s="33"/>
      <c r="F801" s="199"/>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216"/>
      <c r="AN801" s="33"/>
      <c r="AO801" s="33"/>
      <c r="AP801" s="33"/>
    </row>
    <row r="802" spans="1:42" ht="15.75" customHeight="1">
      <c r="A802" s="33"/>
      <c r="B802" s="33"/>
      <c r="C802" s="33"/>
      <c r="D802" s="33"/>
      <c r="E802" s="33"/>
      <c r="F802" s="199"/>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216"/>
      <c r="AN802" s="33"/>
      <c r="AO802" s="33"/>
      <c r="AP802" s="33"/>
    </row>
    <row r="803" spans="1:42" ht="15.75" customHeight="1">
      <c r="A803" s="33"/>
      <c r="B803" s="33"/>
      <c r="C803" s="33"/>
      <c r="D803" s="33"/>
      <c r="E803" s="33"/>
      <c r="F803" s="199"/>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216"/>
      <c r="AN803" s="33"/>
      <c r="AO803" s="33"/>
      <c r="AP803" s="33"/>
    </row>
    <row r="804" spans="1:42" ht="15.75" customHeight="1">
      <c r="A804" s="33"/>
      <c r="B804" s="33"/>
      <c r="C804" s="33"/>
      <c r="D804" s="33"/>
      <c r="E804" s="33"/>
      <c r="F804" s="199"/>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216"/>
      <c r="AN804" s="33"/>
      <c r="AO804" s="33"/>
      <c r="AP804" s="33"/>
    </row>
    <row r="805" spans="1:42" ht="15.75" customHeight="1">
      <c r="A805" s="33"/>
      <c r="B805" s="33"/>
      <c r="C805" s="33"/>
      <c r="D805" s="33"/>
      <c r="E805" s="33"/>
      <c r="F805" s="199"/>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216"/>
      <c r="AN805" s="33"/>
      <c r="AO805" s="33"/>
      <c r="AP805" s="33"/>
    </row>
    <row r="806" spans="1:42" ht="15.75" customHeight="1">
      <c r="A806" s="33"/>
      <c r="B806" s="33"/>
      <c r="C806" s="33"/>
      <c r="D806" s="33"/>
      <c r="E806" s="33"/>
      <c r="F806" s="199"/>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216"/>
      <c r="AN806" s="33"/>
      <c r="AO806" s="33"/>
      <c r="AP806" s="33"/>
    </row>
    <row r="807" spans="1:42" ht="15.75" customHeight="1">
      <c r="A807" s="33"/>
      <c r="B807" s="33"/>
      <c r="C807" s="33"/>
      <c r="D807" s="33"/>
      <c r="E807" s="33"/>
      <c r="F807" s="199"/>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216"/>
      <c r="AN807" s="33"/>
      <c r="AO807" s="33"/>
      <c r="AP807" s="33"/>
    </row>
    <row r="808" spans="1:42" ht="15.75" customHeight="1">
      <c r="A808" s="33"/>
      <c r="B808" s="33"/>
      <c r="C808" s="33"/>
      <c r="D808" s="33"/>
      <c r="E808" s="33"/>
      <c r="F808" s="199"/>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216"/>
      <c r="AN808" s="33"/>
      <c r="AO808" s="33"/>
      <c r="AP808" s="33"/>
    </row>
    <row r="809" spans="1:42" ht="15.75" customHeight="1">
      <c r="A809" s="33"/>
      <c r="B809" s="33"/>
      <c r="C809" s="33"/>
      <c r="D809" s="33"/>
      <c r="E809" s="33"/>
      <c r="F809" s="199"/>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216"/>
      <c r="AN809" s="33"/>
      <c r="AO809" s="33"/>
      <c r="AP809" s="33"/>
    </row>
    <row r="810" spans="1:42" ht="15.75" customHeight="1">
      <c r="A810" s="33"/>
      <c r="B810" s="33"/>
      <c r="C810" s="33"/>
      <c r="D810" s="33"/>
      <c r="E810" s="33"/>
      <c r="F810" s="199"/>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216"/>
      <c r="AN810" s="33"/>
      <c r="AO810" s="33"/>
      <c r="AP810" s="33"/>
    </row>
    <row r="811" spans="1:42" ht="15.75" customHeight="1">
      <c r="A811" s="33"/>
      <c r="B811" s="33"/>
      <c r="C811" s="33"/>
      <c r="D811" s="33"/>
      <c r="E811" s="33"/>
      <c r="F811" s="199"/>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216"/>
      <c r="AN811" s="33"/>
      <c r="AO811" s="33"/>
      <c r="AP811" s="33"/>
    </row>
    <row r="812" spans="1:42" ht="15.75" customHeight="1">
      <c r="A812" s="33"/>
      <c r="B812" s="33"/>
      <c r="C812" s="33"/>
      <c r="D812" s="33"/>
      <c r="E812" s="33"/>
      <c r="F812" s="199"/>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216"/>
      <c r="AN812" s="33"/>
      <c r="AO812" s="33"/>
      <c r="AP812" s="33"/>
    </row>
    <row r="813" spans="1:42" ht="15.75" customHeight="1">
      <c r="A813" s="33"/>
      <c r="B813" s="33"/>
      <c r="C813" s="33"/>
      <c r="D813" s="33"/>
      <c r="E813" s="33"/>
      <c r="F813" s="199"/>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216"/>
      <c r="AN813" s="33"/>
      <c r="AO813" s="33"/>
      <c r="AP813" s="33"/>
    </row>
    <row r="814" spans="1:42" ht="15.75" customHeight="1">
      <c r="A814" s="33"/>
      <c r="B814" s="33"/>
      <c r="C814" s="33"/>
      <c r="D814" s="33"/>
      <c r="E814" s="33"/>
      <c r="F814" s="199"/>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216"/>
      <c r="AN814" s="33"/>
      <c r="AO814" s="33"/>
      <c r="AP814" s="33"/>
    </row>
    <row r="815" spans="1:42" ht="15.75" customHeight="1">
      <c r="A815" s="33"/>
      <c r="B815" s="33"/>
      <c r="C815" s="33"/>
      <c r="D815" s="33"/>
      <c r="E815" s="33"/>
      <c r="F815" s="199"/>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216"/>
      <c r="AN815" s="33"/>
      <c r="AO815" s="33"/>
      <c r="AP815" s="33"/>
    </row>
    <row r="816" spans="1:42" ht="15.75" customHeight="1">
      <c r="A816" s="33"/>
      <c r="B816" s="33"/>
      <c r="C816" s="33"/>
      <c r="D816" s="33"/>
      <c r="E816" s="33"/>
      <c r="F816" s="199"/>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216"/>
      <c r="AN816" s="33"/>
      <c r="AO816" s="33"/>
      <c r="AP816" s="33"/>
    </row>
    <row r="817" spans="1:42" ht="15.75" customHeight="1">
      <c r="A817" s="33"/>
      <c r="B817" s="33"/>
      <c r="C817" s="33"/>
      <c r="D817" s="33"/>
      <c r="E817" s="33"/>
      <c r="F817" s="199"/>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216"/>
      <c r="AN817" s="33"/>
      <c r="AO817" s="33"/>
      <c r="AP817" s="33"/>
    </row>
    <row r="818" spans="1:42" ht="15.75" customHeight="1">
      <c r="A818" s="33"/>
      <c r="B818" s="33"/>
      <c r="C818" s="33"/>
      <c r="D818" s="33"/>
      <c r="E818" s="33"/>
      <c r="F818" s="199"/>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216"/>
      <c r="AN818" s="33"/>
      <c r="AO818" s="33"/>
      <c r="AP818" s="33"/>
    </row>
    <row r="819" spans="1:42" ht="15.75" customHeight="1">
      <c r="A819" s="33"/>
      <c r="B819" s="33"/>
      <c r="C819" s="33"/>
      <c r="D819" s="33"/>
      <c r="E819" s="33"/>
      <c r="F819" s="199"/>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216"/>
      <c r="AN819" s="33"/>
      <c r="AO819" s="33"/>
      <c r="AP819" s="33"/>
    </row>
    <row r="820" spans="1:42" ht="15.75" customHeight="1">
      <c r="A820" s="33"/>
      <c r="B820" s="33"/>
      <c r="C820" s="33"/>
      <c r="D820" s="33"/>
      <c r="E820" s="33"/>
      <c r="F820" s="199"/>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216"/>
      <c r="AN820" s="33"/>
      <c r="AO820" s="33"/>
      <c r="AP820" s="33"/>
    </row>
    <row r="821" spans="1:42" ht="15.75" customHeight="1">
      <c r="A821" s="33"/>
      <c r="B821" s="33"/>
      <c r="C821" s="33"/>
      <c r="D821" s="33"/>
      <c r="E821" s="33"/>
      <c r="F821" s="199"/>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216"/>
      <c r="AN821" s="33"/>
      <c r="AO821" s="33"/>
      <c r="AP821" s="33"/>
    </row>
    <row r="822" spans="1:42" ht="15.75" customHeight="1">
      <c r="A822" s="33"/>
      <c r="B822" s="33"/>
      <c r="C822" s="33"/>
      <c r="D822" s="33"/>
      <c r="E822" s="33"/>
      <c r="F822" s="199"/>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216"/>
      <c r="AN822" s="33"/>
      <c r="AO822" s="33"/>
      <c r="AP822" s="33"/>
    </row>
    <row r="823" spans="1:42" ht="15.75" customHeight="1">
      <c r="A823" s="33"/>
      <c r="B823" s="33"/>
      <c r="C823" s="33"/>
      <c r="D823" s="33"/>
      <c r="E823" s="33"/>
      <c r="F823" s="199"/>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216"/>
      <c r="AN823" s="33"/>
      <c r="AO823" s="33"/>
      <c r="AP823" s="33"/>
    </row>
    <row r="824" spans="1:42" ht="15.75" customHeight="1">
      <c r="A824" s="33"/>
      <c r="B824" s="33"/>
      <c r="C824" s="33"/>
      <c r="D824" s="33"/>
      <c r="E824" s="33"/>
      <c r="F824" s="199"/>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216"/>
      <c r="AN824" s="33"/>
      <c r="AO824" s="33"/>
      <c r="AP824" s="33"/>
    </row>
    <row r="825" spans="1:42" ht="15.75" customHeight="1">
      <c r="A825" s="33"/>
      <c r="B825" s="33"/>
      <c r="C825" s="33"/>
      <c r="D825" s="33"/>
      <c r="E825" s="33"/>
      <c r="F825" s="199"/>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216"/>
      <c r="AN825" s="33"/>
      <c r="AO825" s="33"/>
      <c r="AP825" s="33"/>
    </row>
    <row r="826" spans="1:42" ht="15.75" customHeight="1">
      <c r="A826" s="33"/>
      <c r="B826" s="33"/>
      <c r="C826" s="33"/>
      <c r="D826" s="33"/>
      <c r="E826" s="33"/>
      <c r="F826" s="199"/>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216"/>
      <c r="AN826" s="33"/>
      <c r="AO826" s="33"/>
      <c r="AP826" s="33"/>
    </row>
    <row r="827" spans="1:42" ht="15.75" customHeight="1">
      <c r="A827" s="33"/>
      <c r="B827" s="33"/>
      <c r="C827" s="33"/>
      <c r="D827" s="33"/>
      <c r="E827" s="33"/>
      <c r="F827" s="199"/>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216"/>
      <c r="AN827" s="33"/>
      <c r="AO827" s="33"/>
      <c r="AP827" s="33"/>
    </row>
    <row r="828" spans="1:42" ht="15.75" customHeight="1">
      <c r="A828" s="33"/>
      <c r="B828" s="33"/>
      <c r="C828" s="33"/>
      <c r="D828" s="33"/>
      <c r="E828" s="33"/>
      <c r="F828" s="199"/>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216"/>
      <c r="AN828" s="33"/>
      <c r="AO828" s="33"/>
      <c r="AP828" s="33"/>
    </row>
    <row r="829" spans="1:42" ht="15.75" customHeight="1">
      <c r="A829" s="33"/>
      <c r="B829" s="33"/>
      <c r="C829" s="33"/>
      <c r="D829" s="33"/>
      <c r="E829" s="33"/>
      <c r="F829" s="199"/>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216"/>
      <c r="AN829" s="33"/>
      <c r="AO829" s="33"/>
      <c r="AP829" s="33"/>
    </row>
    <row r="830" spans="1:42" ht="15.75" customHeight="1">
      <c r="A830" s="33"/>
      <c r="B830" s="33"/>
      <c r="C830" s="33"/>
      <c r="D830" s="33"/>
      <c r="E830" s="33"/>
      <c r="F830" s="199"/>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216"/>
      <c r="AN830" s="33"/>
      <c r="AO830" s="33"/>
      <c r="AP830" s="33"/>
    </row>
    <row r="831" spans="1:42" ht="15.75" customHeight="1">
      <c r="A831" s="33"/>
      <c r="B831" s="33"/>
      <c r="C831" s="33"/>
      <c r="D831" s="33"/>
      <c r="E831" s="33"/>
      <c r="F831" s="199"/>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216"/>
      <c r="AN831" s="33"/>
      <c r="AO831" s="33"/>
      <c r="AP831" s="33"/>
    </row>
    <row r="832" spans="1:42" ht="15.75" customHeight="1">
      <c r="A832" s="33"/>
      <c r="B832" s="33"/>
      <c r="C832" s="33"/>
      <c r="D832" s="33"/>
      <c r="E832" s="33"/>
      <c r="F832" s="199"/>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216"/>
      <c r="AN832" s="33"/>
      <c r="AO832" s="33"/>
      <c r="AP832" s="33"/>
    </row>
    <row r="833" spans="1:42" ht="15.75" customHeight="1">
      <c r="A833" s="33"/>
      <c r="B833" s="33"/>
      <c r="C833" s="33"/>
      <c r="D833" s="33"/>
      <c r="E833" s="33"/>
      <c r="F833" s="199"/>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216"/>
      <c r="AN833" s="33"/>
      <c r="AO833" s="33"/>
      <c r="AP833" s="33"/>
    </row>
    <row r="834" spans="1:42" ht="15.75" customHeight="1">
      <c r="A834" s="33"/>
      <c r="B834" s="33"/>
      <c r="C834" s="33"/>
      <c r="D834" s="33"/>
      <c r="E834" s="33"/>
      <c r="F834" s="199"/>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216"/>
      <c r="AN834" s="33"/>
      <c r="AO834" s="33"/>
      <c r="AP834" s="33"/>
    </row>
    <row r="835" spans="1:42" ht="15.75" customHeight="1">
      <c r="A835" s="33"/>
      <c r="B835" s="33"/>
      <c r="C835" s="33"/>
      <c r="D835" s="33"/>
      <c r="E835" s="33"/>
      <c r="F835" s="199"/>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216"/>
      <c r="AN835" s="33"/>
      <c r="AO835" s="33"/>
      <c r="AP835" s="33"/>
    </row>
    <row r="836" spans="1:42" ht="15.75" customHeight="1">
      <c r="A836" s="33"/>
      <c r="B836" s="33"/>
      <c r="C836" s="33"/>
      <c r="D836" s="33"/>
      <c r="E836" s="33"/>
      <c r="F836" s="199"/>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216"/>
      <c r="AN836" s="33"/>
      <c r="AO836" s="33"/>
      <c r="AP836" s="33"/>
    </row>
    <row r="837" spans="1:42" ht="15.75" customHeight="1">
      <c r="A837" s="33"/>
      <c r="B837" s="33"/>
      <c r="C837" s="33"/>
      <c r="D837" s="33"/>
      <c r="E837" s="33"/>
      <c r="F837" s="199"/>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216"/>
      <c r="AN837" s="33"/>
      <c r="AO837" s="33"/>
      <c r="AP837" s="33"/>
    </row>
    <row r="838" spans="1:42" ht="15.75" customHeight="1">
      <c r="A838" s="33"/>
      <c r="B838" s="33"/>
      <c r="C838" s="33"/>
      <c r="D838" s="33"/>
      <c r="E838" s="33"/>
      <c r="F838" s="199"/>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216"/>
      <c r="AN838" s="33"/>
      <c r="AO838" s="33"/>
      <c r="AP838" s="33"/>
    </row>
    <row r="839" spans="1:42" ht="15.75" customHeight="1">
      <c r="A839" s="33"/>
      <c r="B839" s="33"/>
      <c r="C839" s="33"/>
      <c r="D839" s="33"/>
      <c r="E839" s="33"/>
      <c r="F839" s="199"/>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216"/>
      <c r="AN839" s="33"/>
      <c r="AO839" s="33"/>
      <c r="AP839" s="33"/>
    </row>
    <row r="840" spans="1:42" ht="15.75" customHeight="1">
      <c r="A840" s="33"/>
      <c r="B840" s="33"/>
      <c r="C840" s="33"/>
      <c r="D840" s="33"/>
      <c r="E840" s="33"/>
      <c r="F840" s="199"/>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216"/>
      <c r="AN840" s="33"/>
      <c r="AO840" s="33"/>
      <c r="AP840" s="33"/>
    </row>
    <row r="841" spans="1:42" ht="15.75" customHeight="1">
      <c r="A841" s="33"/>
      <c r="B841" s="33"/>
      <c r="C841" s="33"/>
      <c r="D841" s="33"/>
      <c r="E841" s="33"/>
      <c r="F841" s="199"/>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216"/>
      <c r="AN841" s="33"/>
      <c r="AO841" s="33"/>
      <c r="AP841" s="33"/>
    </row>
    <row r="842" spans="1:42" ht="15.75" customHeight="1">
      <c r="A842" s="33"/>
      <c r="B842" s="33"/>
      <c r="C842" s="33"/>
      <c r="D842" s="33"/>
      <c r="E842" s="33"/>
      <c r="F842" s="199"/>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216"/>
      <c r="AN842" s="33"/>
      <c r="AO842" s="33"/>
      <c r="AP842" s="33"/>
    </row>
    <row r="843" spans="1:42" ht="15.75" customHeight="1">
      <c r="A843" s="33"/>
      <c r="B843" s="33"/>
      <c r="C843" s="33"/>
      <c r="D843" s="33"/>
      <c r="E843" s="33"/>
      <c r="F843" s="199"/>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216"/>
      <c r="AN843" s="33"/>
      <c r="AO843" s="33"/>
      <c r="AP843" s="33"/>
    </row>
    <row r="844" spans="1:42" ht="15.75" customHeight="1">
      <c r="A844" s="33"/>
      <c r="B844" s="33"/>
      <c r="C844" s="33"/>
      <c r="D844" s="33"/>
      <c r="E844" s="33"/>
      <c r="F844" s="199"/>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216"/>
      <c r="AN844" s="33"/>
      <c r="AO844" s="33"/>
      <c r="AP844" s="33"/>
    </row>
    <row r="845" spans="1:42" ht="15.75" customHeight="1">
      <c r="A845" s="33"/>
      <c r="B845" s="33"/>
      <c r="C845" s="33"/>
      <c r="D845" s="33"/>
      <c r="E845" s="33"/>
      <c r="F845" s="199"/>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216"/>
      <c r="AN845" s="33"/>
      <c r="AO845" s="33"/>
      <c r="AP845" s="33"/>
    </row>
    <row r="846" spans="1:42" ht="15.75" customHeight="1">
      <c r="A846" s="33"/>
      <c r="B846" s="33"/>
      <c r="C846" s="33"/>
      <c r="D846" s="33"/>
      <c r="E846" s="33"/>
      <c r="F846" s="199"/>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216"/>
      <c r="AN846" s="33"/>
      <c r="AO846" s="33"/>
      <c r="AP846" s="33"/>
    </row>
    <row r="847" spans="1:42" ht="15.75" customHeight="1">
      <c r="A847" s="33"/>
      <c r="B847" s="33"/>
      <c r="C847" s="33"/>
      <c r="D847" s="33"/>
      <c r="E847" s="33"/>
      <c r="F847" s="199"/>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216"/>
      <c r="AN847" s="33"/>
      <c r="AO847" s="33"/>
      <c r="AP847" s="33"/>
    </row>
    <row r="848" spans="1:42" ht="15.75" customHeight="1">
      <c r="A848" s="33"/>
      <c r="B848" s="33"/>
      <c r="C848" s="33"/>
      <c r="D848" s="33"/>
      <c r="E848" s="33"/>
      <c r="F848" s="199"/>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216"/>
      <c r="AN848" s="33"/>
      <c r="AO848" s="33"/>
      <c r="AP848" s="33"/>
    </row>
    <row r="849" spans="1:42" ht="15.75" customHeight="1">
      <c r="A849" s="33"/>
      <c r="B849" s="33"/>
      <c r="C849" s="33"/>
      <c r="D849" s="33"/>
      <c r="E849" s="33"/>
      <c r="F849" s="199"/>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216"/>
      <c r="AN849" s="33"/>
      <c r="AO849" s="33"/>
      <c r="AP849" s="33"/>
    </row>
    <row r="850" spans="1:42" ht="15.75" customHeight="1">
      <c r="A850" s="33"/>
      <c r="B850" s="33"/>
      <c r="C850" s="33"/>
      <c r="D850" s="33"/>
      <c r="E850" s="33"/>
      <c r="F850" s="199"/>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216"/>
      <c r="AN850" s="33"/>
      <c r="AO850" s="33"/>
      <c r="AP850" s="33"/>
    </row>
    <row r="851" spans="1:42" ht="15.75" customHeight="1">
      <c r="A851" s="33"/>
      <c r="B851" s="33"/>
      <c r="C851" s="33"/>
      <c r="D851" s="33"/>
      <c r="E851" s="33"/>
      <c r="F851" s="199"/>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216"/>
      <c r="AN851" s="33"/>
      <c r="AO851" s="33"/>
      <c r="AP851" s="33"/>
    </row>
    <row r="852" spans="1:42" ht="15.75" customHeight="1">
      <c r="A852" s="33"/>
      <c r="B852" s="33"/>
      <c r="C852" s="33"/>
      <c r="D852" s="33"/>
      <c r="E852" s="33"/>
      <c r="F852" s="199"/>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216"/>
      <c r="AN852" s="33"/>
      <c r="AO852" s="33"/>
      <c r="AP852" s="33"/>
    </row>
    <row r="853" spans="1:42" ht="15.75" customHeight="1">
      <c r="A853" s="33"/>
      <c r="B853" s="33"/>
      <c r="C853" s="33"/>
      <c r="D853" s="33"/>
      <c r="E853" s="33"/>
      <c r="F853" s="199"/>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216"/>
      <c r="AN853" s="33"/>
      <c r="AO853" s="33"/>
      <c r="AP853" s="33"/>
    </row>
    <row r="854" spans="1:42" ht="15.75" customHeight="1">
      <c r="A854" s="33"/>
      <c r="B854" s="33"/>
      <c r="C854" s="33"/>
      <c r="D854" s="33"/>
      <c r="E854" s="33"/>
      <c r="F854" s="199"/>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216"/>
      <c r="AN854" s="33"/>
      <c r="AO854" s="33"/>
      <c r="AP854" s="33"/>
    </row>
    <row r="855" spans="1:42" ht="15.75" customHeight="1">
      <c r="A855" s="33"/>
      <c r="B855" s="33"/>
      <c r="C855" s="33"/>
      <c r="D855" s="33"/>
      <c r="E855" s="33"/>
      <c r="F855" s="199"/>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216"/>
      <c r="AN855" s="33"/>
      <c r="AO855" s="33"/>
      <c r="AP855" s="33"/>
    </row>
    <row r="856" spans="1:42" ht="15.75" customHeight="1">
      <c r="A856" s="33"/>
      <c r="B856" s="33"/>
      <c r="C856" s="33"/>
      <c r="D856" s="33"/>
      <c r="E856" s="33"/>
      <c r="F856" s="199"/>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216"/>
      <c r="AN856" s="33"/>
      <c r="AO856" s="33"/>
      <c r="AP856" s="33"/>
    </row>
    <row r="857" spans="1:42" ht="15.75" customHeight="1">
      <c r="A857" s="33"/>
      <c r="B857" s="33"/>
      <c r="C857" s="33"/>
      <c r="D857" s="33"/>
      <c r="E857" s="33"/>
      <c r="F857" s="199"/>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216"/>
      <c r="AN857" s="33"/>
      <c r="AO857" s="33"/>
      <c r="AP857" s="33"/>
    </row>
    <row r="858" spans="1:42" ht="15.75" customHeight="1">
      <c r="A858" s="33"/>
      <c r="B858" s="33"/>
      <c r="C858" s="33"/>
      <c r="D858" s="33"/>
      <c r="E858" s="33"/>
      <c r="F858" s="199"/>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216"/>
      <c r="AN858" s="33"/>
      <c r="AO858" s="33"/>
      <c r="AP858" s="33"/>
    </row>
    <row r="859" spans="1:42" ht="15.75" customHeight="1">
      <c r="A859" s="33"/>
      <c r="B859" s="33"/>
      <c r="C859" s="33"/>
      <c r="D859" s="33"/>
      <c r="E859" s="33"/>
      <c r="F859" s="199"/>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216"/>
      <c r="AN859" s="33"/>
      <c r="AO859" s="33"/>
      <c r="AP859" s="33"/>
    </row>
    <row r="860" spans="1:42" ht="15.75" customHeight="1">
      <c r="A860" s="33"/>
      <c r="B860" s="33"/>
      <c r="C860" s="33"/>
      <c r="D860" s="33"/>
      <c r="E860" s="33"/>
      <c r="F860" s="199"/>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216"/>
      <c r="AN860" s="33"/>
      <c r="AO860" s="33"/>
      <c r="AP860" s="33"/>
    </row>
    <row r="861" spans="1:42" ht="15.75" customHeight="1">
      <c r="A861" s="33"/>
      <c r="B861" s="33"/>
      <c r="C861" s="33"/>
      <c r="D861" s="33"/>
      <c r="E861" s="33"/>
      <c r="F861" s="199"/>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216"/>
      <c r="AN861" s="33"/>
      <c r="AO861" s="33"/>
      <c r="AP861" s="33"/>
    </row>
    <row r="862" spans="1:42" ht="15.75" customHeight="1">
      <c r="A862" s="33"/>
      <c r="B862" s="33"/>
      <c r="C862" s="33"/>
      <c r="D862" s="33"/>
      <c r="E862" s="33"/>
      <c r="F862" s="199"/>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216"/>
      <c r="AN862" s="33"/>
      <c r="AO862" s="33"/>
      <c r="AP862" s="33"/>
    </row>
    <row r="863" spans="1:42" ht="15.75" customHeight="1">
      <c r="A863" s="33"/>
      <c r="B863" s="33"/>
      <c r="C863" s="33"/>
      <c r="D863" s="33"/>
      <c r="E863" s="33"/>
      <c r="F863" s="199"/>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216"/>
      <c r="AN863" s="33"/>
      <c r="AO863" s="33"/>
      <c r="AP863" s="33"/>
    </row>
    <row r="864" spans="1:42" ht="15.75" customHeight="1">
      <c r="A864" s="33"/>
      <c r="B864" s="33"/>
      <c r="C864" s="33"/>
      <c r="D864" s="33"/>
      <c r="E864" s="33"/>
      <c r="F864" s="199"/>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216"/>
      <c r="AN864" s="33"/>
      <c r="AO864" s="33"/>
      <c r="AP864" s="33"/>
    </row>
    <row r="865" spans="1:42" ht="15.75" customHeight="1">
      <c r="A865" s="33"/>
      <c r="B865" s="33"/>
      <c r="C865" s="33"/>
      <c r="D865" s="33"/>
      <c r="E865" s="33"/>
      <c r="F865" s="199"/>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216"/>
      <c r="AN865" s="33"/>
      <c r="AO865" s="33"/>
      <c r="AP865" s="33"/>
    </row>
    <row r="866" spans="1:42" ht="15.75" customHeight="1">
      <c r="A866" s="33"/>
      <c r="B866" s="33"/>
      <c r="C866" s="33"/>
      <c r="D866" s="33"/>
      <c r="E866" s="33"/>
      <c r="F866" s="199"/>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216"/>
      <c r="AN866" s="33"/>
      <c r="AO866" s="33"/>
      <c r="AP866" s="33"/>
    </row>
    <row r="867" spans="1:42" ht="15.75" customHeight="1">
      <c r="A867" s="33"/>
      <c r="B867" s="33"/>
      <c r="C867" s="33"/>
      <c r="D867" s="33"/>
      <c r="E867" s="33"/>
      <c r="F867" s="199"/>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216"/>
      <c r="AN867" s="33"/>
      <c r="AO867" s="33"/>
      <c r="AP867" s="33"/>
    </row>
    <row r="868" spans="1:42" ht="15.75" customHeight="1">
      <c r="A868" s="33"/>
      <c r="B868" s="33"/>
      <c r="C868" s="33"/>
      <c r="D868" s="33"/>
      <c r="E868" s="33"/>
      <c r="F868" s="199"/>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216"/>
      <c r="AN868" s="33"/>
      <c r="AO868" s="33"/>
      <c r="AP868" s="33"/>
    </row>
    <row r="869" spans="1:42" ht="15.75" customHeight="1">
      <c r="A869" s="33"/>
      <c r="B869" s="33"/>
      <c r="C869" s="33"/>
      <c r="D869" s="33"/>
      <c r="E869" s="33"/>
      <c r="F869" s="199"/>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216"/>
      <c r="AN869" s="33"/>
      <c r="AO869" s="33"/>
      <c r="AP869" s="33"/>
    </row>
    <row r="870" spans="1:42" ht="15.75" customHeight="1">
      <c r="A870" s="33"/>
      <c r="B870" s="33"/>
      <c r="C870" s="33"/>
      <c r="D870" s="33"/>
      <c r="E870" s="33"/>
      <c r="F870" s="199"/>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216"/>
      <c r="AN870" s="33"/>
      <c r="AO870" s="33"/>
      <c r="AP870" s="33"/>
    </row>
    <row r="871" spans="1:42" ht="15.75" customHeight="1">
      <c r="A871" s="33"/>
      <c r="B871" s="33"/>
      <c r="C871" s="33"/>
      <c r="D871" s="33"/>
      <c r="E871" s="33"/>
      <c r="F871" s="199"/>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216"/>
      <c r="AN871" s="33"/>
      <c r="AO871" s="33"/>
      <c r="AP871" s="33"/>
    </row>
    <row r="872" spans="1:42" ht="15.75" customHeight="1">
      <c r="A872" s="33"/>
      <c r="B872" s="33"/>
      <c r="C872" s="33"/>
      <c r="D872" s="33"/>
      <c r="E872" s="33"/>
      <c r="F872" s="199"/>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216"/>
      <c r="AN872" s="33"/>
      <c r="AO872" s="33"/>
      <c r="AP872" s="33"/>
    </row>
    <row r="873" spans="1:42" ht="15.75" customHeight="1">
      <c r="A873" s="33"/>
      <c r="B873" s="33"/>
      <c r="C873" s="33"/>
      <c r="D873" s="33"/>
      <c r="E873" s="33"/>
      <c r="F873" s="199"/>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216"/>
      <c r="AN873" s="33"/>
      <c r="AO873" s="33"/>
      <c r="AP873" s="33"/>
    </row>
    <row r="874" spans="1:42" ht="15.75" customHeight="1">
      <c r="A874" s="33"/>
      <c r="B874" s="33"/>
      <c r="C874" s="33"/>
      <c r="D874" s="33"/>
      <c r="E874" s="33"/>
      <c r="F874" s="199"/>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216"/>
      <c r="AN874" s="33"/>
      <c r="AO874" s="33"/>
      <c r="AP874" s="33"/>
    </row>
    <row r="875" spans="1:42" ht="15.75" customHeight="1">
      <c r="A875" s="33"/>
      <c r="B875" s="33"/>
      <c r="C875" s="33"/>
      <c r="D875" s="33"/>
      <c r="E875" s="33"/>
      <c r="F875" s="199"/>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216"/>
      <c r="AN875" s="33"/>
      <c r="AO875" s="33"/>
      <c r="AP875" s="33"/>
    </row>
    <row r="876" spans="1:42" ht="15.75" customHeight="1">
      <c r="A876" s="33"/>
      <c r="B876" s="33"/>
      <c r="C876" s="33"/>
      <c r="D876" s="33"/>
      <c r="E876" s="33"/>
      <c r="F876" s="199"/>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216"/>
      <c r="AN876" s="33"/>
      <c r="AO876" s="33"/>
      <c r="AP876" s="33"/>
    </row>
    <row r="877" spans="1:42" ht="15.75" customHeight="1">
      <c r="A877" s="33"/>
      <c r="B877" s="33"/>
      <c r="C877" s="33"/>
      <c r="D877" s="33"/>
      <c r="E877" s="33"/>
      <c r="F877" s="199"/>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216"/>
      <c r="AN877" s="33"/>
      <c r="AO877" s="33"/>
      <c r="AP877" s="33"/>
    </row>
    <row r="878" spans="1:42" ht="15.75" customHeight="1">
      <c r="A878" s="33"/>
      <c r="B878" s="33"/>
      <c r="C878" s="33"/>
      <c r="D878" s="33"/>
      <c r="E878" s="33"/>
      <c r="F878" s="199"/>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216"/>
      <c r="AN878" s="33"/>
      <c r="AO878" s="33"/>
      <c r="AP878" s="33"/>
    </row>
    <row r="879" spans="1:42" ht="15.75" customHeight="1">
      <c r="A879" s="33"/>
      <c r="B879" s="33"/>
      <c r="C879" s="33"/>
      <c r="D879" s="33"/>
      <c r="E879" s="33"/>
      <c r="F879" s="199"/>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216"/>
      <c r="AN879" s="33"/>
      <c r="AO879" s="33"/>
      <c r="AP879" s="33"/>
    </row>
    <row r="880" spans="1:42" ht="15.75" customHeight="1">
      <c r="A880" s="33"/>
      <c r="B880" s="33"/>
      <c r="C880" s="33"/>
      <c r="D880" s="33"/>
      <c r="E880" s="33"/>
      <c r="F880" s="199"/>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216"/>
      <c r="AN880" s="33"/>
      <c r="AO880" s="33"/>
      <c r="AP880" s="33"/>
    </row>
    <row r="881" spans="1:42" ht="15.75" customHeight="1">
      <c r="A881" s="33"/>
      <c r="B881" s="33"/>
      <c r="C881" s="33"/>
      <c r="D881" s="33"/>
      <c r="E881" s="33"/>
      <c r="F881" s="199"/>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216"/>
      <c r="AN881" s="33"/>
      <c r="AO881" s="33"/>
      <c r="AP881" s="33"/>
    </row>
    <row r="882" spans="1:42" ht="15.75" customHeight="1">
      <c r="A882" s="33"/>
      <c r="B882" s="33"/>
      <c r="C882" s="33"/>
      <c r="D882" s="33"/>
      <c r="E882" s="33"/>
      <c r="F882" s="199"/>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216"/>
      <c r="AN882" s="33"/>
      <c r="AO882" s="33"/>
      <c r="AP882" s="33"/>
    </row>
    <row r="883" spans="1:42" ht="15.75" customHeight="1">
      <c r="A883" s="33"/>
      <c r="B883" s="33"/>
      <c r="C883" s="33"/>
      <c r="D883" s="33"/>
      <c r="E883" s="33"/>
      <c r="F883" s="199"/>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216"/>
      <c r="AN883" s="33"/>
      <c r="AO883" s="33"/>
      <c r="AP883" s="33"/>
    </row>
    <row r="884" spans="1:42" ht="15.75" customHeight="1">
      <c r="A884" s="33"/>
      <c r="B884" s="33"/>
      <c r="C884" s="33"/>
      <c r="D884" s="33"/>
      <c r="E884" s="33"/>
      <c r="F884" s="199"/>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216"/>
      <c r="AN884" s="33"/>
      <c r="AO884" s="33"/>
      <c r="AP884" s="33"/>
    </row>
    <row r="885" spans="1:42" ht="15.75" customHeight="1">
      <c r="A885" s="33"/>
      <c r="B885" s="33"/>
      <c r="C885" s="33"/>
      <c r="D885" s="33"/>
      <c r="E885" s="33"/>
      <c r="F885" s="199"/>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216"/>
      <c r="AN885" s="33"/>
      <c r="AO885" s="33"/>
      <c r="AP885" s="33"/>
    </row>
    <row r="886" spans="1:42" ht="15.75" customHeight="1">
      <c r="A886" s="33"/>
      <c r="B886" s="33"/>
      <c r="C886" s="33"/>
      <c r="D886" s="33"/>
      <c r="E886" s="33"/>
      <c r="F886" s="199"/>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216"/>
      <c r="AN886" s="33"/>
      <c r="AO886" s="33"/>
      <c r="AP886" s="33"/>
    </row>
    <row r="887" spans="1:42" ht="15.75" customHeight="1">
      <c r="A887" s="33"/>
      <c r="B887" s="33"/>
      <c r="C887" s="33"/>
      <c r="D887" s="33"/>
      <c r="E887" s="33"/>
      <c r="F887" s="199"/>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216"/>
      <c r="AN887" s="33"/>
      <c r="AO887" s="33"/>
      <c r="AP887" s="33"/>
    </row>
    <row r="888" spans="1:42" ht="15.75" customHeight="1">
      <c r="A888" s="33"/>
      <c r="B888" s="33"/>
      <c r="C888" s="33"/>
      <c r="D888" s="33"/>
      <c r="E888" s="33"/>
      <c r="F888" s="199"/>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216"/>
      <c r="AN888" s="33"/>
      <c r="AO888" s="33"/>
      <c r="AP888" s="33"/>
    </row>
    <row r="889" spans="1:42" ht="15.75" customHeight="1">
      <c r="A889" s="33"/>
      <c r="B889" s="33"/>
      <c r="C889" s="33"/>
      <c r="D889" s="33"/>
      <c r="E889" s="33"/>
      <c r="F889" s="199"/>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216"/>
      <c r="AN889" s="33"/>
      <c r="AO889" s="33"/>
      <c r="AP889" s="33"/>
    </row>
    <row r="890" spans="1:42" ht="15.75" customHeight="1">
      <c r="A890" s="33"/>
      <c r="B890" s="33"/>
      <c r="C890" s="33"/>
      <c r="D890" s="33"/>
      <c r="E890" s="33"/>
      <c r="F890" s="199"/>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216"/>
      <c r="AN890" s="33"/>
      <c r="AO890" s="33"/>
      <c r="AP890" s="33"/>
    </row>
    <row r="891" spans="1:42" ht="15.75" customHeight="1">
      <c r="A891" s="33"/>
      <c r="B891" s="33"/>
      <c r="C891" s="33"/>
      <c r="D891" s="33"/>
      <c r="E891" s="33"/>
      <c r="F891" s="199"/>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216"/>
      <c r="AN891" s="33"/>
      <c r="AO891" s="33"/>
      <c r="AP891" s="33"/>
    </row>
    <row r="892" spans="1:42" ht="15.75" customHeight="1">
      <c r="A892" s="33"/>
      <c r="B892" s="33"/>
      <c r="C892" s="33"/>
      <c r="D892" s="33"/>
      <c r="E892" s="33"/>
      <c r="F892" s="199"/>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216"/>
      <c r="AN892" s="33"/>
      <c r="AO892" s="33"/>
      <c r="AP892" s="33"/>
    </row>
    <row r="893" spans="1:42" ht="15.75" customHeight="1">
      <c r="A893" s="33"/>
      <c r="B893" s="33"/>
      <c r="C893" s="33"/>
      <c r="D893" s="33"/>
      <c r="E893" s="33"/>
      <c r="F893" s="199"/>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216"/>
      <c r="AN893" s="33"/>
      <c r="AO893" s="33"/>
      <c r="AP893" s="33"/>
    </row>
    <row r="894" spans="1:42" ht="15.75" customHeight="1">
      <c r="A894" s="33"/>
      <c r="B894" s="33"/>
      <c r="C894" s="33"/>
      <c r="D894" s="33"/>
      <c r="E894" s="33"/>
      <c r="F894" s="199"/>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216"/>
      <c r="AN894" s="33"/>
      <c r="AO894" s="33"/>
      <c r="AP894" s="33"/>
    </row>
    <row r="895" spans="1:42" ht="15.75" customHeight="1">
      <c r="A895" s="33"/>
      <c r="B895" s="33"/>
      <c r="C895" s="33"/>
      <c r="D895" s="33"/>
      <c r="E895" s="33"/>
      <c r="F895" s="199"/>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216"/>
      <c r="AN895" s="33"/>
      <c r="AO895" s="33"/>
      <c r="AP895" s="33"/>
    </row>
    <row r="896" spans="1:42" ht="15.75" customHeight="1">
      <c r="A896" s="33"/>
      <c r="B896" s="33"/>
      <c r="C896" s="33"/>
      <c r="D896" s="33"/>
      <c r="E896" s="33"/>
      <c r="F896" s="199"/>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216"/>
      <c r="AN896" s="33"/>
      <c r="AO896" s="33"/>
      <c r="AP896" s="33"/>
    </row>
    <row r="897" spans="1:42" ht="15.75" customHeight="1">
      <c r="A897" s="33"/>
      <c r="B897" s="33"/>
      <c r="C897" s="33"/>
      <c r="D897" s="33"/>
      <c r="E897" s="33"/>
      <c r="F897" s="199"/>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216"/>
      <c r="AN897" s="33"/>
      <c r="AO897" s="33"/>
      <c r="AP897" s="33"/>
    </row>
    <row r="898" spans="1:42" ht="15.75" customHeight="1">
      <c r="A898" s="33"/>
      <c r="B898" s="33"/>
      <c r="C898" s="33"/>
      <c r="D898" s="33"/>
      <c r="E898" s="33"/>
      <c r="F898" s="199"/>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216"/>
      <c r="AN898" s="33"/>
      <c r="AO898" s="33"/>
      <c r="AP898" s="33"/>
    </row>
    <row r="899" spans="1:42" ht="15.75" customHeight="1">
      <c r="A899" s="33"/>
      <c r="B899" s="33"/>
      <c r="C899" s="33"/>
      <c r="D899" s="33"/>
      <c r="E899" s="33"/>
      <c r="F899" s="199"/>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216"/>
      <c r="AN899" s="33"/>
      <c r="AO899" s="33"/>
      <c r="AP899" s="33"/>
    </row>
    <row r="900" spans="1:42" ht="15.75" customHeight="1">
      <c r="A900" s="33"/>
      <c r="B900" s="33"/>
      <c r="C900" s="33"/>
      <c r="D900" s="33"/>
      <c r="E900" s="33"/>
      <c r="F900" s="199"/>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216"/>
      <c r="AN900" s="33"/>
      <c r="AO900" s="33"/>
      <c r="AP900" s="33"/>
    </row>
    <row r="901" spans="1:42" ht="15.75" customHeight="1">
      <c r="A901" s="33"/>
      <c r="B901" s="33"/>
      <c r="C901" s="33"/>
      <c r="D901" s="33"/>
      <c r="E901" s="33"/>
      <c r="F901" s="199"/>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216"/>
      <c r="AN901" s="33"/>
      <c r="AO901" s="33"/>
      <c r="AP901" s="33"/>
    </row>
    <row r="902" spans="1:42" ht="15.75" customHeight="1">
      <c r="A902" s="33"/>
      <c r="B902" s="33"/>
      <c r="C902" s="33"/>
      <c r="D902" s="33"/>
      <c r="E902" s="33"/>
      <c r="F902" s="199"/>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216"/>
      <c r="AN902" s="33"/>
      <c r="AO902" s="33"/>
      <c r="AP902" s="33"/>
    </row>
    <row r="903" spans="1:42" ht="15.75" customHeight="1">
      <c r="A903" s="33"/>
      <c r="B903" s="33"/>
      <c r="C903" s="33"/>
      <c r="D903" s="33"/>
      <c r="E903" s="33"/>
      <c r="F903" s="199"/>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216"/>
      <c r="AN903" s="33"/>
      <c r="AO903" s="33"/>
      <c r="AP903" s="33"/>
    </row>
    <row r="904" spans="1:42" ht="15.75" customHeight="1">
      <c r="A904" s="33"/>
      <c r="B904" s="33"/>
      <c r="C904" s="33"/>
      <c r="D904" s="33"/>
      <c r="E904" s="33"/>
      <c r="F904" s="199"/>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216"/>
      <c r="AN904" s="33"/>
      <c r="AO904" s="33"/>
      <c r="AP904" s="33"/>
    </row>
    <row r="905" spans="1:42" ht="15.75" customHeight="1">
      <c r="A905" s="33"/>
      <c r="B905" s="33"/>
      <c r="C905" s="33"/>
      <c r="D905" s="33"/>
      <c r="E905" s="33"/>
      <c r="F905" s="199"/>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216"/>
      <c r="AN905" s="33"/>
      <c r="AO905" s="33"/>
      <c r="AP905" s="33"/>
    </row>
    <row r="906" spans="1:42" ht="15.75" customHeight="1">
      <c r="A906" s="33"/>
      <c r="B906" s="33"/>
      <c r="C906" s="33"/>
      <c r="D906" s="33"/>
      <c r="E906" s="33"/>
      <c r="F906" s="199"/>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216"/>
      <c r="AN906" s="33"/>
      <c r="AO906" s="33"/>
      <c r="AP906" s="33"/>
    </row>
    <row r="907" spans="1:42" ht="15.75" customHeight="1">
      <c r="A907" s="33"/>
      <c r="B907" s="33"/>
      <c r="C907" s="33"/>
      <c r="D907" s="33"/>
      <c r="E907" s="33"/>
      <c r="F907" s="199"/>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216"/>
      <c r="AN907" s="33"/>
      <c r="AO907" s="33"/>
      <c r="AP907" s="33"/>
    </row>
    <row r="908" spans="1:42" ht="15.75" customHeight="1">
      <c r="A908" s="33"/>
      <c r="B908" s="33"/>
      <c r="C908" s="33"/>
      <c r="D908" s="33"/>
      <c r="E908" s="33"/>
      <c r="F908" s="199"/>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216"/>
      <c r="AN908" s="33"/>
      <c r="AO908" s="33"/>
      <c r="AP908" s="33"/>
    </row>
    <row r="909" spans="1:42" ht="15.75" customHeight="1">
      <c r="A909" s="33"/>
      <c r="B909" s="33"/>
      <c r="C909" s="33"/>
      <c r="D909" s="33"/>
      <c r="E909" s="33"/>
      <c r="F909" s="199"/>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216"/>
      <c r="AN909" s="33"/>
      <c r="AO909" s="33"/>
      <c r="AP909" s="33"/>
    </row>
    <row r="910" spans="1:42" ht="15.75" customHeight="1">
      <c r="A910" s="33"/>
      <c r="B910" s="33"/>
      <c r="C910" s="33"/>
      <c r="D910" s="33"/>
      <c r="E910" s="33"/>
      <c r="F910" s="199"/>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216"/>
      <c r="AN910" s="33"/>
      <c r="AO910" s="33"/>
      <c r="AP910" s="33"/>
    </row>
    <row r="911" spans="1:42" ht="15.75" customHeight="1">
      <c r="A911" s="33"/>
      <c r="B911" s="33"/>
      <c r="C911" s="33"/>
      <c r="D911" s="33"/>
      <c r="E911" s="33"/>
      <c r="F911" s="199"/>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216"/>
      <c r="AN911" s="33"/>
      <c r="AO911" s="33"/>
      <c r="AP911" s="33"/>
    </row>
    <row r="912" spans="1:42" ht="15.75" customHeight="1">
      <c r="A912" s="33"/>
      <c r="B912" s="33"/>
      <c r="C912" s="33"/>
      <c r="D912" s="33"/>
      <c r="E912" s="33"/>
      <c r="F912" s="199"/>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216"/>
      <c r="AN912" s="33"/>
      <c r="AO912" s="33"/>
      <c r="AP912" s="33"/>
    </row>
    <row r="913" spans="1:42" ht="15.75" customHeight="1">
      <c r="A913" s="33"/>
      <c r="B913" s="33"/>
      <c r="C913" s="33"/>
      <c r="D913" s="33"/>
      <c r="E913" s="33"/>
      <c r="F913" s="199"/>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216"/>
      <c r="AN913" s="33"/>
      <c r="AO913" s="33"/>
      <c r="AP913" s="33"/>
    </row>
    <row r="914" spans="1:42" ht="15.75" customHeight="1">
      <c r="A914" s="33"/>
      <c r="B914" s="33"/>
      <c r="C914" s="33"/>
      <c r="D914" s="33"/>
      <c r="E914" s="33"/>
      <c r="F914" s="199"/>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216"/>
      <c r="AN914" s="33"/>
      <c r="AO914" s="33"/>
      <c r="AP914" s="33"/>
    </row>
    <row r="915" spans="1:42" ht="15.75" customHeight="1">
      <c r="A915" s="33"/>
      <c r="B915" s="33"/>
      <c r="C915" s="33"/>
      <c r="D915" s="33"/>
      <c r="E915" s="33"/>
      <c r="F915" s="199"/>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216"/>
      <c r="AN915" s="33"/>
      <c r="AO915" s="33"/>
      <c r="AP915" s="33"/>
    </row>
    <row r="916" spans="1:42" ht="15.75" customHeight="1">
      <c r="A916" s="33"/>
      <c r="B916" s="33"/>
      <c r="C916" s="33"/>
      <c r="D916" s="33"/>
      <c r="E916" s="33"/>
      <c r="F916" s="199"/>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216"/>
      <c r="AN916" s="33"/>
      <c r="AO916" s="33"/>
      <c r="AP916" s="33"/>
    </row>
    <row r="917" spans="1:42" ht="15.75" customHeight="1">
      <c r="A917" s="33"/>
      <c r="B917" s="33"/>
      <c r="C917" s="33"/>
      <c r="D917" s="33"/>
      <c r="E917" s="33"/>
      <c r="F917" s="199"/>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216"/>
      <c r="AN917" s="33"/>
      <c r="AO917" s="33"/>
      <c r="AP917" s="33"/>
    </row>
    <row r="918" spans="1:42" ht="15.75" customHeight="1">
      <c r="A918" s="33"/>
      <c r="B918" s="33"/>
      <c r="C918" s="33"/>
      <c r="D918" s="33"/>
      <c r="E918" s="33"/>
      <c r="F918" s="199"/>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216"/>
      <c r="AN918" s="33"/>
      <c r="AO918" s="33"/>
      <c r="AP918" s="33"/>
    </row>
    <row r="919" spans="1:42" ht="15.75" customHeight="1">
      <c r="A919" s="33"/>
      <c r="B919" s="33"/>
      <c r="C919" s="33"/>
      <c r="D919" s="33"/>
      <c r="E919" s="33"/>
      <c r="F919" s="199"/>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216"/>
      <c r="AN919" s="33"/>
      <c r="AO919" s="33"/>
      <c r="AP919" s="33"/>
    </row>
    <row r="920" spans="1:42" ht="15.75" customHeight="1">
      <c r="A920" s="33"/>
      <c r="B920" s="33"/>
      <c r="C920" s="33"/>
      <c r="D920" s="33"/>
      <c r="E920" s="33"/>
      <c r="F920" s="199"/>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216"/>
      <c r="AN920" s="33"/>
      <c r="AO920" s="33"/>
      <c r="AP920" s="33"/>
    </row>
    <row r="921" spans="1:42" ht="15.75" customHeight="1">
      <c r="A921" s="33"/>
      <c r="B921" s="33"/>
      <c r="C921" s="33"/>
      <c r="D921" s="33"/>
      <c r="E921" s="33"/>
      <c r="F921" s="199"/>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216"/>
      <c r="AN921" s="33"/>
      <c r="AO921" s="33"/>
      <c r="AP921" s="33"/>
    </row>
    <row r="922" spans="1:42" ht="15.75" customHeight="1">
      <c r="A922" s="33"/>
      <c r="B922" s="33"/>
      <c r="C922" s="33"/>
      <c r="D922" s="33"/>
      <c r="E922" s="33"/>
      <c r="F922" s="199"/>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216"/>
      <c r="AN922" s="33"/>
      <c r="AO922" s="33"/>
      <c r="AP922" s="33"/>
    </row>
    <row r="923" spans="1:42" ht="15.75" customHeight="1">
      <c r="A923" s="33"/>
      <c r="B923" s="33"/>
      <c r="C923" s="33"/>
      <c r="D923" s="33"/>
      <c r="E923" s="33"/>
      <c r="F923" s="199"/>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216"/>
      <c r="AN923" s="33"/>
      <c r="AO923" s="33"/>
      <c r="AP923" s="33"/>
    </row>
    <row r="924" spans="1:42" ht="15.75" customHeight="1">
      <c r="A924" s="33"/>
      <c r="B924" s="33"/>
      <c r="C924" s="33"/>
      <c r="D924" s="33"/>
      <c r="E924" s="33"/>
      <c r="F924" s="199"/>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216"/>
      <c r="AN924" s="33"/>
      <c r="AO924" s="33"/>
      <c r="AP924" s="33"/>
    </row>
    <row r="925" spans="1:42" ht="15.75" customHeight="1">
      <c r="A925" s="33"/>
      <c r="B925" s="33"/>
      <c r="C925" s="33"/>
      <c r="D925" s="33"/>
      <c r="E925" s="33"/>
      <c r="F925" s="199"/>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216"/>
      <c r="AN925" s="33"/>
      <c r="AO925" s="33"/>
      <c r="AP925" s="33"/>
    </row>
    <row r="926" spans="1:42" ht="15.75" customHeight="1">
      <c r="A926" s="33"/>
      <c r="B926" s="33"/>
      <c r="C926" s="33"/>
      <c r="D926" s="33"/>
      <c r="E926" s="33"/>
      <c r="F926" s="199"/>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216"/>
      <c r="AN926" s="33"/>
      <c r="AO926" s="33"/>
      <c r="AP926" s="33"/>
    </row>
    <row r="927" spans="1:42" ht="15.75" customHeight="1">
      <c r="A927" s="33"/>
      <c r="B927" s="33"/>
      <c r="C927" s="33"/>
      <c r="D927" s="33"/>
      <c r="E927" s="33"/>
      <c r="F927" s="199"/>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216"/>
      <c r="AN927" s="33"/>
      <c r="AO927" s="33"/>
      <c r="AP927" s="33"/>
    </row>
    <row r="928" spans="1:42" ht="15.75" customHeight="1">
      <c r="A928" s="33"/>
      <c r="B928" s="33"/>
      <c r="C928" s="33"/>
      <c r="D928" s="33"/>
      <c r="E928" s="33"/>
      <c r="F928" s="199"/>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216"/>
      <c r="AN928" s="33"/>
      <c r="AO928" s="33"/>
      <c r="AP928" s="33"/>
    </row>
    <row r="929" spans="1:42" ht="15.75" customHeight="1">
      <c r="A929" s="33"/>
      <c r="B929" s="33"/>
      <c r="C929" s="33"/>
      <c r="D929" s="33"/>
      <c r="E929" s="33"/>
      <c r="F929" s="199"/>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216"/>
      <c r="AN929" s="33"/>
      <c r="AO929" s="33"/>
      <c r="AP929" s="33"/>
    </row>
    <row r="930" spans="1:42" ht="15.75" customHeight="1">
      <c r="A930" s="33"/>
      <c r="B930" s="33"/>
      <c r="C930" s="33"/>
      <c r="D930" s="33"/>
      <c r="E930" s="33"/>
      <c r="F930" s="199"/>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216"/>
      <c r="AN930" s="33"/>
      <c r="AO930" s="33"/>
      <c r="AP930" s="33"/>
    </row>
    <row r="931" spans="1:42" ht="15.75" customHeight="1">
      <c r="A931" s="33"/>
      <c r="B931" s="33"/>
      <c r="C931" s="33"/>
      <c r="D931" s="33"/>
      <c r="E931" s="33"/>
      <c r="F931" s="199"/>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216"/>
      <c r="AN931" s="33"/>
      <c r="AO931" s="33"/>
      <c r="AP931" s="33"/>
    </row>
    <row r="932" spans="1:42" ht="15.75" customHeight="1">
      <c r="A932" s="33"/>
      <c r="B932" s="33"/>
      <c r="C932" s="33"/>
      <c r="D932" s="33"/>
      <c r="E932" s="33"/>
      <c r="F932" s="199"/>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216"/>
      <c r="AN932" s="33"/>
      <c r="AO932" s="33"/>
      <c r="AP932" s="33"/>
    </row>
    <row r="933" spans="1:42" ht="15.75" customHeight="1">
      <c r="A933" s="33"/>
      <c r="B933" s="33"/>
      <c r="C933" s="33"/>
      <c r="D933" s="33"/>
      <c r="E933" s="33"/>
      <c r="F933" s="199"/>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216"/>
      <c r="AN933" s="33"/>
      <c r="AO933" s="33"/>
      <c r="AP933" s="33"/>
    </row>
    <row r="934" spans="1:42" ht="15.75" customHeight="1">
      <c r="A934" s="33"/>
      <c r="B934" s="33"/>
      <c r="C934" s="33"/>
      <c r="D934" s="33"/>
      <c r="E934" s="33"/>
      <c r="F934" s="199"/>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216"/>
      <c r="AN934" s="33"/>
      <c r="AO934" s="33"/>
      <c r="AP934" s="33"/>
    </row>
    <row r="935" spans="1:42" ht="15.75" customHeight="1">
      <c r="A935" s="33"/>
      <c r="B935" s="33"/>
      <c r="C935" s="33"/>
      <c r="D935" s="33"/>
      <c r="E935" s="33"/>
      <c r="F935" s="199"/>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216"/>
      <c r="AN935" s="33"/>
      <c r="AO935" s="33"/>
      <c r="AP935" s="33"/>
    </row>
    <row r="936" spans="1:42" ht="15.75" customHeight="1">
      <c r="A936" s="33"/>
      <c r="B936" s="33"/>
      <c r="C936" s="33"/>
      <c r="D936" s="33"/>
      <c r="E936" s="33"/>
      <c r="F936" s="199"/>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216"/>
      <c r="AN936" s="33"/>
      <c r="AO936" s="33"/>
      <c r="AP936" s="33"/>
    </row>
    <row r="937" spans="1:42" ht="15.75" customHeight="1">
      <c r="A937" s="33"/>
      <c r="B937" s="33"/>
      <c r="C937" s="33"/>
      <c r="D937" s="33"/>
      <c r="E937" s="33"/>
      <c r="F937" s="199"/>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216"/>
      <c r="AN937" s="33"/>
      <c r="AO937" s="33"/>
      <c r="AP937" s="33"/>
    </row>
    <row r="938" spans="1:42" ht="15.75" customHeight="1">
      <c r="A938" s="33"/>
      <c r="B938" s="33"/>
      <c r="C938" s="33"/>
      <c r="D938" s="33"/>
      <c r="E938" s="33"/>
      <c r="F938" s="199"/>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216"/>
      <c r="AN938" s="33"/>
      <c r="AO938" s="33"/>
      <c r="AP938" s="33"/>
    </row>
    <row r="939" spans="1:42" ht="15.75" customHeight="1">
      <c r="A939" s="33"/>
      <c r="B939" s="33"/>
      <c r="C939" s="33"/>
      <c r="D939" s="33"/>
      <c r="E939" s="33"/>
      <c r="F939" s="199"/>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216"/>
      <c r="AN939" s="33"/>
      <c r="AO939" s="33"/>
      <c r="AP939" s="33"/>
    </row>
    <row r="940" spans="1:42" ht="15.75" customHeight="1">
      <c r="A940" s="33"/>
      <c r="B940" s="33"/>
      <c r="C940" s="33"/>
      <c r="D940" s="33"/>
      <c r="E940" s="33"/>
      <c r="F940" s="199"/>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216"/>
      <c r="AN940" s="33"/>
      <c r="AO940" s="33"/>
      <c r="AP940" s="33"/>
    </row>
    <row r="941" spans="1:42" ht="15.75" customHeight="1">
      <c r="A941" s="33"/>
      <c r="B941" s="33"/>
      <c r="C941" s="33"/>
      <c r="D941" s="33"/>
      <c r="E941" s="33"/>
      <c r="F941" s="199"/>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216"/>
      <c r="AN941" s="33"/>
      <c r="AO941" s="33"/>
      <c r="AP941" s="33"/>
    </row>
    <row r="942" spans="1:42" ht="15.75" customHeight="1">
      <c r="A942" s="33"/>
      <c r="B942" s="33"/>
      <c r="C942" s="33"/>
      <c r="D942" s="33"/>
      <c r="E942" s="33"/>
      <c r="F942" s="199"/>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216"/>
      <c r="AN942" s="33"/>
      <c r="AO942" s="33"/>
      <c r="AP942" s="33"/>
    </row>
    <row r="943" spans="1:42" ht="15.75" customHeight="1">
      <c r="A943" s="33"/>
      <c r="B943" s="33"/>
      <c r="C943" s="33"/>
      <c r="D943" s="33"/>
      <c r="E943" s="33"/>
      <c r="F943" s="199"/>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216"/>
      <c r="AN943" s="33"/>
      <c r="AO943" s="33"/>
      <c r="AP943" s="33"/>
    </row>
    <row r="944" spans="1:42" ht="15.75" customHeight="1">
      <c r="A944" s="33"/>
      <c r="B944" s="33"/>
      <c r="C944" s="33"/>
      <c r="D944" s="33"/>
      <c r="E944" s="33"/>
      <c r="F944" s="199"/>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216"/>
      <c r="AN944" s="33"/>
      <c r="AO944" s="33"/>
      <c r="AP944" s="33"/>
    </row>
    <row r="945" spans="1:42" ht="15.75" customHeight="1">
      <c r="A945" s="33"/>
      <c r="B945" s="33"/>
      <c r="C945" s="33"/>
      <c r="D945" s="33"/>
      <c r="E945" s="33"/>
      <c r="F945" s="199"/>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216"/>
      <c r="AN945" s="33"/>
      <c r="AO945" s="33"/>
      <c r="AP945" s="33"/>
    </row>
    <row r="946" spans="1:42" ht="15.75" customHeight="1">
      <c r="A946" s="33"/>
      <c r="B946" s="33"/>
      <c r="C946" s="33"/>
      <c r="D946" s="33"/>
      <c r="E946" s="33"/>
      <c r="F946" s="199"/>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216"/>
      <c r="AN946" s="33"/>
      <c r="AO946" s="33"/>
      <c r="AP946" s="33"/>
    </row>
    <row r="947" spans="1:42" ht="15.75" customHeight="1">
      <c r="A947" s="33"/>
      <c r="B947" s="33"/>
      <c r="C947" s="33"/>
      <c r="D947" s="33"/>
      <c r="E947" s="33"/>
      <c r="F947" s="199"/>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216"/>
      <c r="AN947" s="33"/>
      <c r="AO947" s="33"/>
      <c r="AP947" s="33"/>
    </row>
    <row r="948" spans="1:42" ht="15.75" customHeight="1">
      <c r="A948" s="33"/>
      <c r="B948" s="33"/>
      <c r="C948" s="33"/>
      <c r="D948" s="33"/>
      <c r="E948" s="33"/>
      <c r="F948" s="199"/>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216"/>
      <c r="AN948" s="33"/>
      <c r="AO948" s="33"/>
      <c r="AP948" s="33"/>
    </row>
    <row r="949" spans="1:42" ht="15.75" customHeight="1">
      <c r="A949" s="33"/>
      <c r="B949" s="33"/>
      <c r="C949" s="33"/>
      <c r="D949" s="33"/>
      <c r="E949" s="33"/>
      <c r="F949" s="199"/>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216"/>
      <c r="AN949" s="33"/>
      <c r="AO949" s="33"/>
      <c r="AP949" s="33"/>
    </row>
    <row r="950" spans="1:42" ht="15.75" customHeight="1">
      <c r="A950" s="33"/>
      <c r="B950" s="33"/>
      <c r="C950" s="33"/>
      <c r="D950" s="33"/>
      <c r="E950" s="33"/>
      <c r="F950" s="199"/>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216"/>
      <c r="AN950" s="33"/>
      <c r="AO950" s="33"/>
      <c r="AP950" s="33"/>
    </row>
    <row r="951" spans="1:42" ht="15.75" customHeight="1">
      <c r="A951" s="33"/>
      <c r="B951" s="33"/>
      <c r="C951" s="33"/>
      <c r="D951" s="33"/>
      <c r="E951" s="33"/>
      <c r="F951" s="199"/>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216"/>
      <c r="AN951" s="33"/>
      <c r="AO951" s="33"/>
      <c r="AP951" s="33"/>
    </row>
    <row r="952" spans="1:42" ht="15.75" customHeight="1">
      <c r="A952" s="33"/>
      <c r="B952" s="33"/>
      <c r="C952" s="33"/>
      <c r="D952" s="33"/>
      <c r="E952" s="33"/>
      <c r="F952" s="199"/>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216"/>
      <c r="AN952" s="33"/>
      <c r="AO952" s="33"/>
      <c r="AP952" s="33"/>
    </row>
    <row r="953" spans="1:42" ht="15.75" customHeight="1">
      <c r="A953" s="33"/>
      <c r="B953" s="33"/>
      <c r="C953" s="33"/>
      <c r="D953" s="33"/>
      <c r="E953" s="33"/>
      <c r="F953" s="199"/>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216"/>
      <c r="AN953" s="33"/>
      <c r="AO953" s="33"/>
      <c r="AP953" s="33"/>
    </row>
    <row r="954" spans="1:42" ht="15.75" customHeight="1">
      <c r="A954" s="33"/>
      <c r="B954" s="33"/>
      <c r="C954" s="33"/>
      <c r="D954" s="33"/>
      <c r="E954" s="33"/>
      <c r="F954" s="199"/>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216"/>
      <c r="AN954" s="33"/>
      <c r="AO954" s="33"/>
      <c r="AP954" s="33"/>
    </row>
    <row r="955" spans="1:42" ht="15.75" customHeight="1">
      <c r="A955" s="33"/>
      <c r="B955" s="33"/>
      <c r="C955" s="33"/>
      <c r="D955" s="33"/>
      <c r="E955" s="33"/>
      <c r="F955" s="199"/>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216"/>
      <c r="AN955" s="33"/>
      <c r="AO955" s="33"/>
      <c r="AP955" s="33"/>
    </row>
    <row r="956" spans="1:42" ht="15.75" customHeight="1">
      <c r="A956" s="33"/>
      <c r="B956" s="33"/>
      <c r="C956" s="33"/>
      <c r="D956" s="33"/>
      <c r="E956" s="33"/>
      <c r="F956" s="199"/>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216"/>
      <c r="AN956" s="33"/>
      <c r="AO956" s="33"/>
      <c r="AP956" s="33"/>
    </row>
    <row r="957" spans="1:42" ht="15.75" customHeight="1">
      <c r="A957" s="33"/>
      <c r="B957" s="33"/>
      <c r="C957" s="33"/>
      <c r="D957" s="33"/>
      <c r="E957" s="33"/>
      <c r="F957" s="199"/>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216"/>
      <c r="AN957" s="33"/>
      <c r="AO957" s="33"/>
      <c r="AP957" s="33"/>
    </row>
    <row r="958" spans="1:42" ht="15.75" customHeight="1">
      <c r="A958" s="33"/>
      <c r="B958" s="33"/>
      <c r="C958" s="33"/>
      <c r="D958" s="33"/>
      <c r="E958" s="33"/>
      <c r="F958" s="199"/>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216"/>
      <c r="AN958" s="33"/>
      <c r="AO958" s="33"/>
      <c r="AP958" s="33"/>
    </row>
    <row r="959" spans="1:42" ht="15.75" customHeight="1">
      <c r="A959" s="33"/>
      <c r="B959" s="33"/>
      <c r="C959" s="33"/>
      <c r="D959" s="33"/>
      <c r="E959" s="33"/>
      <c r="F959" s="199"/>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216"/>
      <c r="AN959" s="33"/>
      <c r="AO959" s="33"/>
      <c r="AP959" s="33"/>
    </row>
    <row r="960" spans="1:42" ht="15.75" customHeight="1">
      <c r="A960" s="33"/>
      <c r="B960" s="33"/>
      <c r="C960" s="33"/>
      <c r="D960" s="33"/>
      <c r="E960" s="33"/>
      <c r="F960" s="199"/>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216"/>
      <c r="AN960" s="33"/>
      <c r="AO960" s="33"/>
      <c r="AP960" s="33"/>
    </row>
    <row r="961" spans="1:42" ht="15.75" customHeight="1">
      <c r="A961" s="33"/>
      <c r="B961" s="33"/>
      <c r="C961" s="33"/>
      <c r="D961" s="33"/>
      <c r="E961" s="33"/>
      <c r="F961" s="199"/>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216"/>
      <c r="AN961" s="33"/>
      <c r="AO961" s="33"/>
      <c r="AP961" s="33"/>
    </row>
    <row r="962" spans="1:42" ht="15.75" customHeight="1">
      <c r="A962" s="33"/>
      <c r="B962" s="33"/>
      <c r="C962" s="33"/>
      <c r="D962" s="33"/>
      <c r="E962" s="33"/>
      <c r="F962" s="199"/>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216"/>
      <c r="AN962" s="33"/>
      <c r="AO962" s="33"/>
      <c r="AP962" s="33"/>
    </row>
    <row r="963" spans="1:42" ht="15.75" customHeight="1">
      <c r="A963" s="33"/>
      <c r="B963" s="33"/>
      <c r="C963" s="33"/>
      <c r="D963" s="33"/>
      <c r="E963" s="33"/>
      <c r="F963" s="199"/>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216"/>
      <c r="AN963" s="33"/>
      <c r="AO963" s="33"/>
      <c r="AP963" s="33"/>
    </row>
    <row r="964" spans="1:42" ht="15.75" customHeight="1">
      <c r="A964" s="33"/>
      <c r="B964" s="33"/>
      <c r="C964" s="33"/>
      <c r="D964" s="33"/>
      <c r="E964" s="33"/>
      <c r="F964" s="199"/>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216"/>
      <c r="AN964" s="33"/>
      <c r="AO964" s="33"/>
      <c r="AP964" s="33"/>
    </row>
    <row r="965" spans="1:42" ht="15.75" customHeight="1">
      <c r="A965" s="33"/>
      <c r="B965" s="33"/>
      <c r="C965" s="33"/>
      <c r="D965" s="33"/>
      <c r="E965" s="33"/>
      <c r="F965" s="199"/>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216"/>
      <c r="AN965" s="33"/>
      <c r="AO965" s="33"/>
      <c r="AP965" s="33"/>
    </row>
    <row r="966" spans="1:42" ht="15.75" customHeight="1">
      <c r="A966" s="33"/>
      <c r="B966" s="33"/>
      <c r="C966" s="33"/>
      <c r="D966" s="33"/>
      <c r="E966" s="33"/>
      <c r="F966" s="199"/>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216"/>
      <c r="AN966" s="33"/>
      <c r="AO966" s="33"/>
      <c r="AP966" s="33"/>
    </row>
    <row r="967" spans="1:42" ht="15.75" customHeight="1">
      <c r="A967" s="33"/>
      <c r="B967" s="33"/>
      <c r="C967" s="33"/>
      <c r="D967" s="33"/>
      <c r="E967" s="33"/>
      <c r="F967" s="199"/>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216"/>
      <c r="AN967" s="33"/>
      <c r="AO967" s="33"/>
      <c r="AP967" s="33"/>
    </row>
    <row r="968" spans="1:42" ht="15.75" customHeight="1">
      <c r="A968" s="33"/>
      <c r="B968" s="33"/>
      <c r="C968" s="33"/>
      <c r="D968" s="33"/>
      <c r="E968" s="33"/>
      <c r="F968" s="199"/>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216"/>
      <c r="AN968" s="33"/>
      <c r="AO968" s="33"/>
      <c r="AP968" s="33"/>
    </row>
    <row r="969" spans="1:42" ht="15.75" customHeight="1">
      <c r="A969" s="33"/>
      <c r="B969" s="33"/>
      <c r="C969" s="33"/>
      <c r="D969" s="33"/>
      <c r="E969" s="33"/>
      <c r="F969" s="199"/>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27"/>
      <c r="AL969" s="33"/>
      <c r="AM969" s="33"/>
      <c r="AN969" s="33"/>
      <c r="AO969" s="33"/>
      <c r="AP969" s="33"/>
    </row>
    <row r="970" spans="1:42" ht="15.75" customHeight="1">
      <c r="A970" s="33"/>
      <c r="B970" s="33"/>
      <c r="C970" s="33"/>
      <c r="D970" s="33"/>
      <c r="E970" s="33"/>
      <c r="F970" s="199"/>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27"/>
      <c r="AL970" s="33"/>
      <c r="AM970" s="33"/>
      <c r="AN970" s="33"/>
      <c r="AO970" s="33"/>
      <c r="AP970" s="33"/>
    </row>
    <row r="971" spans="1:42" ht="15.75" customHeight="1">
      <c r="A971" s="33"/>
      <c r="B971" s="33"/>
      <c r="C971" s="33"/>
      <c r="D971" s="33"/>
      <c r="E971" s="33"/>
      <c r="F971" s="199"/>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27"/>
      <c r="AL971" s="33"/>
      <c r="AM971" s="33"/>
      <c r="AN971" s="33"/>
      <c r="AO971" s="33"/>
      <c r="AP971" s="33"/>
    </row>
    <row r="972" spans="1:42" ht="15.75" customHeight="1">
      <c r="A972" s="33"/>
      <c r="B972" s="33"/>
      <c r="C972" s="33"/>
      <c r="D972" s="33"/>
      <c r="E972" s="33"/>
      <c r="F972" s="199"/>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27"/>
      <c r="AL972" s="33"/>
      <c r="AM972" s="33"/>
      <c r="AN972" s="33"/>
      <c r="AO972" s="33"/>
      <c r="AP972" s="33"/>
    </row>
    <row r="973" spans="1:42" ht="15.75" customHeight="1">
      <c r="A973" s="33"/>
      <c r="B973" s="33"/>
      <c r="C973" s="33"/>
      <c r="D973" s="33"/>
      <c r="E973" s="33"/>
      <c r="F973" s="199"/>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27"/>
      <c r="AL973" s="33"/>
      <c r="AM973" s="33"/>
      <c r="AN973" s="33"/>
      <c r="AO973" s="33"/>
      <c r="AP973" s="33"/>
    </row>
    <row r="974" spans="1:42" ht="15.75" customHeight="1">
      <c r="A974" s="33"/>
      <c r="B974" s="33"/>
      <c r="C974" s="33"/>
      <c r="D974" s="33"/>
      <c r="E974" s="33"/>
      <c r="F974" s="199"/>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27"/>
      <c r="AL974" s="33"/>
      <c r="AM974" s="33"/>
      <c r="AN974" s="33"/>
      <c r="AO974" s="33"/>
      <c r="AP974" s="33"/>
    </row>
    <row r="975" spans="1:42" ht="15.75" customHeight="1">
      <c r="A975" s="33"/>
      <c r="B975" s="33"/>
      <c r="C975" s="33"/>
      <c r="D975" s="33"/>
      <c r="E975" s="33"/>
      <c r="F975" s="199"/>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27"/>
      <c r="AL975" s="33"/>
      <c r="AM975" s="33"/>
      <c r="AN975" s="33"/>
      <c r="AO975" s="33"/>
      <c r="AP975" s="33"/>
    </row>
    <row r="976" spans="1:42" ht="15.75" customHeight="1">
      <c r="A976" s="33"/>
      <c r="B976" s="33"/>
      <c r="C976" s="33"/>
      <c r="D976" s="33"/>
      <c r="E976" s="33"/>
      <c r="F976" s="199"/>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27"/>
      <c r="AL976" s="33"/>
      <c r="AM976" s="33"/>
      <c r="AN976" s="33"/>
      <c r="AO976" s="33"/>
      <c r="AP976" s="33"/>
    </row>
    <row r="977" spans="1:42" ht="15.75" customHeight="1">
      <c r="A977" s="33"/>
      <c r="B977" s="33"/>
      <c r="C977" s="33"/>
      <c r="D977" s="33"/>
      <c r="E977" s="33"/>
      <c r="F977" s="199"/>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27"/>
      <c r="AL977" s="33"/>
      <c r="AM977" s="33"/>
      <c r="AN977" s="33"/>
      <c r="AO977" s="33"/>
      <c r="AP977" s="33"/>
    </row>
    <row r="978" spans="1:42" ht="15.75" customHeight="1">
      <c r="A978" s="33"/>
      <c r="B978" s="33"/>
      <c r="C978" s="33"/>
      <c r="D978" s="33"/>
      <c r="E978" s="33"/>
      <c r="F978" s="199"/>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27"/>
      <c r="AL978" s="33"/>
      <c r="AM978" s="33"/>
      <c r="AN978" s="33"/>
      <c r="AO978" s="33"/>
      <c r="AP978" s="33"/>
    </row>
    <row r="979" spans="1:42" ht="15.75" customHeight="1">
      <c r="A979" s="33"/>
      <c r="B979" s="33"/>
      <c r="C979" s="33"/>
      <c r="D979" s="33"/>
      <c r="E979" s="33"/>
      <c r="F979" s="199"/>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27"/>
      <c r="AL979" s="33"/>
      <c r="AM979" s="33"/>
      <c r="AN979" s="33"/>
      <c r="AO979" s="33"/>
      <c r="AP979" s="33"/>
    </row>
    <row r="980" spans="1:42" ht="15.75" customHeight="1">
      <c r="A980" s="33"/>
      <c r="B980" s="33"/>
      <c r="C980" s="33"/>
      <c r="D980" s="33"/>
      <c r="E980" s="33"/>
      <c r="F980" s="199"/>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27"/>
      <c r="AL980" s="33"/>
      <c r="AM980" s="33"/>
      <c r="AN980" s="33"/>
      <c r="AO980" s="33"/>
      <c r="AP980" s="33"/>
    </row>
    <row r="981" spans="1:42" ht="15.75" customHeight="1">
      <c r="A981" s="33"/>
      <c r="B981" s="33"/>
      <c r="C981" s="33"/>
      <c r="D981" s="33"/>
      <c r="E981" s="33"/>
      <c r="F981" s="199"/>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27"/>
      <c r="AL981" s="33"/>
      <c r="AM981" s="33"/>
      <c r="AN981" s="33"/>
      <c r="AO981" s="33"/>
      <c r="AP981" s="33"/>
    </row>
    <row r="982" spans="1:42" ht="15.75" customHeight="1">
      <c r="A982" s="33"/>
      <c r="B982" s="33"/>
      <c r="C982" s="33"/>
      <c r="D982" s="33"/>
      <c r="E982" s="33"/>
      <c r="F982" s="199"/>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27"/>
      <c r="AL982" s="33"/>
      <c r="AM982" s="33"/>
      <c r="AN982" s="33"/>
      <c r="AO982" s="33"/>
      <c r="AP982" s="33"/>
    </row>
    <row r="983" spans="1:42" ht="15.75" customHeight="1">
      <c r="A983" s="33"/>
      <c r="B983" s="33"/>
      <c r="C983" s="33"/>
      <c r="D983" s="33"/>
      <c r="E983" s="33"/>
      <c r="F983" s="199"/>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27"/>
      <c r="AL983" s="33"/>
      <c r="AM983" s="33"/>
      <c r="AN983" s="33"/>
      <c r="AO983" s="33"/>
      <c r="AP983" s="33"/>
    </row>
    <row r="984" spans="1:42" ht="15.75" customHeight="1">
      <c r="A984" s="33"/>
      <c r="B984" s="33"/>
      <c r="C984" s="33"/>
      <c r="D984" s="33"/>
      <c r="E984" s="33"/>
      <c r="F984" s="199"/>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27"/>
      <c r="AL984" s="33"/>
      <c r="AM984" s="33"/>
      <c r="AN984" s="33"/>
      <c r="AO984" s="33"/>
      <c r="AP984" s="33"/>
    </row>
    <row r="985" spans="1:42" ht="15.75" customHeight="1">
      <c r="A985" s="33"/>
      <c r="B985" s="33"/>
      <c r="C985" s="33"/>
      <c r="D985" s="33"/>
      <c r="E985" s="33"/>
      <c r="F985" s="199"/>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27"/>
      <c r="AL985" s="33"/>
      <c r="AM985" s="33"/>
      <c r="AN985" s="33"/>
      <c r="AO985" s="33"/>
      <c r="AP985" s="33"/>
    </row>
    <row r="986" spans="1:42" ht="15.75" customHeight="1">
      <c r="A986" s="33"/>
      <c r="B986" s="33"/>
      <c r="C986" s="33"/>
      <c r="D986" s="33"/>
      <c r="E986" s="33"/>
      <c r="F986" s="199"/>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27"/>
      <c r="AL986" s="33"/>
      <c r="AM986" s="33"/>
      <c r="AN986" s="33"/>
      <c r="AO986" s="33"/>
      <c r="AP986" s="33"/>
    </row>
    <row r="987" spans="1:42" ht="15.75" customHeight="1">
      <c r="A987" s="33"/>
      <c r="B987" s="33"/>
      <c r="C987" s="33"/>
      <c r="D987" s="33"/>
      <c r="E987" s="33"/>
      <c r="F987" s="199"/>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27"/>
      <c r="AL987" s="33"/>
      <c r="AM987" s="33"/>
      <c r="AN987" s="33"/>
      <c r="AO987" s="33"/>
      <c r="AP987" s="33"/>
    </row>
    <row r="988" spans="1:42" ht="15.75" customHeight="1">
      <c r="A988" s="33"/>
      <c r="B988" s="33"/>
      <c r="C988" s="33"/>
      <c r="D988" s="33"/>
      <c r="E988" s="33"/>
      <c r="F988" s="199"/>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27"/>
      <c r="AL988" s="33"/>
      <c r="AM988" s="33"/>
      <c r="AN988" s="33"/>
      <c r="AO988" s="33"/>
      <c r="AP988" s="33"/>
    </row>
    <row r="989" spans="1:42" ht="15.75" customHeight="1">
      <c r="A989" s="33"/>
      <c r="B989" s="33"/>
      <c r="C989" s="33"/>
      <c r="D989" s="33"/>
      <c r="E989" s="33"/>
      <c r="F989" s="199"/>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27"/>
      <c r="AL989" s="33"/>
      <c r="AM989" s="33"/>
      <c r="AN989" s="33"/>
      <c r="AO989" s="33"/>
      <c r="AP989" s="33"/>
    </row>
    <row r="990" spans="1:42" ht="15.75" customHeight="1">
      <c r="A990" s="33"/>
      <c r="B990" s="33"/>
      <c r="C990" s="33"/>
      <c r="D990" s="33"/>
      <c r="E990" s="33"/>
      <c r="F990" s="199"/>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27"/>
      <c r="AL990" s="33"/>
      <c r="AM990" s="33"/>
      <c r="AN990" s="33"/>
      <c r="AO990" s="33"/>
      <c r="AP990" s="33"/>
    </row>
    <row r="991" spans="1:42" ht="15.75" customHeight="1">
      <c r="A991" s="33"/>
      <c r="B991" s="33"/>
      <c r="C991" s="33"/>
      <c r="D991" s="33"/>
      <c r="E991" s="33"/>
      <c r="F991" s="199"/>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27"/>
      <c r="AL991" s="33"/>
      <c r="AM991" s="33"/>
      <c r="AN991" s="33"/>
      <c r="AO991" s="33"/>
      <c r="AP991" s="33"/>
    </row>
    <row r="992" spans="1:42" ht="15.75" customHeight="1">
      <c r="A992" s="33"/>
      <c r="B992" s="33"/>
      <c r="C992" s="33"/>
      <c r="D992" s="33"/>
      <c r="E992" s="33"/>
      <c r="F992" s="199"/>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27"/>
      <c r="AL992" s="33"/>
      <c r="AM992" s="33"/>
      <c r="AN992" s="33"/>
      <c r="AO992" s="33"/>
      <c r="AP992" s="33"/>
    </row>
    <row r="993" spans="1:42" ht="15.75" customHeight="1">
      <c r="A993" s="33"/>
      <c r="B993" s="33"/>
      <c r="C993" s="33"/>
      <c r="D993" s="33"/>
      <c r="E993" s="33"/>
      <c r="F993" s="199"/>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27"/>
      <c r="AL993" s="33"/>
      <c r="AM993" s="33"/>
      <c r="AN993" s="33"/>
      <c r="AO993" s="33"/>
      <c r="AP993" s="33"/>
    </row>
    <row r="994" spans="1:42" ht="15.75" customHeight="1">
      <c r="A994" s="33"/>
      <c r="B994" s="33"/>
      <c r="C994" s="33"/>
      <c r="D994" s="33"/>
      <c r="E994" s="33"/>
      <c r="F994" s="199"/>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27"/>
      <c r="AL994" s="33"/>
      <c r="AM994" s="33"/>
      <c r="AN994" s="33"/>
      <c r="AO994" s="33"/>
      <c r="AP994" s="33"/>
    </row>
    <row r="995" spans="1:42" ht="15.75" customHeight="1">
      <c r="A995" s="33"/>
      <c r="B995" s="33"/>
      <c r="C995" s="33"/>
      <c r="D995" s="33"/>
      <c r="E995" s="33"/>
      <c r="F995" s="199"/>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27"/>
      <c r="AL995" s="33"/>
      <c r="AM995" s="33"/>
      <c r="AN995" s="33"/>
      <c r="AO995" s="33"/>
      <c r="AP995" s="33"/>
    </row>
    <row r="996" spans="1:42" ht="15.75" customHeight="1">
      <c r="A996" s="33"/>
      <c r="B996" s="33"/>
      <c r="C996" s="33"/>
      <c r="D996" s="33"/>
      <c r="E996" s="33"/>
      <c r="F996" s="199"/>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27"/>
      <c r="AL996" s="33"/>
      <c r="AM996" s="33"/>
      <c r="AN996" s="33"/>
      <c r="AO996" s="33"/>
      <c r="AP996" s="33"/>
    </row>
    <row r="997" spans="1:42" ht="15.75" customHeight="1">
      <c r="A997" s="33"/>
      <c r="B997" s="33"/>
      <c r="C997" s="33"/>
      <c r="D997" s="33"/>
      <c r="E997" s="33"/>
      <c r="F997" s="199"/>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27"/>
      <c r="AL997" s="33"/>
      <c r="AM997" s="33"/>
      <c r="AN997" s="33"/>
      <c r="AO997" s="33"/>
      <c r="AP997" s="33"/>
    </row>
    <row r="998" spans="1:42" ht="15.75" customHeight="1">
      <c r="A998" s="33"/>
      <c r="B998" s="33"/>
      <c r="C998" s="33"/>
      <c r="D998" s="33"/>
      <c r="E998" s="33"/>
      <c r="F998" s="199"/>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27"/>
      <c r="AL998" s="33"/>
      <c r="AM998" s="33"/>
      <c r="AN998" s="33"/>
      <c r="AO998" s="33"/>
      <c r="AP998" s="33"/>
    </row>
    <row r="999" spans="1:42" ht="15.75" customHeight="1">
      <c r="A999" s="33"/>
      <c r="B999" s="33"/>
      <c r="C999" s="33"/>
      <c r="D999" s="33"/>
      <c r="E999" s="33"/>
      <c r="F999" s="199"/>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27"/>
      <c r="AL999" s="33"/>
      <c r="AM999" s="33"/>
      <c r="AN999" s="33"/>
      <c r="AO999" s="33"/>
      <c r="AP999" s="33"/>
    </row>
    <row r="1000" spans="1:42" ht="15.75" customHeight="1">
      <c r="A1000" s="33"/>
      <c r="B1000" s="33"/>
      <c r="C1000" s="33"/>
      <c r="D1000" s="33"/>
      <c r="E1000" s="33"/>
      <c r="F1000" s="199"/>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27"/>
      <c r="AL1000" s="33"/>
      <c r="AM1000" s="33"/>
      <c r="AN1000" s="33"/>
      <c r="AO1000" s="33"/>
      <c r="AP1000" s="33"/>
    </row>
    <row r="1001" spans="1:42" ht="15.75" customHeight="1">
      <c r="A1001" s="33"/>
      <c r="B1001" s="33"/>
      <c r="C1001" s="33"/>
      <c r="D1001" s="33"/>
      <c r="E1001" s="33"/>
      <c r="F1001" s="199"/>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27"/>
      <c r="AL1001" s="33"/>
      <c r="AM1001" s="33"/>
      <c r="AN1001" s="33"/>
      <c r="AO1001" s="33"/>
      <c r="AP1001" s="33"/>
    </row>
    <row r="1002" spans="1:42" ht="15.75" customHeight="1">
      <c r="A1002" s="33"/>
      <c r="B1002" s="33"/>
      <c r="C1002" s="33"/>
      <c r="D1002" s="33"/>
      <c r="E1002" s="33"/>
      <c r="F1002" s="199"/>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27"/>
      <c r="AL1002" s="33"/>
      <c r="AM1002" s="33"/>
      <c r="AN1002" s="33"/>
      <c r="AO1002" s="33"/>
      <c r="AP1002" s="33"/>
    </row>
    <row r="1003" spans="1:42" ht="15.75" customHeight="1">
      <c r="A1003" s="33"/>
      <c r="B1003" s="33"/>
      <c r="C1003" s="33"/>
      <c r="D1003" s="33"/>
      <c r="E1003" s="33"/>
      <c r="F1003" s="199"/>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c r="AI1003" s="33"/>
      <c r="AJ1003" s="33"/>
      <c r="AK1003" s="27"/>
      <c r="AL1003" s="33"/>
      <c r="AM1003" s="33"/>
      <c r="AN1003" s="33"/>
      <c r="AO1003" s="33"/>
      <c r="AP1003" s="33"/>
    </row>
    <row r="1004" spans="1:42" ht="15.75" customHeight="1">
      <c r="A1004" s="33"/>
      <c r="B1004" s="33"/>
      <c r="C1004" s="33"/>
      <c r="D1004" s="33"/>
      <c r="E1004" s="33"/>
      <c r="F1004" s="199"/>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216"/>
      <c r="AL1004" s="33"/>
      <c r="AM1004" s="33"/>
      <c r="AN1004" s="33"/>
      <c r="AO1004" s="33"/>
      <c r="AP1004" s="33"/>
    </row>
    <row r="1005" spans="1:42" ht="15.75" customHeight="1">
      <c r="A1005" s="33"/>
      <c r="B1005" s="33"/>
      <c r="C1005" s="33"/>
      <c r="D1005" s="33"/>
      <c r="E1005" s="33"/>
      <c r="F1005" s="199"/>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c r="AG1005" s="33"/>
      <c r="AH1005" s="33"/>
      <c r="AI1005" s="33"/>
      <c r="AJ1005" s="33"/>
      <c r="AK1005" s="216"/>
      <c r="AL1005" s="33"/>
      <c r="AM1005" s="33"/>
      <c r="AN1005" s="33"/>
      <c r="AO1005" s="33"/>
      <c r="AP1005" s="33"/>
    </row>
    <row r="1006" spans="1:42" ht="15.75" customHeight="1">
      <c r="A1006" s="33"/>
      <c r="B1006" s="33"/>
      <c r="C1006" s="33"/>
      <c r="D1006" s="33"/>
      <c r="E1006" s="33"/>
      <c r="F1006" s="199"/>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c r="AF1006" s="33"/>
      <c r="AG1006" s="33"/>
      <c r="AH1006" s="33"/>
      <c r="AI1006" s="33"/>
      <c r="AJ1006" s="33"/>
      <c r="AK1006" s="216"/>
      <c r="AL1006" s="33"/>
      <c r="AM1006" s="33"/>
      <c r="AN1006" s="33"/>
      <c r="AO1006" s="33"/>
      <c r="AP1006" s="33"/>
    </row>
    <row r="1007" spans="1:42" ht="15.75" customHeight="1">
      <c r="A1007" s="33"/>
      <c r="B1007" s="33"/>
      <c r="C1007" s="33"/>
      <c r="D1007" s="33"/>
      <c r="E1007" s="33"/>
      <c r="F1007" s="199"/>
      <c r="G1007" s="33"/>
      <c r="H1007" s="33"/>
      <c r="I1007" s="33"/>
      <c r="J1007" s="33"/>
      <c r="K1007" s="33"/>
      <c r="L1007" s="33"/>
      <c r="M1007" s="33"/>
      <c r="N1007" s="33"/>
      <c r="O1007" s="33"/>
      <c r="P1007" s="33"/>
      <c r="Q1007" s="33"/>
      <c r="R1007" s="33"/>
      <c r="S1007" s="33"/>
      <c r="T1007" s="33"/>
      <c r="U1007" s="33"/>
      <c r="V1007" s="33"/>
      <c r="W1007" s="33"/>
      <c r="X1007" s="33"/>
      <c r="Y1007" s="33"/>
      <c r="Z1007" s="33"/>
      <c r="AA1007" s="33"/>
      <c r="AB1007" s="33"/>
      <c r="AC1007" s="33"/>
      <c r="AD1007" s="33"/>
      <c r="AE1007" s="33"/>
      <c r="AF1007" s="33"/>
      <c r="AG1007" s="33"/>
      <c r="AH1007" s="33"/>
      <c r="AI1007" s="33"/>
      <c r="AJ1007" s="33"/>
      <c r="AK1007" s="216"/>
      <c r="AL1007" s="33"/>
      <c r="AM1007" s="33"/>
      <c r="AN1007" s="33"/>
      <c r="AO1007" s="33"/>
      <c r="AP1007" s="33"/>
    </row>
    <row r="1008" spans="1:42" ht="15.75" customHeight="1">
      <c r="A1008" s="33"/>
      <c r="B1008" s="33"/>
      <c r="C1008" s="33"/>
      <c r="D1008" s="33"/>
      <c r="E1008" s="33"/>
      <c r="F1008" s="199"/>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c r="AF1008" s="33"/>
      <c r="AG1008" s="33"/>
      <c r="AH1008" s="33"/>
      <c r="AI1008" s="33"/>
      <c r="AJ1008" s="33"/>
      <c r="AK1008" s="216"/>
      <c r="AL1008" s="33"/>
      <c r="AM1008" s="33"/>
      <c r="AN1008" s="33"/>
      <c r="AO1008" s="33"/>
      <c r="AP1008" s="33"/>
    </row>
    <row r="1009" spans="1:42" ht="15.75" customHeight="1">
      <c r="A1009" s="33"/>
      <c r="B1009" s="33"/>
      <c r="C1009" s="33"/>
      <c r="D1009" s="33"/>
      <c r="E1009" s="33"/>
      <c r="F1009" s="199"/>
      <c r="G1009" s="33"/>
      <c r="H1009" s="33"/>
      <c r="I1009" s="33"/>
      <c r="J1009" s="33"/>
      <c r="K1009" s="33"/>
      <c r="L1009" s="33"/>
      <c r="M1009" s="33"/>
      <c r="N1009" s="33"/>
      <c r="O1009" s="33"/>
      <c r="P1009" s="33"/>
      <c r="Q1009" s="33"/>
      <c r="R1009" s="33"/>
      <c r="S1009" s="33"/>
      <c r="T1009" s="33"/>
      <c r="U1009" s="33"/>
      <c r="V1009" s="33"/>
      <c r="W1009" s="33"/>
      <c r="X1009" s="33"/>
      <c r="Y1009" s="33"/>
      <c r="Z1009" s="33"/>
      <c r="AA1009" s="33"/>
      <c r="AB1009" s="33"/>
      <c r="AC1009" s="33"/>
      <c r="AD1009" s="33"/>
      <c r="AE1009" s="33"/>
      <c r="AF1009" s="33"/>
      <c r="AG1009" s="33"/>
      <c r="AH1009" s="33"/>
      <c r="AI1009" s="33"/>
      <c r="AJ1009" s="33"/>
      <c r="AK1009" s="216"/>
      <c r="AL1009" s="33"/>
      <c r="AM1009" s="33"/>
      <c r="AN1009" s="33"/>
      <c r="AO1009" s="33"/>
      <c r="AP1009" s="33"/>
    </row>
    <row r="1010" spans="1:42" ht="15.75" customHeight="1">
      <c r="A1010" s="33"/>
      <c r="B1010" s="33"/>
      <c r="C1010" s="33"/>
      <c r="D1010" s="33"/>
      <c r="E1010" s="33"/>
      <c r="F1010" s="199"/>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c r="AF1010" s="33"/>
      <c r="AG1010" s="33"/>
      <c r="AH1010" s="33"/>
      <c r="AI1010" s="33"/>
      <c r="AJ1010" s="33"/>
      <c r="AK1010" s="216"/>
      <c r="AL1010" s="33"/>
      <c r="AM1010" s="33"/>
      <c r="AN1010" s="33"/>
      <c r="AO1010" s="33"/>
      <c r="AP1010" s="33"/>
    </row>
    <row r="1011" spans="1:42" ht="15.75" customHeight="1">
      <c r="A1011" s="33"/>
      <c r="B1011" s="33"/>
      <c r="C1011" s="33"/>
      <c r="D1011" s="33"/>
      <c r="E1011" s="33"/>
      <c r="F1011" s="199"/>
      <c r="G1011" s="33"/>
      <c r="H1011" s="33"/>
      <c r="I1011" s="33"/>
      <c r="J1011" s="33"/>
      <c r="K1011" s="33"/>
      <c r="L1011" s="33"/>
      <c r="M1011" s="33"/>
      <c r="N1011" s="33"/>
      <c r="O1011" s="33"/>
      <c r="P1011" s="33"/>
      <c r="Q1011" s="33"/>
      <c r="R1011" s="33"/>
      <c r="S1011" s="33"/>
      <c r="T1011" s="33"/>
      <c r="U1011" s="33"/>
      <c r="V1011" s="33"/>
      <c r="W1011" s="33"/>
      <c r="X1011" s="33"/>
      <c r="Y1011" s="33"/>
      <c r="Z1011" s="33"/>
      <c r="AA1011" s="33"/>
      <c r="AB1011" s="33"/>
      <c r="AC1011" s="33"/>
      <c r="AD1011" s="33"/>
      <c r="AE1011" s="33"/>
      <c r="AF1011" s="33"/>
      <c r="AG1011" s="33"/>
      <c r="AH1011" s="33"/>
      <c r="AI1011" s="33"/>
      <c r="AJ1011" s="33"/>
      <c r="AK1011" s="216"/>
      <c r="AL1011" s="33"/>
      <c r="AM1011" s="33"/>
      <c r="AN1011" s="33"/>
      <c r="AO1011" s="33"/>
      <c r="AP1011" s="33"/>
    </row>
    <row r="1012" spans="1:42" ht="15.75" customHeight="1">
      <c r="A1012" s="33"/>
      <c r="B1012" s="33"/>
      <c r="C1012" s="33"/>
      <c r="D1012" s="33"/>
      <c r="E1012" s="33"/>
      <c r="F1012" s="199"/>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c r="AG1012" s="33"/>
      <c r="AH1012" s="33"/>
      <c r="AI1012" s="33"/>
      <c r="AJ1012" s="33"/>
      <c r="AK1012" s="216"/>
      <c r="AL1012" s="33"/>
      <c r="AM1012" s="33"/>
      <c r="AN1012" s="33"/>
      <c r="AO1012" s="33"/>
      <c r="AP1012" s="33"/>
    </row>
    <row r="1013" spans="1:42" ht="15.75" customHeight="1">
      <c r="A1013" s="33"/>
      <c r="B1013" s="33"/>
      <c r="C1013" s="33"/>
      <c r="D1013" s="33"/>
      <c r="E1013" s="33"/>
      <c r="F1013" s="199"/>
      <c r="G1013" s="33"/>
      <c r="H1013" s="33"/>
      <c r="I1013" s="33"/>
      <c r="J1013" s="33"/>
      <c r="K1013" s="33"/>
      <c r="L1013" s="33"/>
      <c r="M1013" s="33"/>
      <c r="N1013" s="33"/>
      <c r="O1013" s="33"/>
      <c r="P1013" s="33"/>
      <c r="Q1013" s="33"/>
      <c r="R1013" s="33"/>
      <c r="S1013" s="33"/>
      <c r="T1013" s="33"/>
      <c r="U1013" s="33"/>
      <c r="V1013" s="33"/>
      <c r="W1013" s="33"/>
      <c r="X1013" s="33"/>
      <c r="Y1013" s="33"/>
      <c r="Z1013" s="33"/>
      <c r="AA1013" s="33"/>
      <c r="AB1013" s="33"/>
      <c r="AC1013" s="33"/>
      <c r="AD1013" s="33"/>
      <c r="AE1013" s="33"/>
      <c r="AF1013" s="33"/>
      <c r="AG1013" s="33"/>
      <c r="AH1013" s="33"/>
      <c r="AI1013" s="33"/>
      <c r="AJ1013" s="33"/>
      <c r="AK1013" s="216"/>
      <c r="AL1013" s="33"/>
      <c r="AM1013" s="33"/>
      <c r="AN1013" s="33"/>
      <c r="AO1013" s="33"/>
      <c r="AP1013" s="33"/>
    </row>
    <row r="1014" spans="1:42" ht="15.75" customHeight="1">
      <c r="A1014" s="33"/>
      <c r="B1014" s="33"/>
      <c r="C1014" s="33"/>
      <c r="D1014" s="33"/>
      <c r="E1014" s="33"/>
      <c r="F1014" s="199"/>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c r="AF1014" s="33"/>
      <c r="AG1014" s="33"/>
      <c r="AH1014" s="33"/>
      <c r="AI1014" s="33"/>
      <c r="AJ1014" s="33"/>
      <c r="AK1014" s="216"/>
      <c r="AL1014" s="33"/>
      <c r="AM1014" s="33"/>
      <c r="AN1014" s="33"/>
      <c r="AO1014" s="33"/>
      <c r="AP1014" s="33"/>
    </row>
    <row r="1015" spans="1:42" ht="15.75" customHeight="1">
      <c r="A1015" s="33"/>
      <c r="B1015" s="33"/>
      <c r="C1015" s="33"/>
      <c r="D1015" s="33"/>
      <c r="E1015" s="33"/>
      <c r="F1015" s="199"/>
      <c r="G1015" s="33"/>
      <c r="H1015" s="33"/>
      <c r="I1015" s="33"/>
      <c r="J1015" s="33"/>
      <c r="K1015" s="33"/>
      <c r="L1015" s="33"/>
      <c r="M1015" s="33"/>
      <c r="N1015" s="33"/>
      <c r="O1015" s="33"/>
      <c r="P1015" s="33"/>
      <c r="Q1015" s="33"/>
      <c r="R1015" s="33"/>
      <c r="S1015" s="33"/>
      <c r="T1015" s="33"/>
      <c r="U1015" s="33"/>
      <c r="V1015" s="33"/>
      <c r="W1015" s="33"/>
      <c r="X1015" s="33"/>
      <c r="Y1015" s="33"/>
      <c r="Z1015" s="33"/>
      <c r="AA1015" s="33"/>
      <c r="AB1015" s="33"/>
      <c r="AC1015" s="33"/>
      <c r="AD1015" s="33"/>
      <c r="AE1015" s="33"/>
      <c r="AF1015" s="33"/>
      <c r="AG1015" s="33"/>
      <c r="AH1015" s="33"/>
      <c r="AI1015" s="33"/>
      <c r="AJ1015" s="33"/>
      <c r="AK1015" s="216"/>
      <c r="AL1015" s="33"/>
      <c r="AM1015" s="33"/>
      <c r="AN1015" s="33"/>
      <c r="AO1015" s="33"/>
      <c r="AP1015" s="33"/>
    </row>
    <row r="1016" spans="1:42" ht="15.75" customHeight="1">
      <c r="A1016" s="33"/>
      <c r="B1016" s="33"/>
      <c r="C1016" s="33"/>
      <c r="D1016" s="33"/>
      <c r="E1016" s="33"/>
      <c r="F1016" s="199"/>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c r="AF1016" s="33"/>
      <c r="AG1016" s="33"/>
      <c r="AH1016" s="33"/>
      <c r="AI1016" s="33"/>
      <c r="AJ1016" s="33"/>
      <c r="AK1016" s="216"/>
      <c r="AL1016" s="33"/>
      <c r="AM1016" s="33"/>
      <c r="AN1016" s="33"/>
      <c r="AO1016" s="33"/>
      <c r="AP1016" s="33"/>
    </row>
    <row r="1017" spans="1:42" ht="15.75" customHeight="1">
      <c r="A1017" s="33"/>
      <c r="B1017" s="33"/>
      <c r="C1017" s="33"/>
      <c r="D1017" s="33"/>
      <c r="E1017" s="33"/>
      <c r="F1017" s="199"/>
      <c r="G1017" s="33"/>
      <c r="H1017" s="33"/>
      <c r="I1017" s="33"/>
      <c r="J1017" s="33"/>
      <c r="K1017" s="33"/>
      <c r="L1017" s="33"/>
      <c r="M1017" s="33"/>
      <c r="N1017" s="33"/>
      <c r="O1017" s="33"/>
      <c r="P1017" s="33"/>
      <c r="Q1017" s="33"/>
      <c r="R1017" s="33"/>
      <c r="S1017" s="33"/>
      <c r="T1017" s="33"/>
      <c r="U1017" s="33"/>
      <c r="V1017" s="33"/>
      <c r="W1017" s="33"/>
      <c r="X1017" s="33"/>
      <c r="Y1017" s="33"/>
      <c r="Z1017" s="33"/>
      <c r="AA1017" s="33"/>
      <c r="AB1017" s="33"/>
      <c r="AC1017" s="33"/>
      <c r="AD1017" s="33"/>
      <c r="AE1017" s="33"/>
      <c r="AF1017" s="33"/>
      <c r="AG1017" s="33"/>
      <c r="AH1017" s="33"/>
      <c r="AI1017" s="33"/>
      <c r="AJ1017" s="33"/>
      <c r="AK1017" s="216"/>
      <c r="AL1017" s="33"/>
      <c r="AM1017" s="33"/>
      <c r="AN1017" s="33"/>
      <c r="AO1017" s="33"/>
      <c r="AP1017" s="33"/>
    </row>
    <row r="1018" spans="1:42" ht="15.75" customHeight="1">
      <c r="A1018" s="33"/>
      <c r="B1018" s="33"/>
      <c r="C1018" s="33"/>
      <c r="D1018" s="33"/>
      <c r="E1018" s="33"/>
      <c r="F1018" s="199"/>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c r="AF1018" s="33"/>
      <c r="AG1018" s="33"/>
      <c r="AH1018" s="33"/>
      <c r="AI1018" s="33"/>
      <c r="AJ1018" s="33"/>
      <c r="AK1018" s="216"/>
      <c r="AL1018" s="33"/>
      <c r="AM1018" s="33"/>
      <c r="AN1018" s="33"/>
      <c r="AO1018" s="33"/>
      <c r="AP1018" s="33"/>
    </row>
    <row r="1019" spans="1:42" ht="15.75" customHeight="1">
      <c r="A1019" s="33"/>
      <c r="B1019" s="33"/>
      <c r="C1019" s="33"/>
      <c r="D1019" s="33"/>
      <c r="E1019" s="33"/>
      <c r="F1019" s="199"/>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c r="AE1019" s="33"/>
      <c r="AF1019" s="33"/>
      <c r="AG1019" s="33"/>
      <c r="AH1019" s="33"/>
      <c r="AI1019" s="33"/>
      <c r="AJ1019" s="33"/>
      <c r="AK1019" s="216"/>
      <c r="AL1019" s="33"/>
      <c r="AM1019" s="33"/>
      <c r="AN1019" s="33"/>
      <c r="AO1019" s="33"/>
      <c r="AP1019" s="33"/>
    </row>
    <row r="1020" spans="1:42" ht="15.75" customHeight="1">
      <c r="A1020" s="33"/>
      <c r="B1020" s="33"/>
      <c r="C1020" s="33"/>
      <c r="D1020" s="33"/>
      <c r="E1020" s="33"/>
      <c r="F1020" s="199"/>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c r="AG1020" s="33"/>
      <c r="AH1020" s="33"/>
      <c r="AI1020" s="33"/>
      <c r="AJ1020" s="33"/>
      <c r="AK1020" s="216"/>
      <c r="AL1020" s="33"/>
      <c r="AM1020" s="33"/>
      <c r="AN1020" s="33"/>
      <c r="AO1020" s="33"/>
      <c r="AP1020" s="33"/>
    </row>
    <row r="1021" spans="1:42" ht="15.75" customHeight="1">
      <c r="A1021" s="33"/>
      <c r="B1021" s="33"/>
      <c r="C1021" s="33"/>
      <c r="D1021" s="33"/>
      <c r="E1021" s="33"/>
      <c r="F1021" s="199"/>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c r="AF1021" s="33"/>
      <c r="AG1021" s="33"/>
      <c r="AH1021" s="33"/>
      <c r="AI1021" s="33"/>
      <c r="AJ1021" s="33"/>
      <c r="AK1021" s="216"/>
      <c r="AL1021" s="33"/>
      <c r="AM1021" s="33"/>
      <c r="AN1021" s="33"/>
      <c r="AO1021" s="33"/>
      <c r="AP1021" s="33"/>
    </row>
    <row r="1022" spans="1:42" ht="15.75" customHeight="1">
      <c r="A1022" s="33"/>
      <c r="B1022" s="33"/>
      <c r="C1022" s="33"/>
      <c r="D1022" s="33"/>
      <c r="E1022" s="33"/>
      <c r="F1022" s="199"/>
      <c r="G1022" s="33"/>
      <c r="H1022" s="33"/>
      <c r="I1022" s="33"/>
      <c r="J1022" s="3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c r="AF1022" s="33"/>
      <c r="AG1022" s="33"/>
      <c r="AH1022" s="33"/>
      <c r="AI1022" s="33"/>
      <c r="AJ1022" s="33"/>
      <c r="AK1022" s="216"/>
      <c r="AL1022" s="33"/>
      <c r="AM1022" s="33"/>
      <c r="AN1022" s="33"/>
      <c r="AO1022" s="33"/>
      <c r="AP1022" s="33"/>
    </row>
    <row r="1023" spans="1:42" ht="15.75" customHeight="1">
      <c r="A1023" s="33"/>
      <c r="B1023" s="33"/>
      <c r="C1023" s="33"/>
      <c r="D1023" s="33"/>
      <c r="E1023" s="33"/>
      <c r="F1023" s="199"/>
      <c r="G1023" s="33"/>
      <c r="H1023" s="33"/>
      <c r="I1023" s="33"/>
      <c r="J1023" s="3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c r="AF1023" s="33"/>
      <c r="AG1023" s="33"/>
      <c r="AH1023" s="33"/>
      <c r="AI1023" s="33"/>
      <c r="AJ1023" s="33"/>
      <c r="AK1023" s="216"/>
      <c r="AL1023" s="33"/>
      <c r="AM1023" s="33"/>
      <c r="AN1023" s="33"/>
      <c r="AO1023" s="33"/>
      <c r="AP1023" s="33"/>
    </row>
    <row r="1024" spans="1:42" ht="15.75" customHeight="1">
      <c r="A1024" s="33"/>
      <c r="B1024" s="33"/>
      <c r="C1024" s="33"/>
      <c r="D1024" s="33"/>
      <c r="E1024" s="33"/>
      <c r="F1024" s="199"/>
      <c r="G1024" s="33"/>
      <c r="H1024" s="33"/>
      <c r="I1024" s="33"/>
      <c r="J1024" s="3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c r="AG1024" s="33"/>
      <c r="AH1024" s="33"/>
      <c r="AI1024" s="33"/>
      <c r="AJ1024" s="33"/>
      <c r="AK1024" s="216"/>
      <c r="AL1024" s="33"/>
      <c r="AM1024" s="33"/>
      <c r="AN1024" s="33"/>
      <c r="AO1024" s="33"/>
      <c r="AP1024" s="33"/>
    </row>
    <row r="1025" spans="1:42" ht="15.75" customHeight="1">
      <c r="A1025" s="33"/>
      <c r="B1025" s="33"/>
      <c r="C1025" s="33"/>
      <c r="D1025" s="33"/>
      <c r="E1025" s="33"/>
      <c r="F1025" s="199"/>
      <c r="G1025" s="33"/>
      <c r="H1025" s="33"/>
      <c r="I1025" s="33"/>
      <c r="J1025" s="33"/>
      <c r="K1025" s="33"/>
      <c r="L1025" s="33"/>
      <c r="M1025" s="33"/>
      <c r="N1025" s="33"/>
      <c r="O1025" s="33"/>
      <c r="P1025" s="33"/>
      <c r="Q1025" s="33"/>
      <c r="R1025" s="33"/>
      <c r="S1025" s="33"/>
      <c r="T1025" s="33"/>
      <c r="U1025" s="33"/>
      <c r="V1025" s="33"/>
      <c r="W1025" s="33"/>
      <c r="X1025" s="33"/>
      <c r="Y1025" s="33"/>
      <c r="Z1025" s="33"/>
      <c r="AA1025" s="33"/>
      <c r="AB1025" s="33"/>
      <c r="AC1025" s="33"/>
      <c r="AD1025" s="33"/>
      <c r="AE1025" s="33"/>
      <c r="AF1025" s="33"/>
      <c r="AG1025" s="33"/>
      <c r="AH1025" s="33"/>
      <c r="AI1025" s="33"/>
      <c r="AJ1025" s="33"/>
      <c r="AK1025" s="216"/>
      <c r="AL1025" s="33"/>
      <c r="AM1025" s="33"/>
      <c r="AN1025" s="33"/>
      <c r="AO1025" s="33"/>
      <c r="AP1025" s="33"/>
    </row>
    <row r="1026" spans="1:42" ht="15.75" customHeight="1">
      <c r="A1026" s="33"/>
      <c r="B1026" s="33"/>
      <c r="C1026" s="33"/>
      <c r="D1026" s="33"/>
      <c r="E1026" s="33"/>
      <c r="F1026" s="199"/>
      <c r="G1026" s="33"/>
      <c r="H1026" s="33"/>
      <c r="I1026" s="33"/>
      <c r="J1026" s="3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c r="AG1026" s="33"/>
      <c r="AH1026" s="33"/>
      <c r="AI1026" s="33"/>
      <c r="AJ1026" s="33"/>
      <c r="AK1026" s="216"/>
      <c r="AL1026" s="33"/>
      <c r="AM1026" s="33"/>
      <c r="AN1026" s="33"/>
      <c r="AO1026" s="33"/>
      <c r="AP1026" s="33"/>
    </row>
    <row r="1027" spans="1:42" ht="15.75" customHeight="1">
      <c r="A1027" s="33"/>
      <c r="B1027" s="33"/>
      <c r="C1027" s="33"/>
      <c r="D1027" s="33"/>
      <c r="E1027" s="33"/>
      <c r="F1027" s="199"/>
      <c r="G1027" s="33"/>
      <c r="H1027" s="33"/>
      <c r="I1027" s="33"/>
      <c r="J1027" s="33"/>
      <c r="K1027" s="33"/>
      <c r="L1027" s="33"/>
      <c r="M1027" s="33"/>
      <c r="N1027" s="33"/>
      <c r="O1027" s="33"/>
      <c r="P1027" s="33"/>
      <c r="Q1027" s="33"/>
      <c r="R1027" s="33"/>
      <c r="S1027" s="33"/>
      <c r="T1027" s="33"/>
      <c r="U1027" s="33"/>
      <c r="V1027" s="33"/>
      <c r="W1027" s="33"/>
      <c r="X1027" s="33"/>
      <c r="Y1027" s="33"/>
      <c r="Z1027" s="33"/>
      <c r="AA1027" s="33"/>
      <c r="AB1027" s="33"/>
      <c r="AC1027" s="33"/>
      <c r="AD1027" s="33"/>
      <c r="AE1027" s="33"/>
      <c r="AF1027" s="33"/>
      <c r="AG1027" s="33"/>
      <c r="AH1027" s="33"/>
      <c r="AI1027" s="33"/>
      <c r="AJ1027" s="33"/>
      <c r="AK1027" s="216"/>
      <c r="AL1027" s="33"/>
      <c r="AM1027" s="33"/>
      <c r="AN1027" s="33"/>
      <c r="AO1027" s="33"/>
      <c r="AP1027" s="33"/>
    </row>
    <row r="1028" spans="1:42" ht="15.75" customHeight="1">
      <c r="A1028" s="33"/>
      <c r="B1028" s="33"/>
      <c r="C1028" s="33"/>
      <c r="D1028" s="33"/>
      <c r="E1028" s="33"/>
      <c r="F1028" s="199"/>
      <c r="G1028" s="33"/>
      <c r="H1028" s="33"/>
      <c r="I1028" s="33"/>
      <c r="J1028" s="3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c r="AG1028" s="33"/>
      <c r="AH1028" s="33"/>
      <c r="AI1028" s="33"/>
      <c r="AJ1028" s="33"/>
      <c r="AK1028" s="216"/>
      <c r="AL1028" s="33"/>
      <c r="AM1028" s="33"/>
      <c r="AN1028" s="33"/>
      <c r="AO1028" s="33"/>
      <c r="AP1028" s="33"/>
    </row>
    <row r="1029" spans="1:42" ht="15.75" customHeight="1">
      <c r="A1029" s="33"/>
      <c r="B1029" s="33"/>
      <c r="C1029" s="33"/>
      <c r="D1029" s="33"/>
      <c r="E1029" s="33"/>
      <c r="F1029" s="199"/>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c r="AG1029" s="33"/>
      <c r="AH1029" s="33"/>
      <c r="AI1029" s="33"/>
      <c r="AJ1029" s="33"/>
      <c r="AK1029" s="216"/>
      <c r="AL1029" s="33"/>
      <c r="AM1029" s="33"/>
      <c r="AN1029" s="33"/>
      <c r="AO1029" s="33"/>
      <c r="AP1029" s="33"/>
    </row>
    <row r="1030" spans="1:42" ht="15.75" customHeight="1">
      <c r="A1030" s="33"/>
      <c r="B1030" s="33"/>
      <c r="C1030" s="33"/>
      <c r="D1030" s="33"/>
      <c r="E1030" s="33"/>
      <c r="F1030" s="199"/>
      <c r="G1030" s="33"/>
      <c r="H1030" s="33"/>
      <c r="I1030" s="33"/>
      <c r="J1030" s="33"/>
      <c r="K1030" s="33"/>
      <c r="L1030" s="33"/>
      <c r="M1030" s="33"/>
      <c r="N1030" s="33"/>
      <c r="O1030" s="33"/>
      <c r="P1030" s="33"/>
      <c r="Q1030" s="33"/>
      <c r="R1030" s="33"/>
      <c r="S1030" s="33"/>
      <c r="T1030" s="33"/>
      <c r="U1030" s="33"/>
      <c r="V1030" s="33"/>
      <c r="W1030" s="33"/>
      <c r="X1030" s="33"/>
      <c r="Y1030" s="33"/>
      <c r="Z1030" s="33"/>
      <c r="AA1030" s="33"/>
      <c r="AB1030" s="33"/>
      <c r="AC1030" s="33"/>
      <c r="AD1030" s="33"/>
      <c r="AE1030" s="33"/>
      <c r="AF1030" s="33"/>
      <c r="AG1030" s="33"/>
      <c r="AH1030" s="33"/>
      <c r="AI1030" s="33"/>
      <c r="AJ1030" s="33"/>
      <c r="AK1030" s="216"/>
      <c r="AL1030" s="33"/>
      <c r="AM1030" s="33"/>
      <c r="AN1030" s="33"/>
      <c r="AO1030" s="33"/>
      <c r="AP1030" s="33"/>
    </row>
    <row r="1031" spans="1:42" ht="15.75" customHeight="1">
      <c r="A1031" s="33"/>
      <c r="B1031" s="33"/>
      <c r="C1031" s="33"/>
      <c r="D1031" s="33"/>
      <c r="E1031" s="33"/>
      <c r="F1031" s="199"/>
      <c r="G1031" s="33"/>
      <c r="H1031" s="33"/>
      <c r="I1031" s="33"/>
      <c r="J1031" s="3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c r="AF1031" s="33"/>
      <c r="AG1031" s="33"/>
      <c r="AH1031" s="33"/>
      <c r="AI1031" s="33"/>
      <c r="AJ1031" s="33"/>
      <c r="AK1031" s="216"/>
      <c r="AL1031" s="33"/>
      <c r="AM1031" s="33"/>
      <c r="AN1031" s="33"/>
      <c r="AO1031" s="33"/>
      <c r="AP1031" s="33"/>
    </row>
    <row r="1032" spans="1:42" ht="15.75" customHeight="1">
      <c r="A1032" s="33"/>
      <c r="B1032" s="33"/>
      <c r="C1032" s="33"/>
      <c r="D1032" s="33"/>
      <c r="E1032" s="33"/>
      <c r="F1032" s="199"/>
      <c r="G1032" s="33"/>
      <c r="H1032" s="33"/>
      <c r="I1032" s="33"/>
      <c r="J1032" s="33"/>
      <c r="K1032" s="33"/>
      <c r="L1032" s="33"/>
      <c r="M1032" s="33"/>
      <c r="N1032" s="33"/>
      <c r="O1032" s="33"/>
      <c r="P1032" s="33"/>
      <c r="Q1032" s="33"/>
      <c r="R1032" s="33"/>
      <c r="S1032" s="33"/>
      <c r="T1032" s="33"/>
      <c r="U1032" s="33"/>
      <c r="V1032" s="33"/>
      <c r="W1032" s="33"/>
      <c r="X1032" s="33"/>
      <c r="Y1032" s="33"/>
      <c r="Z1032" s="33"/>
      <c r="AA1032" s="33"/>
      <c r="AB1032" s="33"/>
      <c r="AC1032" s="33"/>
      <c r="AD1032" s="33"/>
      <c r="AE1032" s="33"/>
      <c r="AF1032" s="33"/>
      <c r="AG1032" s="33"/>
      <c r="AH1032" s="33"/>
      <c r="AI1032" s="33"/>
      <c r="AJ1032" s="33"/>
      <c r="AK1032" s="216"/>
      <c r="AL1032" s="33"/>
      <c r="AM1032" s="33"/>
      <c r="AN1032" s="33"/>
      <c r="AO1032" s="33"/>
      <c r="AP1032" s="33"/>
    </row>
    <row r="1033" spans="1:42" ht="15.75" customHeight="1">
      <c r="A1033" s="33"/>
      <c r="B1033" s="33"/>
      <c r="C1033" s="33"/>
      <c r="D1033" s="33"/>
      <c r="E1033" s="33"/>
      <c r="F1033" s="199"/>
      <c r="G1033" s="33"/>
      <c r="H1033" s="33"/>
      <c r="I1033" s="33"/>
      <c r="J1033" s="33"/>
      <c r="K1033" s="33"/>
      <c r="L1033" s="33"/>
      <c r="M1033" s="33"/>
      <c r="N1033" s="33"/>
      <c r="O1033" s="33"/>
      <c r="P1033" s="33"/>
      <c r="Q1033" s="33"/>
      <c r="R1033" s="33"/>
      <c r="S1033" s="33"/>
      <c r="T1033" s="33"/>
      <c r="U1033" s="33"/>
      <c r="V1033" s="33"/>
      <c r="W1033" s="33"/>
      <c r="X1033" s="33"/>
      <c r="Y1033" s="33"/>
      <c r="Z1033" s="33"/>
      <c r="AA1033" s="33"/>
      <c r="AB1033" s="33"/>
      <c r="AC1033" s="33"/>
      <c r="AD1033" s="33"/>
      <c r="AE1033" s="33"/>
      <c r="AF1033" s="33"/>
      <c r="AG1033" s="33"/>
      <c r="AH1033" s="33"/>
      <c r="AI1033" s="33"/>
      <c r="AJ1033" s="33"/>
      <c r="AK1033" s="216"/>
      <c r="AL1033" s="33"/>
      <c r="AM1033" s="33"/>
      <c r="AN1033" s="33"/>
      <c r="AO1033" s="33"/>
      <c r="AP1033" s="33"/>
    </row>
    <row r="1034" spans="1:42" ht="15.75" customHeight="1">
      <c r="A1034" s="33"/>
      <c r="B1034" s="33"/>
      <c r="C1034" s="33"/>
      <c r="D1034" s="33"/>
      <c r="E1034" s="33"/>
      <c r="F1034" s="199"/>
      <c r="G1034" s="33"/>
      <c r="H1034" s="33"/>
      <c r="I1034" s="33"/>
      <c r="J1034" s="33"/>
      <c r="K1034" s="33"/>
      <c r="L1034" s="33"/>
      <c r="M1034" s="33"/>
      <c r="N1034" s="33"/>
      <c r="O1034" s="33"/>
      <c r="P1034" s="33"/>
      <c r="Q1034" s="33"/>
      <c r="R1034" s="33"/>
      <c r="S1034" s="33"/>
      <c r="T1034" s="33"/>
      <c r="U1034" s="33"/>
      <c r="V1034" s="33"/>
      <c r="W1034" s="33"/>
      <c r="X1034" s="33"/>
      <c r="Y1034" s="33"/>
      <c r="Z1034" s="33"/>
      <c r="AA1034" s="33"/>
      <c r="AB1034" s="33"/>
      <c r="AC1034" s="33"/>
      <c r="AD1034" s="33"/>
      <c r="AE1034" s="33"/>
      <c r="AF1034" s="33"/>
      <c r="AG1034" s="33"/>
      <c r="AH1034" s="33"/>
      <c r="AI1034" s="33"/>
      <c r="AJ1034" s="33"/>
      <c r="AK1034" s="216"/>
      <c r="AL1034" s="33"/>
      <c r="AM1034" s="33"/>
      <c r="AN1034" s="33"/>
      <c r="AO1034" s="33"/>
      <c r="AP1034" s="33"/>
    </row>
    <row r="1035" spans="1:42" ht="15.75" customHeight="1">
      <c r="A1035" s="33"/>
      <c r="B1035" s="33"/>
      <c r="C1035" s="33"/>
      <c r="D1035" s="33"/>
      <c r="E1035" s="33"/>
      <c r="F1035" s="199"/>
      <c r="G1035" s="33"/>
      <c r="H1035" s="33"/>
      <c r="I1035" s="33"/>
      <c r="J1035" s="33"/>
      <c r="K1035" s="33"/>
      <c r="L1035" s="33"/>
      <c r="M1035" s="33"/>
      <c r="N1035" s="33"/>
      <c r="O1035" s="33"/>
      <c r="P1035" s="33"/>
      <c r="Q1035" s="33"/>
      <c r="R1035" s="33"/>
      <c r="S1035" s="33"/>
      <c r="T1035" s="33"/>
      <c r="U1035" s="33"/>
      <c r="V1035" s="33"/>
      <c r="W1035" s="33"/>
      <c r="X1035" s="33"/>
      <c r="Y1035" s="33"/>
      <c r="Z1035" s="33"/>
      <c r="AA1035" s="33"/>
      <c r="AB1035" s="33"/>
      <c r="AC1035" s="33"/>
      <c r="AD1035" s="33"/>
      <c r="AE1035" s="33"/>
      <c r="AF1035" s="33"/>
      <c r="AG1035" s="33"/>
      <c r="AH1035" s="33"/>
      <c r="AI1035" s="33"/>
      <c r="AJ1035" s="33"/>
      <c r="AK1035" s="216"/>
      <c r="AL1035" s="33"/>
      <c r="AM1035" s="33"/>
      <c r="AN1035" s="33"/>
      <c r="AO1035" s="33"/>
      <c r="AP1035" s="33"/>
    </row>
    <row r="1036" spans="1:42" ht="15.75" customHeight="1">
      <c r="A1036" s="33"/>
      <c r="B1036" s="33"/>
      <c r="C1036" s="33"/>
      <c r="D1036" s="33"/>
      <c r="E1036" s="33"/>
      <c r="F1036" s="199"/>
      <c r="G1036" s="33"/>
      <c r="H1036" s="33"/>
      <c r="I1036" s="33"/>
      <c r="J1036" s="33"/>
      <c r="K1036" s="33"/>
      <c r="L1036" s="33"/>
      <c r="M1036" s="33"/>
      <c r="N1036" s="33"/>
      <c r="O1036" s="33"/>
      <c r="P1036" s="33"/>
      <c r="Q1036" s="33"/>
      <c r="R1036" s="33"/>
      <c r="S1036" s="33"/>
      <c r="T1036" s="33"/>
      <c r="U1036" s="33"/>
      <c r="V1036" s="33"/>
      <c r="W1036" s="33"/>
      <c r="X1036" s="33"/>
      <c r="Y1036" s="33"/>
      <c r="Z1036" s="33"/>
      <c r="AA1036" s="33"/>
      <c r="AB1036" s="33"/>
      <c r="AC1036" s="33"/>
      <c r="AD1036" s="33"/>
      <c r="AE1036" s="33"/>
      <c r="AF1036" s="33"/>
      <c r="AG1036" s="33"/>
      <c r="AH1036" s="33"/>
      <c r="AI1036" s="33"/>
      <c r="AJ1036" s="33"/>
      <c r="AK1036" s="216"/>
      <c r="AL1036" s="33"/>
      <c r="AM1036" s="33"/>
      <c r="AN1036" s="33"/>
      <c r="AO1036" s="33"/>
      <c r="AP1036" s="33"/>
    </row>
    <row r="1037" spans="1:42" ht="15.75" customHeight="1">
      <c r="A1037" s="33"/>
      <c r="B1037" s="33"/>
      <c r="C1037" s="33"/>
      <c r="D1037" s="33"/>
      <c r="E1037" s="33"/>
      <c r="F1037" s="199"/>
      <c r="G1037" s="33"/>
      <c r="H1037" s="33"/>
      <c r="I1037" s="33"/>
      <c r="J1037" s="33"/>
      <c r="K1037" s="33"/>
      <c r="L1037" s="33"/>
      <c r="M1037" s="33"/>
      <c r="N1037" s="33"/>
      <c r="O1037" s="33"/>
      <c r="P1037" s="33"/>
      <c r="Q1037" s="33"/>
      <c r="R1037" s="33"/>
      <c r="S1037" s="33"/>
      <c r="T1037" s="33"/>
      <c r="U1037" s="33"/>
      <c r="V1037" s="33"/>
      <c r="W1037" s="33"/>
      <c r="X1037" s="33"/>
      <c r="Y1037" s="33"/>
      <c r="Z1037" s="33"/>
      <c r="AA1037" s="33"/>
      <c r="AB1037" s="33"/>
      <c r="AC1037" s="33"/>
      <c r="AD1037" s="33"/>
      <c r="AE1037" s="33"/>
      <c r="AF1037" s="33"/>
      <c r="AG1037" s="33"/>
      <c r="AH1037" s="33"/>
      <c r="AI1037" s="33"/>
      <c r="AJ1037" s="33"/>
      <c r="AK1037" s="216"/>
      <c r="AL1037" s="33"/>
      <c r="AM1037" s="33"/>
      <c r="AN1037" s="33"/>
      <c r="AO1037" s="33"/>
      <c r="AP1037" s="33"/>
    </row>
    <row r="1038" spans="1:42" ht="15.75" customHeight="1">
      <c r="A1038" s="33"/>
      <c r="B1038" s="33"/>
      <c r="C1038" s="33"/>
      <c r="D1038" s="33"/>
      <c r="E1038" s="33"/>
      <c r="F1038" s="199"/>
      <c r="G1038" s="33"/>
      <c r="H1038" s="33"/>
      <c r="I1038" s="33"/>
      <c r="J1038" s="33"/>
      <c r="K1038" s="33"/>
      <c r="L1038" s="33"/>
      <c r="M1038" s="33"/>
      <c r="N1038" s="33"/>
      <c r="O1038" s="33"/>
      <c r="P1038" s="33"/>
      <c r="Q1038" s="33"/>
      <c r="R1038" s="33"/>
      <c r="S1038" s="33"/>
      <c r="T1038" s="33"/>
      <c r="U1038" s="33"/>
      <c r="V1038" s="33"/>
      <c r="W1038" s="33"/>
      <c r="X1038" s="33"/>
      <c r="Y1038" s="33"/>
      <c r="Z1038" s="33"/>
      <c r="AA1038" s="33"/>
      <c r="AB1038" s="33"/>
      <c r="AC1038" s="33"/>
      <c r="AD1038" s="33"/>
      <c r="AE1038" s="33"/>
      <c r="AF1038" s="33"/>
      <c r="AG1038" s="33"/>
      <c r="AH1038" s="33"/>
      <c r="AI1038" s="33"/>
      <c r="AJ1038" s="33"/>
      <c r="AK1038" s="216"/>
      <c r="AL1038" s="33"/>
      <c r="AM1038" s="33"/>
      <c r="AN1038" s="33"/>
      <c r="AO1038" s="33"/>
      <c r="AP1038" s="33"/>
    </row>
    <row r="1039" spans="1:42" ht="15.75" customHeight="1">
      <c r="A1039" s="33"/>
      <c r="B1039" s="33"/>
      <c r="C1039" s="33"/>
      <c r="D1039" s="33"/>
      <c r="E1039" s="33"/>
      <c r="F1039" s="199"/>
      <c r="G1039" s="33"/>
      <c r="H1039" s="33"/>
      <c r="I1039" s="33"/>
      <c r="J1039" s="33"/>
      <c r="K1039" s="33"/>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c r="AG1039" s="33"/>
      <c r="AH1039" s="33"/>
      <c r="AI1039" s="33"/>
      <c r="AJ1039" s="33"/>
      <c r="AK1039" s="216"/>
      <c r="AL1039" s="33"/>
      <c r="AM1039" s="33"/>
      <c r="AN1039" s="33"/>
      <c r="AO1039" s="33"/>
      <c r="AP1039" s="33"/>
    </row>
    <row r="1040" spans="1:42" ht="15.75" customHeight="1">
      <c r="A1040" s="33"/>
      <c r="B1040" s="33"/>
      <c r="C1040" s="33"/>
      <c r="D1040" s="33"/>
      <c r="E1040" s="33"/>
      <c r="F1040" s="199"/>
      <c r="G1040" s="33"/>
      <c r="H1040" s="33"/>
      <c r="I1040" s="33"/>
      <c r="J1040" s="33"/>
      <c r="K1040" s="33"/>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c r="AG1040" s="33"/>
      <c r="AH1040" s="33"/>
      <c r="AI1040" s="33"/>
      <c r="AJ1040" s="33"/>
      <c r="AK1040" s="216"/>
      <c r="AL1040" s="33"/>
      <c r="AM1040" s="33"/>
      <c r="AN1040" s="33"/>
      <c r="AO1040" s="33"/>
      <c r="AP1040" s="33"/>
    </row>
    <row r="1041" spans="1:42" ht="15.75" customHeight="1">
      <c r="A1041" s="33"/>
      <c r="B1041" s="33"/>
      <c r="C1041" s="33"/>
      <c r="D1041" s="33"/>
      <c r="E1041" s="33"/>
      <c r="F1041" s="199"/>
      <c r="G1041" s="33"/>
      <c r="H1041" s="33"/>
      <c r="I1041" s="33"/>
      <c r="J1041" s="33"/>
      <c r="K1041" s="33"/>
      <c r="L1041" s="33"/>
      <c r="M1041" s="33"/>
      <c r="N1041" s="33"/>
      <c r="O1041" s="33"/>
      <c r="P1041" s="33"/>
      <c r="Q1041" s="33"/>
      <c r="R1041" s="33"/>
      <c r="S1041" s="33"/>
      <c r="T1041" s="33"/>
      <c r="U1041" s="33"/>
      <c r="V1041" s="33"/>
      <c r="W1041" s="33"/>
      <c r="X1041" s="33"/>
      <c r="Y1041" s="33"/>
      <c r="Z1041" s="33"/>
      <c r="AA1041" s="33"/>
      <c r="AB1041" s="33"/>
      <c r="AC1041" s="33"/>
      <c r="AD1041" s="33"/>
      <c r="AE1041" s="33"/>
      <c r="AF1041" s="33"/>
      <c r="AG1041" s="33"/>
      <c r="AH1041" s="33"/>
      <c r="AI1041" s="33"/>
      <c r="AJ1041" s="33"/>
      <c r="AK1041" s="216"/>
      <c r="AL1041" s="33"/>
      <c r="AM1041" s="33"/>
      <c r="AN1041" s="33"/>
      <c r="AO1041" s="33"/>
      <c r="AP1041" s="33"/>
    </row>
    <row r="1042" spans="1:42" ht="15.75" customHeight="1">
      <c r="A1042" s="33"/>
      <c r="B1042" s="33"/>
      <c r="C1042" s="33"/>
      <c r="D1042" s="33"/>
      <c r="E1042" s="33"/>
      <c r="F1042" s="199"/>
      <c r="G1042" s="33"/>
      <c r="H1042" s="33"/>
      <c r="I1042" s="33"/>
      <c r="J1042" s="33"/>
      <c r="K1042" s="33"/>
      <c r="L1042" s="33"/>
      <c r="M1042" s="33"/>
      <c r="N1042" s="33"/>
      <c r="O1042" s="33"/>
      <c r="P1042" s="33"/>
      <c r="Q1042" s="33"/>
      <c r="R1042" s="33"/>
      <c r="S1042" s="33"/>
      <c r="T1042" s="33"/>
      <c r="U1042" s="33"/>
      <c r="V1042" s="33"/>
      <c r="W1042" s="33"/>
      <c r="X1042" s="33"/>
      <c r="Y1042" s="33"/>
      <c r="Z1042" s="33"/>
      <c r="AA1042" s="33"/>
      <c r="AB1042" s="33"/>
      <c r="AC1042" s="33"/>
      <c r="AD1042" s="33"/>
      <c r="AE1042" s="33"/>
      <c r="AF1042" s="33"/>
      <c r="AG1042" s="33"/>
      <c r="AH1042" s="33"/>
      <c r="AI1042" s="33"/>
      <c r="AJ1042" s="33"/>
      <c r="AK1042" s="216"/>
      <c r="AL1042" s="33"/>
      <c r="AM1042" s="33"/>
      <c r="AN1042" s="33"/>
      <c r="AO1042" s="33"/>
      <c r="AP1042" s="33"/>
    </row>
    <row r="1043" spans="1:42" ht="15.75" customHeight="1">
      <c r="A1043" s="33"/>
      <c r="B1043" s="33"/>
      <c r="C1043" s="33"/>
      <c r="D1043" s="33"/>
      <c r="E1043" s="33"/>
      <c r="F1043" s="199"/>
      <c r="G1043" s="33"/>
      <c r="H1043" s="33"/>
      <c r="I1043" s="33"/>
      <c r="J1043" s="33"/>
      <c r="K1043" s="33"/>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c r="AG1043" s="33"/>
      <c r="AH1043" s="33"/>
      <c r="AI1043" s="33"/>
      <c r="AJ1043" s="33"/>
      <c r="AK1043" s="216"/>
      <c r="AL1043" s="33"/>
      <c r="AM1043" s="33"/>
      <c r="AN1043" s="33"/>
      <c r="AO1043" s="33"/>
      <c r="AP1043" s="33"/>
    </row>
    <row r="1044" spans="1:42" ht="15.75" customHeight="1">
      <c r="A1044" s="33"/>
      <c r="B1044" s="33"/>
      <c r="C1044" s="33"/>
      <c r="D1044" s="33"/>
      <c r="E1044" s="33"/>
      <c r="F1044" s="199"/>
      <c r="G1044" s="33"/>
      <c r="H1044" s="33"/>
      <c r="I1044" s="33"/>
      <c r="J1044" s="33"/>
      <c r="K1044" s="3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216"/>
      <c r="AL1044" s="33"/>
      <c r="AM1044" s="33"/>
      <c r="AN1044" s="33"/>
      <c r="AO1044" s="33"/>
      <c r="AP1044" s="33"/>
    </row>
    <row r="1045" spans="1:42" ht="15.75" customHeight="1">
      <c r="A1045" s="33"/>
      <c r="B1045" s="33"/>
      <c r="C1045" s="33"/>
      <c r="D1045" s="33"/>
      <c r="E1045" s="33"/>
      <c r="F1045" s="199"/>
      <c r="G1045" s="33"/>
      <c r="H1045" s="33"/>
      <c r="I1045" s="33"/>
      <c r="J1045" s="33"/>
      <c r="K1045" s="33"/>
      <c r="L1045" s="33"/>
      <c r="M1045" s="33"/>
      <c r="N1045" s="33"/>
      <c r="O1045" s="33"/>
      <c r="P1045" s="33"/>
      <c r="Q1045" s="33"/>
      <c r="R1045" s="33"/>
      <c r="S1045" s="33"/>
      <c r="T1045" s="33"/>
      <c r="U1045" s="33"/>
      <c r="V1045" s="33"/>
      <c r="W1045" s="33"/>
      <c r="X1045" s="33"/>
      <c r="Y1045" s="33"/>
      <c r="Z1045" s="33"/>
      <c r="AA1045" s="33"/>
      <c r="AB1045" s="33"/>
      <c r="AC1045" s="33"/>
      <c r="AD1045" s="33"/>
      <c r="AE1045" s="33"/>
      <c r="AF1045" s="33"/>
      <c r="AG1045" s="33"/>
      <c r="AH1045" s="33"/>
      <c r="AI1045" s="33"/>
      <c r="AJ1045" s="33"/>
      <c r="AK1045" s="216"/>
      <c r="AL1045" s="33"/>
      <c r="AM1045" s="33"/>
      <c r="AN1045" s="33"/>
      <c r="AO1045" s="33"/>
      <c r="AP1045" s="33"/>
    </row>
    <row r="1046" spans="1:42" ht="15.75" customHeight="1">
      <c r="A1046" s="33"/>
      <c r="B1046" s="33"/>
      <c r="C1046" s="33"/>
      <c r="D1046" s="33"/>
      <c r="E1046" s="33"/>
      <c r="F1046" s="199"/>
      <c r="G1046" s="33"/>
      <c r="H1046" s="33"/>
      <c r="I1046" s="33"/>
      <c r="J1046" s="33"/>
      <c r="K1046" s="33"/>
      <c r="L1046" s="33"/>
      <c r="M1046" s="33"/>
      <c r="N1046" s="33"/>
      <c r="O1046" s="33"/>
      <c r="P1046" s="33"/>
      <c r="Q1046" s="33"/>
      <c r="R1046" s="33"/>
      <c r="S1046" s="33"/>
      <c r="T1046" s="33"/>
      <c r="U1046" s="33"/>
      <c r="V1046" s="33"/>
      <c r="W1046" s="33"/>
      <c r="X1046" s="33"/>
      <c r="Y1046" s="33"/>
      <c r="Z1046" s="33"/>
      <c r="AA1046" s="33"/>
      <c r="AB1046" s="33"/>
      <c r="AC1046" s="33"/>
      <c r="AD1046" s="33"/>
      <c r="AE1046" s="33"/>
      <c r="AF1046" s="33"/>
      <c r="AG1046" s="33"/>
      <c r="AH1046" s="33"/>
      <c r="AI1046" s="33"/>
      <c r="AJ1046" s="33"/>
      <c r="AK1046" s="216"/>
      <c r="AL1046" s="33"/>
      <c r="AM1046" s="33"/>
      <c r="AN1046" s="33"/>
      <c r="AO1046" s="33"/>
      <c r="AP1046" s="33"/>
    </row>
    <row r="1047" spans="1:42" ht="15.75" customHeight="1">
      <c r="A1047" s="33"/>
      <c r="B1047" s="33"/>
      <c r="C1047" s="33"/>
      <c r="D1047" s="33"/>
      <c r="E1047" s="33"/>
      <c r="F1047" s="199"/>
      <c r="G1047" s="33"/>
      <c r="H1047" s="33"/>
      <c r="I1047" s="33"/>
      <c r="J1047" s="33"/>
      <c r="K1047" s="33"/>
      <c r="L1047" s="33"/>
      <c r="M1047" s="33"/>
      <c r="N1047" s="33"/>
      <c r="O1047" s="33"/>
      <c r="P1047" s="33"/>
      <c r="Q1047" s="33"/>
      <c r="R1047" s="33"/>
      <c r="S1047" s="33"/>
      <c r="T1047" s="33"/>
      <c r="U1047" s="33"/>
      <c r="V1047" s="33"/>
      <c r="W1047" s="33"/>
      <c r="X1047" s="33"/>
      <c r="Y1047" s="33"/>
      <c r="Z1047" s="33"/>
      <c r="AA1047" s="33"/>
      <c r="AB1047" s="33"/>
      <c r="AC1047" s="33"/>
      <c r="AD1047" s="33"/>
      <c r="AE1047" s="33"/>
      <c r="AF1047" s="33"/>
      <c r="AG1047" s="33"/>
      <c r="AH1047" s="33"/>
      <c r="AI1047" s="33"/>
      <c r="AJ1047" s="33"/>
      <c r="AK1047" s="216"/>
      <c r="AL1047" s="33"/>
      <c r="AM1047" s="33"/>
      <c r="AN1047" s="33"/>
      <c r="AO1047" s="33"/>
      <c r="AP1047" s="33"/>
    </row>
    <row r="1048" spans="1:42" ht="15.75" customHeight="1">
      <c r="A1048" s="33"/>
      <c r="B1048" s="33"/>
      <c r="C1048" s="33"/>
      <c r="D1048" s="33"/>
      <c r="E1048" s="33"/>
      <c r="F1048" s="199"/>
      <c r="G1048" s="33"/>
      <c r="H1048" s="33"/>
      <c r="I1048" s="33"/>
      <c r="J1048" s="33"/>
      <c r="K1048" s="33"/>
      <c r="L1048" s="33"/>
      <c r="M1048" s="33"/>
      <c r="N1048" s="33"/>
      <c r="O1048" s="33"/>
      <c r="P1048" s="33"/>
      <c r="Q1048" s="33"/>
      <c r="R1048" s="33"/>
      <c r="S1048" s="33"/>
      <c r="T1048" s="33"/>
      <c r="U1048" s="33"/>
      <c r="V1048" s="33"/>
      <c r="W1048" s="33"/>
      <c r="X1048" s="33"/>
      <c r="Y1048" s="33"/>
      <c r="Z1048" s="33"/>
      <c r="AA1048" s="33"/>
      <c r="AB1048" s="33"/>
      <c r="AC1048" s="33"/>
      <c r="AD1048" s="33"/>
      <c r="AE1048" s="33"/>
      <c r="AF1048" s="33"/>
      <c r="AG1048" s="33"/>
      <c r="AH1048" s="33"/>
      <c r="AI1048" s="33"/>
      <c r="AJ1048" s="33"/>
      <c r="AK1048" s="216"/>
      <c r="AL1048" s="33"/>
      <c r="AM1048" s="33"/>
      <c r="AN1048" s="33"/>
      <c r="AO1048" s="33"/>
      <c r="AP1048" s="33"/>
    </row>
    <row r="1049" spans="1:42" ht="15.75" customHeight="1">
      <c r="A1049" s="33"/>
      <c r="B1049" s="33"/>
      <c r="C1049" s="33"/>
      <c r="D1049" s="33"/>
      <c r="E1049" s="33"/>
      <c r="F1049" s="199"/>
      <c r="G1049" s="33"/>
      <c r="H1049" s="33"/>
      <c r="I1049" s="33"/>
      <c r="J1049" s="33"/>
      <c r="K1049" s="33"/>
      <c r="L1049" s="33"/>
      <c r="M1049" s="33"/>
      <c r="N1049" s="33"/>
      <c r="O1049" s="33"/>
      <c r="P1049" s="33"/>
      <c r="Q1049" s="33"/>
      <c r="R1049" s="33"/>
      <c r="S1049" s="33"/>
      <c r="T1049" s="33"/>
      <c r="U1049" s="33"/>
      <c r="V1049" s="33"/>
      <c r="W1049" s="33"/>
      <c r="X1049" s="33"/>
      <c r="Y1049" s="33"/>
      <c r="Z1049" s="33"/>
      <c r="AA1049" s="33"/>
      <c r="AB1049" s="33"/>
      <c r="AC1049" s="33"/>
      <c r="AD1049" s="33"/>
      <c r="AE1049" s="33"/>
      <c r="AF1049" s="33"/>
      <c r="AG1049" s="33"/>
      <c r="AH1049" s="33"/>
      <c r="AI1049" s="33"/>
      <c r="AJ1049" s="33"/>
      <c r="AK1049" s="216"/>
      <c r="AL1049" s="33"/>
      <c r="AM1049" s="33"/>
      <c r="AN1049" s="33"/>
      <c r="AO1049" s="33"/>
      <c r="AP1049" s="33"/>
    </row>
    <row r="1050" spans="1:42" ht="15.75" customHeight="1">
      <c r="A1050" s="33"/>
      <c r="B1050" s="33"/>
      <c r="C1050" s="33"/>
      <c r="D1050" s="33"/>
      <c r="E1050" s="33"/>
      <c r="F1050" s="199"/>
      <c r="G1050" s="33"/>
      <c r="H1050" s="33"/>
      <c r="I1050" s="33"/>
      <c r="J1050" s="33"/>
      <c r="K1050" s="33"/>
      <c r="L1050" s="33"/>
      <c r="M1050" s="33"/>
      <c r="N1050" s="33"/>
      <c r="O1050" s="33"/>
      <c r="P1050" s="33"/>
      <c r="Q1050" s="33"/>
      <c r="R1050" s="33"/>
      <c r="S1050" s="33"/>
      <c r="T1050" s="33"/>
      <c r="U1050" s="33"/>
      <c r="V1050" s="33"/>
      <c r="W1050" s="33"/>
      <c r="X1050" s="33"/>
      <c r="Y1050" s="33"/>
      <c r="Z1050" s="33"/>
      <c r="AA1050" s="33"/>
      <c r="AB1050" s="33"/>
      <c r="AC1050" s="33"/>
      <c r="AD1050" s="33"/>
      <c r="AE1050" s="33"/>
      <c r="AF1050" s="33"/>
      <c r="AG1050" s="33"/>
      <c r="AH1050" s="33"/>
      <c r="AI1050" s="33"/>
      <c r="AJ1050" s="33"/>
      <c r="AK1050" s="216"/>
      <c r="AL1050" s="33"/>
      <c r="AM1050" s="33"/>
      <c r="AN1050" s="33"/>
      <c r="AO1050" s="33"/>
      <c r="AP1050" s="33"/>
    </row>
    <row r="1051" spans="1:42" ht="15.75" customHeight="1">
      <c r="A1051" s="33"/>
      <c r="B1051" s="33"/>
      <c r="C1051" s="33"/>
      <c r="D1051" s="33"/>
      <c r="E1051" s="33"/>
      <c r="F1051" s="199"/>
      <c r="G1051" s="33"/>
      <c r="H1051" s="33"/>
      <c r="I1051" s="33"/>
      <c r="J1051" s="33"/>
      <c r="K1051" s="33"/>
      <c r="L1051" s="33"/>
      <c r="M1051" s="33"/>
      <c r="N1051" s="33"/>
      <c r="O1051" s="33"/>
      <c r="P1051" s="33"/>
      <c r="Q1051" s="33"/>
      <c r="R1051" s="33"/>
      <c r="S1051" s="33"/>
      <c r="T1051" s="33"/>
      <c r="U1051" s="33"/>
      <c r="V1051" s="33"/>
      <c r="W1051" s="33"/>
      <c r="X1051" s="33"/>
      <c r="Y1051" s="33"/>
      <c r="Z1051" s="33"/>
      <c r="AA1051" s="33"/>
      <c r="AB1051" s="33"/>
      <c r="AC1051" s="33"/>
      <c r="AD1051" s="33"/>
      <c r="AE1051" s="33"/>
      <c r="AF1051" s="33"/>
      <c r="AG1051" s="33"/>
      <c r="AH1051" s="33"/>
      <c r="AI1051" s="33"/>
      <c r="AJ1051" s="33"/>
      <c r="AK1051" s="216"/>
      <c r="AL1051" s="33"/>
      <c r="AM1051" s="33"/>
      <c r="AN1051" s="33"/>
      <c r="AO1051" s="33"/>
      <c r="AP1051" s="33"/>
    </row>
    <row r="1052" spans="1:42" ht="15.75" customHeight="1">
      <c r="A1052" s="33"/>
      <c r="B1052" s="33"/>
      <c r="C1052" s="33"/>
      <c r="D1052" s="33"/>
      <c r="E1052" s="33"/>
      <c r="F1052" s="199"/>
      <c r="G1052" s="33"/>
      <c r="H1052" s="33"/>
      <c r="I1052" s="33"/>
      <c r="J1052" s="33"/>
      <c r="K1052" s="33"/>
      <c r="L1052" s="33"/>
      <c r="M1052" s="33"/>
      <c r="N1052" s="33"/>
      <c r="O1052" s="33"/>
      <c r="P1052" s="33"/>
      <c r="Q1052" s="33"/>
      <c r="R1052" s="33"/>
      <c r="S1052" s="33"/>
      <c r="T1052" s="33"/>
      <c r="U1052" s="33"/>
      <c r="V1052" s="33"/>
      <c r="W1052" s="33"/>
      <c r="X1052" s="33"/>
      <c r="Y1052" s="33"/>
      <c r="Z1052" s="33"/>
      <c r="AA1052" s="33"/>
      <c r="AB1052" s="33"/>
      <c r="AC1052" s="33"/>
      <c r="AD1052" s="33"/>
      <c r="AE1052" s="33"/>
      <c r="AF1052" s="33"/>
      <c r="AG1052" s="33"/>
      <c r="AH1052" s="33"/>
      <c r="AI1052" s="33"/>
      <c r="AJ1052" s="33"/>
      <c r="AK1052" s="216"/>
      <c r="AL1052" s="33"/>
      <c r="AM1052" s="33"/>
      <c r="AN1052" s="33"/>
      <c r="AO1052" s="33"/>
      <c r="AP1052" s="33"/>
    </row>
    <row r="1053" spans="1:42" ht="15.75" customHeight="1">
      <c r="A1053" s="33"/>
      <c r="B1053" s="33"/>
      <c r="C1053" s="33"/>
      <c r="D1053" s="33"/>
      <c r="E1053" s="33"/>
      <c r="F1053" s="199"/>
      <c r="G1053" s="33"/>
      <c r="H1053" s="33"/>
      <c r="I1053" s="33"/>
      <c r="J1053" s="33"/>
      <c r="K1053" s="33"/>
      <c r="L1053" s="33"/>
      <c r="M1053" s="33"/>
      <c r="N1053" s="33"/>
      <c r="O1053" s="33"/>
      <c r="P1053" s="33"/>
      <c r="Q1053" s="33"/>
      <c r="R1053" s="33"/>
      <c r="S1053" s="33"/>
      <c r="T1053" s="33"/>
      <c r="U1053" s="33"/>
      <c r="V1053" s="33"/>
      <c r="W1053" s="33"/>
      <c r="X1053" s="33"/>
      <c r="Y1053" s="33"/>
      <c r="Z1053" s="33"/>
      <c r="AA1053" s="33"/>
      <c r="AB1053" s="33"/>
      <c r="AC1053" s="33"/>
      <c r="AD1053" s="33"/>
      <c r="AE1053" s="33"/>
      <c r="AF1053" s="33"/>
      <c r="AG1053" s="33"/>
      <c r="AH1053" s="33"/>
      <c r="AI1053" s="33"/>
      <c r="AJ1053" s="33"/>
      <c r="AK1053" s="216"/>
      <c r="AL1053" s="33"/>
      <c r="AM1053" s="33"/>
      <c r="AN1053" s="33"/>
      <c r="AO1053" s="33"/>
      <c r="AP1053" s="33"/>
    </row>
    <row r="1054" spans="1:42" ht="15.75" customHeight="1">
      <c r="A1054" s="33"/>
      <c r="B1054" s="33"/>
      <c r="C1054" s="33"/>
      <c r="D1054" s="33"/>
      <c r="E1054" s="33"/>
      <c r="F1054" s="199"/>
      <c r="G1054" s="33"/>
      <c r="H1054" s="33"/>
      <c r="I1054" s="33"/>
      <c r="J1054" s="33"/>
      <c r="K1054" s="33"/>
      <c r="L1054" s="33"/>
      <c r="M1054" s="33"/>
      <c r="N1054" s="33"/>
      <c r="O1054" s="33"/>
      <c r="P1054" s="33"/>
      <c r="Q1054" s="33"/>
      <c r="R1054" s="33"/>
      <c r="S1054" s="33"/>
      <c r="T1054" s="33"/>
      <c r="U1054" s="33"/>
      <c r="V1054" s="33"/>
      <c r="W1054" s="33"/>
      <c r="X1054" s="33"/>
      <c r="Y1054" s="33"/>
      <c r="Z1054" s="33"/>
      <c r="AA1054" s="33"/>
      <c r="AB1054" s="33"/>
      <c r="AC1054" s="33"/>
      <c r="AD1054" s="33"/>
      <c r="AE1054" s="33"/>
      <c r="AF1054" s="33"/>
      <c r="AG1054" s="33"/>
      <c r="AH1054" s="33"/>
      <c r="AI1054" s="33"/>
      <c r="AJ1054" s="33"/>
      <c r="AK1054" s="216"/>
      <c r="AL1054" s="33"/>
      <c r="AM1054" s="33"/>
      <c r="AN1054" s="33"/>
      <c r="AO1054" s="33"/>
      <c r="AP1054" s="33"/>
    </row>
    <row r="1055" spans="1:42" ht="15.75" customHeight="1">
      <c r="A1055" s="33"/>
      <c r="B1055" s="33"/>
      <c r="C1055" s="33"/>
      <c r="D1055" s="33"/>
      <c r="E1055" s="33"/>
      <c r="F1055" s="199"/>
      <c r="G1055" s="33"/>
      <c r="H1055" s="33"/>
      <c r="I1055" s="33"/>
      <c r="J1055" s="33"/>
      <c r="K1055" s="33"/>
      <c r="L1055" s="33"/>
      <c r="M1055" s="33"/>
      <c r="N1055" s="33"/>
      <c r="O1055" s="33"/>
      <c r="P1055" s="33"/>
      <c r="Q1055" s="33"/>
      <c r="R1055" s="33"/>
      <c r="S1055" s="33"/>
      <c r="T1055" s="33"/>
      <c r="U1055" s="33"/>
      <c r="V1055" s="33"/>
      <c r="W1055" s="33"/>
      <c r="X1055" s="33"/>
      <c r="Y1055" s="33"/>
      <c r="Z1055" s="33"/>
      <c r="AA1055" s="33"/>
      <c r="AB1055" s="33"/>
      <c r="AC1055" s="33"/>
      <c r="AD1055" s="33"/>
      <c r="AE1055" s="33"/>
      <c r="AF1055" s="33"/>
      <c r="AG1055" s="33"/>
      <c r="AH1055" s="33"/>
      <c r="AI1055" s="33"/>
      <c r="AJ1055" s="33"/>
      <c r="AK1055" s="216"/>
      <c r="AL1055" s="33"/>
      <c r="AM1055" s="33"/>
      <c r="AN1055" s="33"/>
      <c r="AO1055" s="33"/>
      <c r="AP1055" s="33"/>
    </row>
    <row r="1056" spans="1:42" ht="15.75" customHeight="1">
      <c r="A1056" s="33"/>
      <c r="B1056" s="33"/>
      <c r="C1056" s="33"/>
      <c r="D1056" s="33"/>
      <c r="E1056" s="33"/>
      <c r="F1056" s="199"/>
      <c r="G1056" s="33"/>
      <c r="H1056" s="33"/>
      <c r="I1056" s="33"/>
      <c r="J1056" s="33"/>
      <c r="K1056" s="33"/>
      <c r="L1056" s="33"/>
      <c r="M1056" s="33"/>
      <c r="N1056" s="33"/>
      <c r="O1056" s="33"/>
      <c r="P1056" s="33"/>
      <c r="Q1056" s="33"/>
      <c r="R1056" s="33"/>
      <c r="S1056" s="33"/>
      <c r="T1056" s="33"/>
      <c r="U1056" s="33"/>
      <c r="V1056" s="33"/>
      <c r="W1056" s="33"/>
      <c r="X1056" s="33"/>
      <c r="Y1056" s="33"/>
      <c r="Z1056" s="33"/>
      <c r="AA1056" s="33"/>
      <c r="AB1056" s="33"/>
      <c r="AC1056" s="33"/>
      <c r="AD1056" s="33"/>
      <c r="AE1056" s="33"/>
      <c r="AF1056" s="33"/>
      <c r="AG1056" s="33"/>
      <c r="AH1056" s="33"/>
      <c r="AI1056" s="33"/>
      <c r="AJ1056" s="33"/>
      <c r="AK1056" s="216"/>
      <c r="AL1056" s="33"/>
      <c r="AM1056" s="33"/>
      <c r="AN1056" s="33"/>
      <c r="AO1056" s="33"/>
      <c r="AP1056" s="33"/>
    </row>
    <row r="1057" spans="1:42" ht="15.75" customHeight="1">
      <c r="A1057" s="33"/>
      <c r="B1057" s="33"/>
      <c r="C1057" s="33"/>
      <c r="D1057" s="33"/>
      <c r="E1057" s="33"/>
      <c r="F1057" s="199"/>
      <c r="G1057" s="33"/>
      <c r="H1057" s="33"/>
      <c r="I1057" s="33"/>
      <c r="J1057" s="33"/>
      <c r="K1057" s="33"/>
      <c r="L1057" s="33"/>
      <c r="M1057" s="33"/>
      <c r="N1057" s="33"/>
      <c r="O1057" s="33"/>
      <c r="P1057" s="33"/>
      <c r="Q1057" s="33"/>
      <c r="R1057" s="33"/>
      <c r="S1057" s="33"/>
      <c r="T1057" s="33"/>
      <c r="U1057" s="33"/>
      <c r="V1057" s="33"/>
      <c r="W1057" s="33"/>
      <c r="X1057" s="33"/>
      <c r="Y1057" s="33"/>
      <c r="Z1057" s="33"/>
      <c r="AA1057" s="33"/>
      <c r="AB1057" s="33"/>
      <c r="AC1057" s="33"/>
      <c r="AD1057" s="33"/>
      <c r="AE1057" s="33"/>
      <c r="AF1057" s="33"/>
      <c r="AG1057" s="33"/>
      <c r="AH1057" s="33"/>
      <c r="AI1057" s="33"/>
      <c r="AJ1057" s="33"/>
      <c r="AK1057" s="216"/>
      <c r="AL1057" s="33"/>
      <c r="AM1057" s="33"/>
      <c r="AN1057" s="33"/>
      <c r="AO1057" s="33"/>
      <c r="AP1057" s="33"/>
    </row>
    <row r="1058" spans="1:42" ht="15.75" customHeight="1">
      <c r="A1058" s="33"/>
      <c r="B1058" s="33"/>
      <c r="C1058" s="33"/>
      <c r="D1058" s="33"/>
      <c r="E1058" s="33"/>
      <c r="F1058" s="199"/>
      <c r="G1058" s="33"/>
      <c r="H1058" s="33"/>
      <c r="I1058" s="33"/>
      <c r="J1058" s="33"/>
      <c r="K1058" s="33"/>
      <c r="L1058" s="33"/>
      <c r="M1058" s="33"/>
      <c r="N1058" s="33"/>
      <c r="O1058" s="33"/>
      <c r="P1058" s="33"/>
      <c r="Q1058" s="33"/>
      <c r="R1058" s="33"/>
      <c r="S1058" s="33"/>
      <c r="T1058" s="33"/>
      <c r="U1058" s="33"/>
      <c r="V1058" s="33"/>
      <c r="W1058" s="33"/>
      <c r="X1058" s="33"/>
      <c r="Y1058" s="33"/>
      <c r="Z1058" s="33"/>
      <c r="AA1058" s="33"/>
      <c r="AB1058" s="33"/>
      <c r="AC1058" s="33"/>
      <c r="AD1058" s="33"/>
      <c r="AE1058" s="33"/>
      <c r="AF1058" s="33"/>
      <c r="AG1058" s="33"/>
      <c r="AH1058" s="33"/>
      <c r="AI1058" s="33"/>
      <c r="AJ1058" s="33"/>
      <c r="AK1058" s="216"/>
      <c r="AL1058" s="33"/>
      <c r="AM1058" s="33"/>
      <c r="AN1058" s="33"/>
      <c r="AO1058" s="33"/>
      <c r="AP1058" s="33"/>
    </row>
    <row r="1059" spans="1:42" ht="15.75" customHeight="1">
      <c r="A1059" s="33"/>
      <c r="B1059" s="33"/>
      <c r="C1059" s="33"/>
      <c r="D1059" s="33"/>
      <c r="E1059" s="33"/>
      <c r="F1059" s="199"/>
      <c r="G1059" s="33"/>
      <c r="H1059" s="33"/>
      <c r="I1059" s="33"/>
      <c r="J1059" s="33"/>
      <c r="K1059" s="33"/>
      <c r="L1059" s="33"/>
      <c r="M1059" s="33"/>
      <c r="N1059" s="33"/>
      <c r="O1059" s="33"/>
      <c r="P1059" s="33"/>
      <c r="Q1059" s="33"/>
      <c r="R1059" s="33"/>
      <c r="S1059" s="33"/>
      <c r="T1059" s="33"/>
      <c r="U1059" s="33"/>
      <c r="V1059" s="33"/>
      <c r="W1059" s="33"/>
      <c r="X1059" s="33"/>
      <c r="Y1059" s="33"/>
      <c r="Z1059" s="33"/>
      <c r="AA1059" s="33"/>
      <c r="AB1059" s="33"/>
      <c r="AC1059" s="33"/>
      <c r="AD1059" s="33"/>
      <c r="AE1059" s="33"/>
      <c r="AF1059" s="33"/>
      <c r="AG1059" s="33"/>
      <c r="AH1059" s="33"/>
      <c r="AI1059" s="33"/>
      <c r="AJ1059" s="33"/>
      <c r="AK1059" s="216"/>
      <c r="AL1059" s="33"/>
      <c r="AM1059" s="33"/>
      <c r="AN1059" s="33"/>
      <c r="AO1059" s="33"/>
      <c r="AP1059" s="33"/>
    </row>
    <row r="1060" spans="1:42" ht="15.75" customHeight="1">
      <c r="A1060" s="33"/>
      <c r="B1060" s="33"/>
      <c r="C1060" s="33"/>
      <c r="D1060" s="33"/>
      <c r="E1060" s="33"/>
      <c r="F1060" s="199"/>
      <c r="G1060" s="33"/>
      <c r="H1060" s="33"/>
      <c r="I1060" s="33"/>
      <c r="J1060" s="33"/>
      <c r="K1060" s="33"/>
      <c r="L1060" s="33"/>
      <c r="M1060" s="33"/>
      <c r="N1060" s="33"/>
      <c r="O1060" s="33"/>
      <c r="P1060" s="33"/>
      <c r="Q1060" s="33"/>
      <c r="R1060" s="33"/>
      <c r="S1060" s="33"/>
      <c r="T1060" s="33"/>
      <c r="U1060" s="33"/>
      <c r="V1060" s="33"/>
      <c r="W1060" s="33"/>
      <c r="X1060" s="33"/>
      <c r="Y1060" s="33"/>
      <c r="Z1060" s="33"/>
      <c r="AA1060" s="33"/>
      <c r="AB1060" s="33"/>
      <c r="AC1060" s="33"/>
      <c r="AD1060" s="33"/>
      <c r="AE1060" s="33"/>
      <c r="AF1060" s="33"/>
      <c r="AG1060" s="33"/>
      <c r="AH1060" s="33"/>
      <c r="AI1060" s="33"/>
      <c r="AJ1060" s="33"/>
      <c r="AK1060" s="216"/>
      <c r="AL1060" s="33"/>
      <c r="AM1060" s="33"/>
      <c r="AN1060" s="33"/>
      <c r="AO1060" s="33"/>
      <c r="AP1060" s="33"/>
    </row>
    <row r="1061" spans="1:42" ht="15.75" customHeight="1">
      <c r="A1061" s="33"/>
      <c r="B1061" s="33"/>
      <c r="C1061" s="33"/>
      <c r="D1061" s="33"/>
      <c r="E1061" s="33"/>
      <c r="F1061" s="199"/>
      <c r="G1061" s="33"/>
      <c r="H1061" s="33"/>
      <c r="I1061" s="33"/>
      <c r="J1061" s="33"/>
      <c r="K1061" s="33"/>
      <c r="L1061" s="33"/>
      <c r="M1061" s="33"/>
      <c r="N1061" s="33"/>
      <c r="O1061" s="33"/>
      <c r="P1061" s="33"/>
      <c r="Q1061" s="33"/>
      <c r="R1061" s="33"/>
      <c r="S1061" s="33"/>
      <c r="T1061" s="33"/>
      <c r="U1061" s="33"/>
      <c r="V1061" s="33"/>
      <c r="W1061" s="33"/>
      <c r="X1061" s="33"/>
      <c r="Y1061" s="33"/>
      <c r="Z1061" s="33"/>
      <c r="AA1061" s="33"/>
      <c r="AB1061" s="33"/>
      <c r="AC1061" s="33"/>
      <c r="AD1061" s="33"/>
      <c r="AE1061" s="33"/>
      <c r="AF1061" s="33"/>
      <c r="AG1061" s="33"/>
      <c r="AH1061" s="33"/>
      <c r="AI1061" s="33"/>
      <c r="AJ1061" s="33"/>
      <c r="AK1061" s="216"/>
      <c r="AL1061" s="33"/>
      <c r="AM1061" s="33"/>
      <c r="AN1061" s="33"/>
      <c r="AO1061" s="33"/>
      <c r="AP1061" s="33"/>
    </row>
    <row r="1062" spans="1:42" ht="15.75" customHeight="1">
      <c r="A1062" s="33"/>
      <c r="B1062" s="33"/>
      <c r="C1062" s="33"/>
      <c r="D1062" s="33"/>
      <c r="E1062" s="33"/>
      <c r="F1062" s="199"/>
      <c r="G1062" s="33"/>
      <c r="H1062" s="33"/>
      <c r="I1062" s="33"/>
      <c r="J1062" s="33"/>
      <c r="K1062" s="33"/>
      <c r="L1062" s="33"/>
      <c r="M1062" s="33"/>
      <c r="N1062" s="33"/>
      <c r="O1062" s="33"/>
      <c r="P1062" s="33"/>
      <c r="Q1062" s="33"/>
      <c r="R1062" s="33"/>
      <c r="S1062" s="33"/>
      <c r="T1062" s="33"/>
      <c r="U1062" s="33"/>
      <c r="V1062" s="33"/>
      <c r="W1062" s="33"/>
      <c r="X1062" s="33"/>
      <c r="Y1062" s="33"/>
      <c r="Z1062" s="33"/>
      <c r="AA1062" s="33"/>
      <c r="AB1062" s="33"/>
      <c r="AC1062" s="33"/>
      <c r="AD1062" s="33"/>
      <c r="AE1062" s="33"/>
      <c r="AF1062" s="33"/>
      <c r="AG1062" s="33"/>
      <c r="AH1062" s="33"/>
      <c r="AI1062" s="33"/>
      <c r="AJ1062" s="33"/>
      <c r="AK1062" s="216"/>
      <c r="AL1062" s="33"/>
      <c r="AM1062" s="33"/>
      <c r="AN1062" s="33"/>
      <c r="AO1062" s="33"/>
      <c r="AP1062" s="33"/>
    </row>
    <row r="1063" spans="1:42" ht="15.75" customHeight="1">
      <c r="A1063" s="33"/>
      <c r="B1063" s="33"/>
      <c r="C1063" s="33"/>
      <c r="D1063" s="33"/>
      <c r="E1063" s="33"/>
      <c r="F1063" s="199"/>
      <c r="G1063" s="33"/>
      <c r="H1063" s="33"/>
      <c r="I1063" s="33"/>
      <c r="J1063" s="33"/>
      <c r="K1063" s="33"/>
      <c r="L1063" s="33"/>
      <c r="M1063" s="33"/>
      <c r="N1063" s="33"/>
      <c r="O1063" s="33"/>
      <c r="P1063" s="33"/>
      <c r="Q1063" s="33"/>
      <c r="R1063" s="33"/>
      <c r="S1063" s="33"/>
      <c r="T1063" s="33"/>
      <c r="U1063" s="33"/>
      <c r="V1063" s="33"/>
      <c r="W1063" s="33"/>
      <c r="X1063" s="33"/>
      <c r="Y1063" s="33"/>
      <c r="Z1063" s="33"/>
      <c r="AA1063" s="33"/>
      <c r="AB1063" s="33"/>
      <c r="AC1063" s="33"/>
      <c r="AD1063" s="33"/>
      <c r="AE1063" s="33"/>
      <c r="AF1063" s="33"/>
      <c r="AG1063" s="33"/>
      <c r="AH1063" s="33"/>
      <c r="AI1063" s="33"/>
      <c r="AJ1063" s="33"/>
      <c r="AK1063" s="216"/>
      <c r="AL1063" s="33"/>
      <c r="AM1063" s="33"/>
      <c r="AN1063" s="33"/>
      <c r="AO1063" s="33"/>
      <c r="AP1063" s="33"/>
    </row>
    <row r="1064" spans="1:42" ht="15.75" customHeight="1">
      <c r="A1064" s="33"/>
      <c r="B1064" s="33"/>
      <c r="C1064" s="33"/>
      <c r="D1064" s="33"/>
      <c r="E1064" s="33"/>
      <c r="F1064" s="199"/>
      <c r="G1064" s="33"/>
      <c r="H1064" s="33"/>
      <c r="I1064" s="33"/>
      <c r="J1064" s="33"/>
      <c r="K1064" s="33"/>
      <c r="L1064" s="33"/>
      <c r="M1064" s="33"/>
      <c r="N1064" s="33"/>
      <c r="O1064" s="33"/>
      <c r="P1064" s="33"/>
      <c r="Q1064" s="33"/>
      <c r="R1064" s="33"/>
      <c r="S1064" s="33"/>
      <c r="T1064" s="33"/>
      <c r="U1064" s="33"/>
      <c r="V1064" s="33"/>
      <c r="W1064" s="33"/>
      <c r="X1064" s="33"/>
      <c r="Y1064" s="33"/>
      <c r="Z1064" s="33"/>
      <c r="AA1064" s="33"/>
      <c r="AB1064" s="33"/>
      <c r="AC1064" s="33"/>
      <c r="AD1064" s="33"/>
      <c r="AE1064" s="33"/>
      <c r="AF1064" s="33"/>
      <c r="AG1064" s="33"/>
      <c r="AH1064" s="33"/>
      <c r="AI1064" s="33"/>
      <c r="AJ1064" s="33"/>
      <c r="AK1064" s="216"/>
      <c r="AL1064" s="33"/>
      <c r="AM1064" s="33"/>
      <c r="AN1064" s="33"/>
      <c r="AO1064" s="33"/>
      <c r="AP1064" s="33"/>
    </row>
    <row r="1065" spans="1:42" ht="15.75" customHeight="1">
      <c r="A1065" s="33"/>
      <c r="B1065" s="33"/>
      <c r="C1065" s="33"/>
      <c r="D1065" s="33"/>
      <c r="E1065" s="33"/>
      <c r="F1065" s="199"/>
      <c r="G1065" s="33"/>
      <c r="H1065" s="33"/>
      <c r="I1065" s="33"/>
      <c r="J1065" s="33"/>
      <c r="K1065" s="33"/>
      <c r="L1065" s="33"/>
      <c r="M1065" s="33"/>
      <c r="N1065" s="33"/>
      <c r="O1065" s="33"/>
      <c r="P1065" s="33"/>
      <c r="Q1065" s="33"/>
      <c r="R1065" s="33"/>
      <c r="S1065" s="33"/>
      <c r="T1065" s="33"/>
      <c r="U1065" s="33"/>
      <c r="V1065" s="33"/>
      <c r="W1065" s="33"/>
      <c r="X1065" s="33"/>
      <c r="Y1065" s="33"/>
      <c r="Z1065" s="33"/>
      <c r="AA1065" s="33"/>
      <c r="AB1065" s="33"/>
      <c r="AC1065" s="33"/>
      <c r="AD1065" s="33"/>
      <c r="AE1065" s="33"/>
      <c r="AF1065" s="33"/>
      <c r="AG1065" s="33"/>
      <c r="AH1065" s="33"/>
      <c r="AI1065" s="33"/>
      <c r="AJ1065" s="33"/>
      <c r="AK1065" s="216"/>
      <c r="AL1065" s="33"/>
      <c r="AM1065" s="33"/>
      <c r="AN1065" s="33"/>
      <c r="AO1065" s="33"/>
      <c r="AP1065" s="33"/>
    </row>
    <row r="1066" spans="1:42" ht="15.75" customHeight="1">
      <c r="A1066" s="33"/>
      <c r="B1066" s="33"/>
      <c r="C1066" s="33"/>
      <c r="D1066" s="33"/>
      <c r="E1066" s="33"/>
      <c r="F1066" s="199"/>
      <c r="G1066" s="33"/>
      <c r="H1066" s="33"/>
      <c r="I1066" s="33"/>
      <c r="J1066" s="33"/>
      <c r="K1066" s="33"/>
      <c r="L1066" s="33"/>
      <c r="M1066" s="33"/>
      <c r="N1066" s="33"/>
      <c r="O1066" s="33"/>
      <c r="P1066" s="33"/>
      <c r="Q1066" s="33"/>
      <c r="R1066" s="33"/>
      <c r="S1066" s="33"/>
      <c r="T1066" s="33"/>
      <c r="U1066" s="33"/>
      <c r="V1066" s="33"/>
      <c r="W1066" s="33"/>
      <c r="X1066" s="33"/>
      <c r="Y1066" s="33"/>
      <c r="Z1066" s="33"/>
      <c r="AA1066" s="33"/>
      <c r="AB1066" s="33"/>
      <c r="AC1066" s="33"/>
      <c r="AD1066" s="33"/>
      <c r="AE1066" s="33"/>
      <c r="AF1066" s="33"/>
      <c r="AG1066" s="33"/>
      <c r="AH1066" s="33"/>
      <c r="AI1066" s="33"/>
      <c r="AJ1066" s="33"/>
      <c r="AK1066" s="216"/>
      <c r="AL1066" s="33"/>
      <c r="AM1066" s="33"/>
      <c r="AN1066" s="33"/>
      <c r="AO1066" s="33"/>
      <c r="AP1066" s="33"/>
    </row>
    <row r="1067" spans="1:42" ht="15.75" customHeight="1">
      <c r="A1067" s="33"/>
      <c r="B1067" s="33"/>
      <c r="C1067" s="33"/>
      <c r="D1067" s="33"/>
      <c r="E1067" s="33"/>
      <c r="F1067" s="199"/>
      <c r="G1067" s="33"/>
      <c r="H1067" s="33"/>
      <c r="I1067" s="33"/>
      <c r="J1067" s="33"/>
      <c r="K1067" s="33"/>
      <c r="L1067" s="33"/>
      <c r="M1067" s="33"/>
      <c r="N1067" s="33"/>
      <c r="O1067" s="33"/>
      <c r="P1067" s="33"/>
      <c r="Q1067" s="33"/>
      <c r="R1067" s="33"/>
      <c r="S1067" s="33"/>
      <c r="T1067" s="33"/>
      <c r="U1067" s="33"/>
      <c r="V1067" s="33"/>
      <c r="W1067" s="33"/>
      <c r="X1067" s="33"/>
      <c r="Y1067" s="33"/>
      <c r="Z1067" s="33"/>
      <c r="AA1067" s="33"/>
      <c r="AB1067" s="33"/>
      <c r="AC1067" s="33"/>
      <c r="AD1067" s="33"/>
      <c r="AE1067" s="33"/>
      <c r="AF1067" s="33"/>
      <c r="AG1067" s="33"/>
      <c r="AH1067" s="33"/>
      <c r="AI1067" s="33"/>
      <c r="AJ1067" s="33"/>
      <c r="AK1067" s="216"/>
      <c r="AL1067" s="33"/>
      <c r="AM1067" s="33"/>
      <c r="AN1067" s="33"/>
      <c r="AO1067" s="33"/>
      <c r="AP1067" s="33"/>
    </row>
    <row r="1068" spans="1:42" ht="15.75" customHeight="1">
      <c r="A1068" s="33"/>
      <c r="B1068" s="33"/>
      <c r="C1068" s="33"/>
      <c r="D1068" s="33"/>
      <c r="E1068" s="33"/>
      <c r="F1068" s="199"/>
      <c r="G1068" s="33"/>
      <c r="H1068" s="33"/>
      <c r="I1068" s="33"/>
      <c r="J1068" s="33"/>
      <c r="K1068" s="33"/>
      <c r="L1068" s="33"/>
      <c r="M1068" s="33"/>
      <c r="N1068" s="33"/>
      <c r="O1068" s="33"/>
      <c r="P1068" s="33"/>
      <c r="Q1068" s="33"/>
      <c r="R1068" s="33"/>
      <c r="S1068" s="33"/>
      <c r="T1068" s="33"/>
      <c r="U1068" s="33"/>
      <c r="V1068" s="33"/>
      <c r="W1068" s="33"/>
      <c r="X1068" s="33"/>
      <c r="Y1068" s="33"/>
      <c r="Z1068" s="33"/>
      <c r="AA1068" s="33"/>
      <c r="AB1068" s="33"/>
      <c r="AC1068" s="33"/>
      <c r="AD1068" s="33"/>
      <c r="AE1068" s="33"/>
      <c r="AF1068" s="33"/>
      <c r="AG1068" s="33"/>
      <c r="AH1068" s="33"/>
      <c r="AI1068" s="33"/>
      <c r="AJ1068" s="33"/>
      <c r="AK1068" s="216"/>
      <c r="AL1068" s="33"/>
      <c r="AM1068" s="33"/>
      <c r="AN1068" s="33"/>
      <c r="AO1068" s="33"/>
      <c r="AP1068" s="33"/>
    </row>
    <row r="1069" spans="1:42" ht="15.75" customHeight="1">
      <c r="A1069" s="33"/>
      <c r="B1069" s="33"/>
      <c r="C1069" s="33"/>
      <c r="D1069" s="33"/>
      <c r="E1069" s="33"/>
      <c r="F1069" s="199"/>
      <c r="G1069" s="33"/>
      <c r="H1069" s="33"/>
      <c r="I1069" s="33"/>
      <c r="J1069" s="33"/>
      <c r="K1069" s="33"/>
      <c r="L1069" s="33"/>
      <c r="M1069" s="33"/>
      <c r="N1069" s="33"/>
      <c r="O1069" s="33"/>
      <c r="P1069" s="33"/>
      <c r="Q1069" s="33"/>
      <c r="R1069" s="33"/>
      <c r="S1069" s="33"/>
      <c r="T1069" s="33"/>
      <c r="U1069" s="33"/>
      <c r="V1069" s="33"/>
      <c r="W1069" s="33"/>
      <c r="X1069" s="33"/>
      <c r="Y1069" s="33"/>
      <c r="Z1069" s="33"/>
      <c r="AA1069" s="33"/>
      <c r="AB1069" s="33"/>
      <c r="AC1069" s="33"/>
      <c r="AD1069" s="33"/>
      <c r="AE1069" s="33"/>
      <c r="AF1069" s="33"/>
      <c r="AG1069" s="33"/>
      <c r="AH1069" s="33"/>
      <c r="AI1069" s="33"/>
      <c r="AJ1069" s="33"/>
      <c r="AK1069" s="216"/>
      <c r="AL1069" s="33"/>
      <c r="AM1069" s="33"/>
      <c r="AN1069" s="33"/>
      <c r="AO1069" s="33"/>
      <c r="AP1069" s="33"/>
    </row>
    <row r="1070" spans="1:42" ht="15.75" customHeight="1">
      <c r="A1070" s="33"/>
      <c r="B1070" s="33"/>
      <c r="C1070" s="33"/>
      <c r="D1070" s="33"/>
      <c r="E1070" s="33"/>
      <c r="F1070" s="199"/>
      <c r="G1070" s="33"/>
      <c r="H1070" s="33"/>
      <c r="I1070" s="33"/>
      <c r="J1070" s="33"/>
      <c r="K1070" s="33"/>
      <c r="L1070" s="33"/>
      <c r="M1070" s="33"/>
      <c r="N1070" s="33"/>
      <c r="O1070" s="33"/>
      <c r="P1070" s="33"/>
      <c r="Q1070" s="33"/>
      <c r="R1070" s="33"/>
      <c r="S1070" s="33"/>
      <c r="T1070" s="33"/>
      <c r="U1070" s="33"/>
      <c r="V1070" s="33"/>
      <c r="W1070" s="33"/>
      <c r="X1070" s="33"/>
      <c r="Y1070" s="33"/>
      <c r="Z1070" s="33"/>
      <c r="AA1070" s="33"/>
      <c r="AB1070" s="33"/>
      <c r="AC1070" s="33"/>
      <c r="AD1070" s="33"/>
      <c r="AE1070" s="33"/>
      <c r="AF1070" s="33"/>
      <c r="AG1070" s="33"/>
      <c r="AH1070" s="33"/>
      <c r="AI1070" s="33"/>
      <c r="AJ1070" s="33"/>
      <c r="AK1070" s="216"/>
      <c r="AL1070" s="33"/>
      <c r="AM1070" s="33"/>
      <c r="AN1070" s="33"/>
      <c r="AO1070" s="33"/>
      <c r="AP1070" s="33"/>
    </row>
    <row r="1071" spans="1:42" ht="15.75" customHeight="1">
      <c r="A1071" s="33"/>
      <c r="B1071" s="33"/>
      <c r="C1071" s="33"/>
      <c r="D1071" s="33"/>
      <c r="E1071" s="33"/>
      <c r="F1071" s="199"/>
      <c r="G1071" s="33"/>
      <c r="H1071" s="33"/>
      <c r="I1071" s="33"/>
      <c r="J1071" s="33"/>
      <c r="K1071" s="33"/>
      <c r="L1071" s="33"/>
      <c r="M1071" s="33"/>
      <c r="N1071" s="33"/>
      <c r="O1071" s="33"/>
      <c r="P1071" s="33"/>
      <c r="Q1071" s="33"/>
      <c r="R1071" s="33"/>
      <c r="S1071" s="33"/>
      <c r="T1071" s="33"/>
      <c r="U1071" s="33"/>
      <c r="V1071" s="33"/>
      <c r="W1071" s="33"/>
      <c r="X1071" s="33"/>
      <c r="Y1071" s="33"/>
      <c r="Z1071" s="33"/>
      <c r="AA1071" s="33"/>
      <c r="AB1071" s="33"/>
      <c r="AC1071" s="33"/>
      <c r="AD1071" s="33"/>
      <c r="AE1071" s="33"/>
      <c r="AF1071" s="33"/>
      <c r="AG1071" s="33"/>
      <c r="AH1071" s="33"/>
      <c r="AI1071" s="33"/>
      <c r="AJ1071" s="33"/>
      <c r="AK1071" s="216"/>
      <c r="AL1071" s="33"/>
      <c r="AM1071" s="33"/>
      <c r="AN1071" s="33"/>
      <c r="AO1071" s="33"/>
      <c r="AP1071" s="33"/>
    </row>
    <row r="1072" spans="1:42" ht="15.75" customHeight="1">
      <c r="A1072" s="33"/>
      <c r="B1072" s="33"/>
      <c r="C1072" s="33"/>
      <c r="D1072" s="33"/>
      <c r="E1072" s="33"/>
      <c r="F1072" s="199"/>
      <c r="G1072" s="33"/>
      <c r="H1072" s="33"/>
      <c r="I1072" s="33"/>
      <c r="J1072" s="33"/>
      <c r="K1072" s="33"/>
      <c r="L1072" s="33"/>
      <c r="M1072" s="33"/>
      <c r="N1072" s="33"/>
      <c r="O1072" s="33"/>
      <c r="P1072" s="33"/>
      <c r="Q1072" s="33"/>
      <c r="R1072" s="33"/>
      <c r="S1072" s="33"/>
      <c r="T1072" s="33"/>
      <c r="U1072" s="33"/>
      <c r="V1072" s="33"/>
      <c r="W1072" s="33"/>
      <c r="X1072" s="33"/>
      <c r="Y1072" s="33"/>
      <c r="Z1072" s="33"/>
      <c r="AA1072" s="33"/>
      <c r="AB1072" s="33"/>
      <c r="AC1072" s="33"/>
      <c r="AD1072" s="33"/>
      <c r="AE1072" s="33"/>
      <c r="AF1072" s="33"/>
      <c r="AG1072" s="33"/>
      <c r="AH1072" s="33"/>
      <c r="AI1072" s="33"/>
      <c r="AJ1072" s="33"/>
      <c r="AK1072" s="216"/>
      <c r="AL1072" s="33"/>
      <c r="AM1072" s="33"/>
      <c r="AN1072" s="33"/>
      <c r="AO1072" s="33"/>
      <c r="AP1072" s="33"/>
    </row>
    <row r="1073" spans="1:42" ht="15.75" customHeight="1">
      <c r="A1073" s="33"/>
      <c r="B1073" s="33"/>
      <c r="C1073" s="33"/>
      <c r="D1073" s="33"/>
      <c r="E1073" s="33"/>
      <c r="F1073" s="199"/>
      <c r="G1073" s="33"/>
      <c r="H1073" s="33"/>
      <c r="I1073" s="33"/>
      <c r="J1073" s="33"/>
      <c r="K1073" s="33"/>
      <c r="L1073" s="33"/>
      <c r="M1073" s="33"/>
      <c r="N1073" s="33"/>
      <c r="O1073" s="33"/>
      <c r="P1073" s="33"/>
      <c r="Q1073" s="33"/>
      <c r="R1073" s="33"/>
      <c r="S1073" s="33"/>
      <c r="T1073" s="33"/>
      <c r="U1073" s="33"/>
      <c r="V1073" s="33"/>
      <c r="W1073" s="33"/>
      <c r="X1073" s="33"/>
      <c r="Y1073" s="33"/>
      <c r="Z1073" s="33"/>
      <c r="AA1073" s="33"/>
      <c r="AB1073" s="33"/>
      <c r="AC1073" s="33"/>
      <c r="AD1073" s="33"/>
      <c r="AE1073" s="33"/>
      <c r="AF1073" s="33"/>
      <c r="AG1073" s="33"/>
      <c r="AH1073" s="33"/>
      <c r="AI1073" s="33"/>
      <c r="AJ1073" s="33"/>
      <c r="AK1073" s="216"/>
      <c r="AL1073" s="33"/>
      <c r="AM1073" s="33"/>
      <c r="AN1073" s="33"/>
      <c r="AO1073" s="33"/>
      <c r="AP1073" s="33"/>
    </row>
    <row r="1074" spans="1:42" ht="15.75" customHeight="1">
      <c r="A1074" s="33"/>
      <c r="B1074" s="33"/>
      <c r="C1074" s="33"/>
      <c r="D1074" s="33"/>
      <c r="E1074" s="33"/>
      <c r="F1074" s="199"/>
      <c r="G1074" s="33"/>
      <c r="H1074" s="33"/>
      <c r="I1074" s="33"/>
      <c r="J1074" s="33"/>
      <c r="K1074" s="33"/>
      <c r="L1074" s="33"/>
      <c r="M1074" s="33"/>
      <c r="N1074" s="33"/>
      <c r="O1074" s="33"/>
      <c r="P1074" s="33"/>
      <c r="Q1074" s="33"/>
      <c r="R1074" s="33"/>
      <c r="S1074" s="33"/>
      <c r="T1074" s="33"/>
      <c r="U1074" s="33"/>
      <c r="V1074" s="33"/>
      <c r="W1074" s="33"/>
      <c r="X1074" s="33"/>
      <c r="Y1074" s="33"/>
      <c r="Z1074" s="33"/>
      <c r="AA1074" s="33"/>
      <c r="AB1074" s="33"/>
      <c r="AC1074" s="33"/>
      <c r="AD1074" s="33"/>
      <c r="AE1074" s="33"/>
      <c r="AF1074" s="33"/>
      <c r="AG1074" s="33"/>
      <c r="AH1074" s="33"/>
      <c r="AI1074" s="33"/>
      <c r="AJ1074" s="33"/>
      <c r="AK1074" s="216"/>
      <c r="AL1074" s="33"/>
      <c r="AM1074" s="33"/>
      <c r="AN1074" s="33"/>
      <c r="AO1074" s="33"/>
      <c r="AP1074" s="33"/>
    </row>
    <row r="1075" spans="1:42" ht="15.75" customHeight="1">
      <c r="A1075" s="33"/>
      <c r="B1075" s="33"/>
      <c r="C1075" s="33"/>
      <c r="D1075" s="33"/>
      <c r="E1075" s="33"/>
      <c r="F1075" s="199"/>
      <c r="G1075" s="33"/>
      <c r="H1075" s="33"/>
      <c r="I1075" s="33"/>
      <c r="J1075" s="33"/>
      <c r="K1075" s="33"/>
      <c r="L1075" s="33"/>
      <c r="M1075" s="33"/>
      <c r="N1075" s="33"/>
      <c r="O1075" s="33"/>
      <c r="P1075" s="33"/>
      <c r="Q1075" s="33"/>
      <c r="R1075" s="33"/>
      <c r="S1075" s="33"/>
      <c r="T1075" s="33"/>
      <c r="U1075" s="33"/>
      <c r="V1075" s="33"/>
      <c r="W1075" s="33"/>
      <c r="X1075" s="33"/>
      <c r="Y1075" s="33"/>
      <c r="Z1075" s="33"/>
      <c r="AA1075" s="33"/>
      <c r="AB1075" s="33"/>
      <c r="AC1075" s="33"/>
      <c r="AD1075" s="33"/>
      <c r="AE1075" s="33"/>
      <c r="AF1075" s="33"/>
      <c r="AG1075" s="33"/>
      <c r="AH1075" s="33"/>
      <c r="AI1075" s="33"/>
      <c r="AJ1075" s="33"/>
      <c r="AK1075" s="216"/>
      <c r="AL1075" s="33"/>
      <c r="AM1075" s="33"/>
      <c r="AN1075" s="33"/>
      <c r="AO1075" s="33"/>
      <c r="AP1075" s="33"/>
    </row>
    <row r="1076" spans="1:42" ht="15.75" customHeight="1">
      <c r="A1076" s="33"/>
      <c r="B1076" s="33"/>
      <c r="C1076" s="33"/>
      <c r="D1076" s="33"/>
      <c r="E1076" s="33"/>
      <c r="F1076" s="199"/>
      <c r="G1076" s="33"/>
      <c r="H1076" s="33"/>
      <c r="I1076" s="33"/>
      <c r="J1076" s="33"/>
      <c r="K1076" s="33"/>
      <c r="L1076" s="33"/>
      <c r="M1076" s="33"/>
      <c r="N1076" s="33"/>
      <c r="O1076" s="33"/>
      <c r="P1076" s="33"/>
      <c r="Q1076" s="33"/>
      <c r="R1076" s="33"/>
      <c r="S1076" s="33"/>
      <c r="T1076" s="33"/>
      <c r="U1076" s="33"/>
      <c r="V1076" s="33"/>
      <c r="W1076" s="33"/>
      <c r="X1076" s="33"/>
      <c r="Y1076" s="33"/>
      <c r="Z1076" s="33"/>
      <c r="AA1076" s="33"/>
      <c r="AB1076" s="33"/>
      <c r="AC1076" s="33"/>
      <c r="AD1076" s="33"/>
      <c r="AE1076" s="33"/>
      <c r="AF1076" s="33"/>
      <c r="AG1076" s="33"/>
      <c r="AH1076" s="33"/>
      <c r="AI1076" s="33"/>
      <c r="AJ1076" s="33"/>
      <c r="AK1076" s="216"/>
      <c r="AL1076" s="33"/>
      <c r="AM1076" s="33"/>
      <c r="AN1076" s="33"/>
      <c r="AO1076" s="33"/>
      <c r="AP1076" s="33"/>
    </row>
    <row r="1077" spans="1:42" ht="15.75" customHeight="1">
      <c r="A1077" s="33"/>
      <c r="B1077" s="33"/>
      <c r="C1077" s="33"/>
      <c r="D1077" s="33"/>
      <c r="E1077" s="33"/>
      <c r="F1077" s="199"/>
      <c r="G1077" s="33"/>
      <c r="H1077" s="33"/>
      <c r="I1077" s="33"/>
      <c r="J1077" s="33"/>
      <c r="K1077" s="33"/>
      <c r="L1077" s="33"/>
      <c r="M1077" s="33"/>
      <c r="N1077" s="33"/>
      <c r="O1077" s="33"/>
      <c r="P1077" s="33"/>
      <c r="Q1077" s="33"/>
      <c r="R1077" s="33"/>
      <c r="S1077" s="33"/>
      <c r="T1077" s="33"/>
      <c r="U1077" s="33"/>
      <c r="V1077" s="33"/>
      <c r="W1077" s="33"/>
      <c r="X1077" s="33"/>
      <c r="Y1077" s="33"/>
      <c r="Z1077" s="33"/>
      <c r="AA1077" s="33"/>
      <c r="AB1077" s="33"/>
      <c r="AC1077" s="33"/>
      <c r="AD1077" s="33"/>
      <c r="AE1077" s="33"/>
      <c r="AF1077" s="33"/>
      <c r="AG1077" s="33"/>
      <c r="AH1077" s="33"/>
      <c r="AI1077" s="33"/>
      <c r="AJ1077" s="33"/>
      <c r="AK1077" s="216"/>
      <c r="AL1077" s="33"/>
      <c r="AM1077" s="33"/>
      <c r="AN1077" s="33"/>
      <c r="AO1077" s="33"/>
      <c r="AP1077" s="33"/>
    </row>
    <row r="1078" spans="1:42" ht="15.75" customHeight="1">
      <c r="A1078" s="33"/>
      <c r="B1078" s="33"/>
      <c r="C1078" s="33"/>
      <c r="D1078" s="33"/>
      <c r="E1078" s="33"/>
      <c r="F1078" s="199"/>
      <c r="G1078" s="33"/>
      <c r="H1078" s="33"/>
      <c r="I1078" s="33"/>
      <c r="J1078" s="33"/>
      <c r="K1078" s="33"/>
      <c r="L1078" s="33"/>
      <c r="M1078" s="33"/>
      <c r="N1078" s="33"/>
      <c r="O1078" s="33"/>
      <c r="P1078" s="33"/>
      <c r="Q1078" s="33"/>
      <c r="R1078" s="33"/>
      <c r="S1078" s="33"/>
      <c r="T1078" s="33"/>
      <c r="U1078" s="33"/>
      <c r="V1078" s="33"/>
      <c r="W1078" s="33"/>
      <c r="X1078" s="33"/>
      <c r="Y1078" s="33"/>
      <c r="Z1078" s="33"/>
      <c r="AA1078" s="33"/>
      <c r="AB1078" s="33"/>
      <c r="AC1078" s="33"/>
      <c r="AD1078" s="33"/>
      <c r="AE1078" s="33"/>
      <c r="AF1078" s="33"/>
      <c r="AG1078" s="33"/>
      <c r="AH1078" s="33"/>
      <c r="AI1078" s="33"/>
      <c r="AJ1078" s="33"/>
      <c r="AK1078" s="216"/>
      <c r="AL1078" s="33"/>
      <c r="AM1078" s="33"/>
      <c r="AN1078" s="33"/>
      <c r="AO1078" s="33"/>
      <c r="AP1078" s="33"/>
    </row>
    <row r="1079" spans="1:42" ht="15.75" customHeight="1">
      <c r="A1079" s="33"/>
      <c r="B1079" s="33"/>
      <c r="C1079" s="33"/>
      <c r="D1079" s="33"/>
      <c r="E1079" s="33"/>
      <c r="F1079" s="199"/>
      <c r="G1079" s="33"/>
      <c r="H1079" s="33"/>
      <c r="I1079" s="33"/>
      <c r="J1079" s="33"/>
      <c r="K1079" s="33"/>
      <c r="L1079" s="33"/>
      <c r="M1079" s="33"/>
      <c r="N1079" s="33"/>
      <c r="O1079" s="33"/>
      <c r="P1079" s="33"/>
      <c r="Q1079" s="33"/>
      <c r="R1079" s="33"/>
      <c r="S1079" s="33"/>
      <c r="T1079" s="33"/>
      <c r="U1079" s="33"/>
      <c r="V1079" s="33"/>
      <c r="W1079" s="33"/>
      <c r="X1079" s="33"/>
      <c r="Y1079" s="33"/>
      <c r="Z1079" s="33"/>
      <c r="AA1079" s="33"/>
      <c r="AB1079" s="33"/>
      <c r="AC1079" s="33"/>
      <c r="AD1079" s="33"/>
      <c r="AE1079" s="33"/>
      <c r="AF1079" s="33"/>
      <c r="AG1079" s="33"/>
      <c r="AH1079" s="33"/>
      <c r="AI1079" s="33"/>
      <c r="AJ1079" s="33"/>
      <c r="AK1079" s="216"/>
      <c r="AL1079" s="33"/>
      <c r="AM1079" s="33"/>
      <c r="AN1079" s="33"/>
      <c r="AO1079" s="33"/>
      <c r="AP1079" s="33"/>
    </row>
    <row r="1080" spans="1:42" ht="15.75" customHeight="1">
      <c r="A1080" s="33"/>
      <c r="B1080" s="33"/>
      <c r="C1080" s="33"/>
      <c r="D1080" s="33"/>
      <c r="E1080" s="33"/>
      <c r="F1080" s="199"/>
      <c r="G1080" s="33"/>
      <c r="H1080" s="33"/>
      <c r="I1080" s="33"/>
      <c r="J1080" s="33"/>
      <c r="K1080" s="33"/>
      <c r="L1080" s="33"/>
      <c r="M1080" s="33"/>
      <c r="N1080" s="33"/>
      <c r="O1080" s="33"/>
      <c r="P1080" s="33"/>
      <c r="Q1080" s="33"/>
      <c r="R1080" s="33"/>
      <c r="S1080" s="33"/>
      <c r="T1080" s="33"/>
      <c r="U1080" s="33"/>
      <c r="V1080" s="33"/>
      <c r="W1080" s="33"/>
      <c r="X1080" s="33"/>
      <c r="Y1080" s="33"/>
      <c r="Z1080" s="33"/>
      <c r="AA1080" s="33"/>
      <c r="AB1080" s="33"/>
      <c r="AC1080" s="33"/>
      <c r="AD1080" s="33"/>
      <c r="AE1080" s="33"/>
      <c r="AF1080" s="33"/>
      <c r="AG1080" s="33"/>
      <c r="AH1080" s="33"/>
      <c r="AI1080" s="33"/>
      <c r="AJ1080" s="33"/>
      <c r="AK1080" s="216"/>
      <c r="AL1080" s="33"/>
      <c r="AM1080" s="33"/>
      <c r="AN1080" s="33"/>
      <c r="AO1080" s="33"/>
      <c r="AP1080" s="33"/>
    </row>
    <row r="1081" spans="1:42" ht="15.75" customHeight="1">
      <c r="A1081" s="33"/>
      <c r="B1081" s="33"/>
      <c r="C1081" s="33"/>
      <c r="D1081" s="33"/>
      <c r="E1081" s="33"/>
      <c r="F1081" s="199"/>
      <c r="G1081" s="33"/>
      <c r="H1081" s="33"/>
      <c r="I1081" s="33"/>
      <c r="J1081" s="33"/>
      <c r="K1081" s="33"/>
      <c r="L1081" s="33"/>
      <c r="M1081" s="33"/>
      <c r="N1081" s="33"/>
      <c r="O1081" s="33"/>
      <c r="P1081" s="33"/>
      <c r="Q1081" s="33"/>
      <c r="R1081" s="33"/>
      <c r="S1081" s="33"/>
      <c r="T1081" s="33"/>
      <c r="U1081" s="33"/>
      <c r="V1081" s="33"/>
      <c r="W1081" s="33"/>
      <c r="X1081" s="33"/>
      <c r="Y1081" s="33"/>
      <c r="Z1081" s="33"/>
      <c r="AA1081" s="33"/>
      <c r="AB1081" s="33"/>
      <c r="AC1081" s="33"/>
      <c r="AD1081" s="33"/>
      <c r="AE1081" s="33"/>
      <c r="AF1081" s="33"/>
      <c r="AG1081" s="33"/>
      <c r="AH1081" s="33"/>
      <c r="AI1081" s="33"/>
      <c r="AJ1081" s="33"/>
      <c r="AK1081" s="216"/>
      <c r="AL1081" s="33"/>
      <c r="AM1081" s="33"/>
      <c r="AN1081" s="33"/>
      <c r="AO1081" s="33"/>
      <c r="AP1081" s="33"/>
    </row>
    <row r="1082" spans="1:42" ht="15.75" customHeight="1">
      <c r="A1082" s="33"/>
      <c r="B1082" s="33"/>
      <c r="C1082" s="33"/>
      <c r="D1082" s="33"/>
      <c r="E1082" s="33"/>
      <c r="F1082" s="199"/>
      <c r="G1082" s="33"/>
      <c r="H1082" s="33"/>
      <c r="I1082" s="33"/>
      <c r="J1082" s="33"/>
      <c r="K1082" s="33"/>
      <c r="L1082" s="33"/>
      <c r="M1082" s="33"/>
      <c r="N1082" s="33"/>
      <c r="O1082" s="33"/>
      <c r="P1082" s="33"/>
      <c r="Q1082" s="33"/>
      <c r="R1082" s="33"/>
      <c r="S1082" s="33"/>
      <c r="T1082" s="33"/>
      <c r="U1082" s="33"/>
      <c r="V1082" s="33"/>
      <c r="W1082" s="33"/>
      <c r="X1082" s="33"/>
      <c r="Y1082" s="33"/>
      <c r="Z1082" s="33"/>
      <c r="AA1082" s="33"/>
      <c r="AB1082" s="33"/>
      <c r="AC1082" s="33"/>
      <c r="AD1082" s="33"/>
      <c r="AE1082" s="33"/>
      <c r="AF1082" s="33"/>
      <c r="AG1082" s="33"/>
      <c r="AH1082" s="33"/>
      <c r="AI1082" s="33"/>
      <c r="AJ1082" s="33"/>
      <c r="AK1082" s="216"/>
      <c r="AL1082" s="33"/>
      <c r="AM1082" s="33"/>
      <c r="AN1082" s="33"/>
      <c r="AO1082" s="33"/>
      <c r="AP1082" s="33"/>
    </row>
    <row r="1083" spans="1:42" ht="15.75" customHeight="1">
      <c r="A1083" s="33"/>
      <c r="B1083" s="33"/>
      <c r="C1083" s="33"/>
      <c r="D1083" s="33"/>
      <c r="E1083" s="33"/>
      <c r="F1083" s="199"/>
      <c r="G1083" s="33"/>
      <c r="H1083" s="33"/>
      <c r="I1083" s="33"/>
      <c r="J1083" s="33"/>
      <c r="K1083" s="33"/>
      <c r="L1083" s="33"/>
      <c r="M1083" s="33"/>
      <c r="N1083" s="33"/>
      <c r="O1083" s="33"/>
      <c r="P1083" s="33"/>
      <c r="Q1083" s="33"/>
      <c r="R1083" s="33"/>
      <c r="S1083" s="33"/>
      <c r="T1083" s="33"/>
      <c r="U1083" s="33"/>
      <c r="V1083" s="33"/>
      <c r="W1083" s="33"/>
      <c r="X1083" s="33"/>
      <c r="Y1083" s="33"/>
      <c r="Z1083" s="33"/>
      <c r="AA1083" s="33"/>
      <c r="AB1083" s="33"/>
      <c r="AC1083" s="33"/>
      <c r="AD1083" s="33"/>
      <c r="AE1083" s="33"/>
      <c r="AF1083" s="33"/>
      <c r="AG1083" s="33"/>
      <c r="AH1083" s="33"/>
      <c r="AI1083" s="33"/>
      <c r="AJ1083" s="33"/>
      <c r="AK1083" s="216"/>
      <c r="AL1083" s="33"/>
      <c r="AM1083" s="33"/>
      <c r="AN1083" s="33"/>
      <c r="AO1083" s="33"/>
      <c r="AP1083" s="33"/>
    </row>
    <row r="1084" spans="1:42" ht="15.75" customHeight="1">
      <c r="A1084" s="33"/>
      <c r="B1084" s="33"/>
      <c r="C1084" s="33"/>
      <c r="D1084" s="33"/>
      <c r="E1084" s="33"/>
      <c r="F1084" s="199"/>
      <c r="G1084" s="33"/>
      <c r="H1084" s="33"/>
      <c r="I1084" s="33"/>
      <c r="J1084" s="33"/>
      <c r="K1084" s="33"/>
      <c r="L1084" s="33"/>
      <c r="M1084" s="33"/>
      <c r="N1084" s="33"/>
      <c r="O1084" s="33"/>
      <c r="P1084" s="33"/>
      <c r="Q1084" s="33"/>
      <c r="R1084" s="33"/>
      <c r="S1084" s="33"/>
      <c r="T1084" s="33"/>
      <c r="U1084" s="33"/>
      <c r="V1084" s="33"/>
      <c r="W1084" s="33"/>
      <c r="X1084" s="33"/>
      <c r="Y1084" s="33"/>
      <c r="Z1084" s="33"/>
      <c r="AA1084" s="33"/>
      <c r="AB1084" s="33"/>
      <c r="AC1084" s="33"/>
      <c r="AD1084" s="33"/>
      <c r="AE1084" s="33"/>
      <c r="AF1084" s="33"/>
      <c r="AG1084" s="33"/>
      <c r="AH1084" s="33"/>
      <c r="AI1084" s="33"/>
      <c r="AJ1084" s="33"/>
      <c r="AK1084" s="216"/>
      <c r="AL1084" s="33"/>
      <c r="AM1084" s="33"/>
      <c r="AN1084" s="33"/>
      <c r="AO1084" s="33"/>
      <c r="AP1084" s="33"/>
    </row>
    <row r="1085" spans="1:42" ht="15.75" customHeight="1">
      <c r="A1085" s="33"/>
      <c r="B1085" s="33"/>
      <c r="C1085" s="33"/>
      <c r="D1085" s="33"/>
      <c r="E1085" s="33"/>
      <c r="F1085" s="199"/>
      <c r="G1085" s="33"/>
      <c r="H1085" s="33"/>
      <c r="I1085" s="33"/>
      <c r="J1085" s="33"/>
      <c r="K1085" s="33"/>
      <c r="L1085" s="33"/>
      <c r="M1085" s="33"/>
      <c r="N1085" s="33"/>
      <c r="O1085" s="33"/>
      <c r="P1085" s="33"/>
      <c r="Q1085" s="33"/>
      <c r="R1085" s="33"/>
      <c r="S1085" s="33"/>
      <c r="T1085" s="33"/>
      <c r="U1085" s="33"/>
      <c r="V1085" s="33"/>
      <c r="W1085" s="33"/>
      <c r="X1085" s="33"/>
      <c r="Y1085" s="33"/>
      <c r="Z1085" s="33"/>
      <c r="AA1085" s="33"/>
      <c r="AB1085" s="33"/>
      <c r="AC1085" s="33"/>
      <c r="AD1085" s="33"/>
      <c r="AE1085" s="33"/>
      <c r="AF1085" s="33"/>
      <c r="AG1085" s="33"/>
      <c r="AH1085" s="33"/>
      <c r="AI1085" s="33"/>
      <c r="AJ1085" s="33"/>
      <c r="AK1085" s="216"/>
      <c r="AL1085" s="33"/>
      <c r="AM1085" s="33"/>
      <c r="AN1085" s="33"/>
      <c r="AO1085" s="33"/>
      <c r="AP1085" s="33"/>
    </row>
    <row r="1086" spans="1:42" ht="15.75" customHeight="1">
      <c r="A1086" s="33"/>
      <c r="B1086" s="33"/>
      <c r="C1086" s="33"/>
      <c r="D1086" s="33"/>
      <c r="E1086" s="33"/>
      <c r="F1086" s="199"/>
      <c r="G1086" s="33"/>
      <c r="H1086" s="33"/>
      <c r="I1086" s="33"/>
      <c r="J1086" s="33"/>
      <c r="K1086" s="33"/>
      <c r="L1086" s="33"/>
      <c r="M1086" s="33"/>
      <c r="N1086" s="33"/>
      <c r="O1086" s="33"/>
      <c r="P1086" s="33"/>
      <c r="Q1086" s="33"/>
      <c r="R1086" s="33"/>
      <c r="S1086" s="33"/>
      <c r="T1086" s="33"/>
      <c r="U1086" s="33"/>
      <c r="V1086" s="33"/>
      <c r="W1086" s="33"/>
      <c r="X1086" s="33"/>
      <c r="Y1086" s="33"/>
      <c r="Z1086" s="33"/>
      <c r="AA1086" s="33"/>
      <c r="AB1086" s="33"/>
      <c r="AC1086" s="33"/>
      <c r="AD1086" s="33"/>
      <c r="AE1086" s="33"/>
      <c r="AF1086" s="33"/>
      <c r="AG1086" s="33"/>
      <c r="AH1086" s="33"/>
      <c r="AI1086" s="33"/>
      <c r="AJ1086" s="33"/>
      <c r="AK1086" s="216"/>
      <c r="AL1086" s="33"/>
      <c r="AM1086" s="33"/>
      <c r="AN1086" s="33"/>
      <c r="AO1086" s="33"/>
      <c r="AP1086" s="33"/>
    </row>
    <row r="1087" spans="1:42" ht="15.75" customHeight="1">
      <c r="A1087" s="33"/>
      <c r="B1087" s="33"/>
      <c r="C1087" s="33"/>
      <c r="D1087" s="33"/>
      <c r="E1087" s="33"/>
      <c r="F1087" s="199"/>
      <c r="G1087" s="33"/>
      <c r="H1087" s="33"/>
      <c r="I1087" s="33"/>
      <c r="J1087" s="33"/>
      <c r="K1087" s="33"/>
      <c r="L1087" s="33"/>
      <c r="M1087" s="33"/>
      <c r="N1087" s="33"/>
      <c r="O1087" s="33"/>
      <c r="P1087" s="33"/>
      <c r="Q1087" s="33"/>
      <c r="R1087" s="33"/>
      <c r="S1087" s="33"/>
      <c r="T1087" s="33"/>
      <c r="U1087" s="33"/>
      <c r="V1087" s="33"/>
      <c r="W1087" s="33"/>
      <c r="X1087" s="33"/>
      <c r="Y1087" s="33"/>
      <c r="Z1087" s="33"/>
      <c r="AA1087" s="33"/>
      <c r="AB1087" s="33"/>
      <c r="AC1087" s="33"/>
      <c r="AD1087" s="33"/>
      <c r="AE1087" s="33"/>
      <c r="AF1087" s="33"/>
      <c r="AG1087" s="33"/>
      <c r="AH1087" s="33"/>
      <c r="AI1087" s="33"/>
      <c r="AJ1087" s="33"/>
      <c r="AK1087" s="216"/>
      <c r="AL1087" s="33"/>
      <c r="AM1087" s="33"/>
      <c r="AN1087" s="33"/>
      <c r="AO1087" s="33"/>
      <c r="AP1087" s="33"/>
    </row>
    <row r="1088" spans="1:42" ht="15.75" customHeight="1">
      <c r="A1088" s="33"/>
      <c r="B1088" s="33"/>
      <c r="C1088" s="33"/>
      <c r="D1088" s="33"/>
      <c r="E1088" s="33"/>
      <c r="F1088" s="199"/>
      <c r="G1088" s="33"/>
      <c r="H1088" s="33"/>
      <c r="I1088" s="33"/>
      <c r="J1088" s="33"/>
      <c r="K1088" s="33"/>
      <c r="L1088" s="33"/>
      <c r="M1088" s="33"/>
      <c r="N1088" s="33"/>
      <c r="O1088" s="33"/>
      <c r="P1088" s="33"/>
      <c r="Q1088" s="33"/>
      <c r="R1088" s="33"/>
      <c r="S1088" s="33"/>
      <c r="T1088" s="33"/>
      <c r="U1088" s="33"/>
      <c r="V1088" s="33"/>
      <c r="W1088" s="33"/>
      <c r="X1088" s="33"/>
      <c r="Y1088" s="33"/>
      <c r="Z1088" s="33"/>
      <c r="AA1088" s="33"/>
      <c r="AB1088" s="33"/>
      <c r="AC1088" s="33"/>
      <c r="AD1088" s="33"/>
      <c r="AE1088" s="33"/>
      <c r="AF1088" s="33"/>
      <c r="AG1088" s="33"/>
      <c r="AH1088" s="33"/>
      <c r="AI1088" s="33"/>
      <c r="AJ1088" s="33"/>
      <c r="AK1088" s="216"/>
      <c r="AL1088" s="33"/>
      <c r="AM1088" s="33"/>
      <c r="AN1088" s="33"/>
      <c r="AO1088" s="33"/>
      <c r="AP1088" s="33"/>
    </row>
    <row r="1089" spans="1:42" ht="15.75" customHeight="1">
      <c r="A1089" s="33"/>
      <c r="B1089" s="33"/>
      <c r="C1089" s="33"/>
      <c r="D1089" s="33"/>
      <c r="E1089" s="33"/>
      <c r="F1089" s="199"/>
      <c r="G1089" s="33"/>
      <c r="H1089" s="33"/>
      <c r="I1089" s="33"/>
      <c r="J1089" s="33"/>
      <c r="K1089" s="33"/>
      <c r="L1089" s="33"/>
      <c r="M1089" s="33"/>
      <c r="N1089" s="33"/>
      <c r="O1089" s="33"/>
      <c r="P1089" s="33"/>
      <c r="Q1089" s="33"/>
      <c r="R1089" s="33"/>
      <c r="S1089" s="33"/>
      <c r="T1089" s="33"/>
      <c r="U1089" s="33"/>
      <c r="V1089" s="33"/>
      <c r="W1089" s="33"/>
      <c r="X1089" s="33"/>
      <c r="Y1089" s="33"/>
      <c r="Z1089" s="33"/>
      <c r="AA1089" s="33"/>
      <c r="AB1089" s="33"/>
      <c r="AC1089" s="33"/>
      <c r="AD1089" s="33"/>
      <c r="AE1089" s="33"/>
      <c r="AF1089" s="33"/>
      <c r="AG1089" s="33"/>
      <c r="AH1089" s="33"/>
      <c r="AI1089" s="33"/>
      <c r="AJ1089" s="33"/>
      <c r="AK1089" s="216"/>
      <c r="AL1089" s="33"/>
      <c r="AM1089" s="33"/>
      <c r="AN1089" s="33"/>
      <c r="AO1089" s="33"/>
      <c r="AP1089" s="33"/>
    </row>
    <row r="1090" spans="1:42" ht="15.75" customHeight="1">
      <c r="A1090" s="33"/>
      <c r="B1090" s="33"/>
      <c r="C1090" s="33"/>
      <c r="D1090" s="33"/>
      <c r="E1090" s="33"/>
      <c r="F1090" s="199"/>
      <c r="G1090" s="33"/>
      <c r="H1090" s="33"/>
      <c r="I1090" s="33"/>
      <c r="J1090" s="33"/>
      <c r="K1090" s="33"/>
      <c r="L1090" s="33"/>
      <c r="M1090" s="33"/>
      <c r="N1090" s="33"/>
      <c r="O1090" s="33"/>
      <c r="P1090" s="33"/>
      <c r="Q1090" s="33"/>
      <c r="R1090" s="33"/>
      <c r="S1090" s="33"/>
      <c r="T1090" s="33"/>
      <c r="U1090" s="33"/>
      <c r="V1090" s="33"/>
      <c r="W1090" s="33"/>
      <c r="X1090" s="33"/>
      <c r="Y1090" s="33"/>
      <c r="Z1090" s="33"/>
      <c r="AA1090" s="33"/>
      <c r="AB1090" s="33"/>
      <c r="AC1090" s="33"/>
      <c r="AD1090" s="33"/>
      <c r="AE1090" s="33"/>
      <c r="AF1090" s="33"/>
      <c r="AG1090" s="33"/>
      <c r="AH1090" s="33"/>
      <c r="AI1090" s="33"/>
      <c r="AJ1090" s="33"/>
      <c r="AK1090" s="216"/>
      <c r="AL1090" s="33"/>
      <c r="AM1090" s="33"/>
      <c r="AN1090" s="33"/>
      <c r="AO1090" s="33"/>
      <c r="AP1090" s="33"/>
    </row>
    <row r="1091" spans="1:42" ht="15.75" customHeight="1">
      <c r="A1091" s="33"/>
      <c r="B1091" s="33"/>
      <c r="C1091" s="33"/>
      <c r="D1091" s="33"/>
      <c r="E1091" s="33"/>
      <c r="F1091" s="199"/>
      <c r="G1091" s="33"/>
      <c r="H1091" s="33"/>
      <c r="I1091" s="33"/>
      <c r="J1091" s="33"/>
      <c r="K1091" s="33"/>
      <c r="L1091" s="33"/>
      <c r="M1091" s="33"/>
      <c r="N1091" s="33"/>
      <c r="O1091" s="33"/>
      <c r="P1091" s="33"/>
      <c r="Q1091" s="33"/>
      <c r="R1091" s="33"/>
      <c r="S1091" s="33"/>
      <c r="T1091" s="33"/>
      <c r="U1091" s="33"/>
      <c r="V1091" s="33"/>
      <c r="W1091" s="33"/>
      <c r="X1091" s="33"/>
      <c r="Y1091" s="33"/>
      <c r="Z1091" s="33"/>
      <c r="AA1091" s="33"/>
      <c r="AB1091" s="33"/>
      <c r="AC1091" s="33"/>
      <c r="AD1091" s="33"/>
      <c r="AE1091" s="33"/>
      <c r="AF1091" s="33"/>
      <c r="AG1091" s="33"/>
      <c r="AH1091" s="33"/>
      <c r="AI1091" s="33"/>
      <c r="AJ1091" s="33"/>
      <c r="AK1091" s="216"/>
      <c r="AL1091" s="33"/>
      <c r="AM1091" s="33"/>
      <c r="AN1091" s="33"/>
      <c r="AO1091" s="33"/>
      <c r="AP1091" s="33"/>
    </row>
    <row r="1092" spans="1:42" ht="15.75" customHeight="1">
      <c r="A1092" s="33"/>
      <c r="B1092" s="33"/>
      <c r="C1092" s="33"/>
      <c r="D1092" s="33"/>
      <c r="E1092" s="33"/>
      <c r="F1092" s="199"/>
      <c r="G1092" s="33"/>
      <c r="H1092" s="33"/>
      <c r="I1092" s="33"/>
      <c r="J1092" s="33"/>
      <c r="K1092" s="33"/>
      <c r="L1092" s="33"/>
      <c r="M1092" s="33"/>
      <c r="N1092" s="33"/>
      <c r="O1092" s="33"/>
      <c r="P1092" s="33"/>
      <c r="Q1092" s="33"/>
      <c r="R1092" s="33"/>
      <c r="S1092" s="33"/>
      <c r="T1092" s="33"/>
      <c r="U1092" s="33"/>
      <c r="V1092" s="33"/>
      <c r="W1092" s="33"/>
      <c r="X1092" s="33"/>
      <c r="Y1092" s="33"/>
      <c r="Z1092" s="33"/>
      <c r="AA1092" s="33"/>
      <c r="AB1092" s="33"/>
      <c r="AC1092" s="33"/>
      <c r="AD1092" s="33"/>
      <c r="AE1092" s="33"/>
      <c r="AF1092" s="33"/>
      <c r="AG1092" s="33"/>
      <c r="AH1092" s="33"/>
      <c r="AI1092" s="33"/>
      <c r="AJ1092" s="33"/>
      <c r="AK1092" s="216"/>
      <c r="AL1092" s="33"/>
      <c r="AM1092" s="33"/>
      <c r="AN1092" s="33"/>
      <c r="AO1092" s="33"/>
      <c r="AP1092" s="33"/>
    </row>
    <row r="1093" spans="1:42" ht="15.75" customHeight="1">
      <c r="A1093" s="33"/>
      <c r="B1093" s="33"/>
      <c r="C1093" s="33"/>
      <c r="D1093" s="33"/>
      <c r="E1093" s="33"/>
      <c r="F1093" s="199"/>
      <c r="G1093" s="33"/>
      <c r="H1093" s="33"/>
      <c r="I1093" s="33"/>
      <c r="J1093" s="33"/>
      <c r="K1093" s="33"/>
      <c r="L1093" s="33"/>
      <c r="M1093" s="33"/>
      <c r="N1093" s="33"/>
      <c r="O1093" s="33"/>
      <c r="P1093" s="33"/>
      <c r="Q1093" s="33"/>
      <c r="R1093" s="33"/>
      <c r="S1093" s="33"/>
      <c r="T1093" s="33"/>
      <c r="U1093" s="33"/>
      <c r="V1093" s="33"/>
      <c r="W1093" s="33"/>
      <c r="X1093" s="33"/>
      <c r="Y1093" s="33"/>
      <c r="Z1093" s="33"/>
      <c r="AA1093" s="33"/>
      <c r="AB1093" s="33"/>
      <c r="AC1093" s="33"/>
      <c r="AD1093" s="33"/>
      <c r="AE1093" s="33"/>
      <c r="AF1093" s="33"/>
      <c r="AG1093" s="33"/>
      <c r="AH1093" s="33"/>
      <c r="AI1093" s="33"/>
      <c r="AJ1093" s="33"/>
      <c r="AK1093" s="216"/>
      <c r="AL1093" s="33"/>
      <c r="AM1093" s="33"/>
      <c r="AN1093" s="33"/>
      <c r="AO1093" s="33"/>
      <c r="AP1093" s="33"/>
    </row>
    <row r="1094" spans="1:42" ht="15.75" customHeight="1">
      <c r="A1094" s="33"/>
      <c r="B1094" s="33"/>
      <c r="C1094" s="33"/>
      <c r="D1094" s="33"/>
      <c r="E1094" s="33"/>
      <c r="F1094" s="199"/>
      <c r="G1094" s="33"/>
      <c r="H1094" s="33"/>
      <c r="I1094" s="33"/>
      <c r="J1094" s="33"/>
      <c r="K1094" s="33"/>
      <c r="L1094" s="33"/>
      <c r="M1094" s="33"/>
      <c r="N1094" s="33"/>
      <c r="O1094" s="33"/>
      <c r="P1094" s="33"/>
      <c r="Q1094" s="33"/>
      <c r="R1094" s="33"/>
      <c r="S1094" s="33"/>
      <c r="T1094" s="33"/>
      <c r="U1094" s="33"/>
      <c r="V1094" s="33"/>
      <c r="W1094" s="33"/>
      <c r="X1094" s="33"/>
      <c r="Y1094" s="33"/>
      <c r="Z1094" s="33"/>
      <c r="AA1094" s="33"/>
      <c r="AB1094" s="33"/>
      <c r="AC1094" s="33"/>
      <c r="AD1094" s="33"/>
      <c r="AE1094" s="33"/>
      <c r="AF1094" s="33"/>
      <c r="AG1094" s="33"/>
      <c r="AH1094" s="33"/>
      <c r="AI1094" s="33"/>
      <c r="AJ1094" s="33"/>
      <c r="AK1094" s="216"/>
      <c r="AL1094" s="33"/>
      <c r="AM1094" s="33"/>
      <c r="AN1094" s="33"/>
      <c r="AO1094" s="33"/>
      <c r="AP1094" s="33"/>
    </row>
    <row r="1095" spans="1:42" ht="15.75" customHeight="1">
      <c r="A1095" s="33"/>
      <c r="B1095" s="33"/>
      <c r="C1095" s="33"/>
      <c r="D1095" s="33"/>
      <c r="E1095" s="33"/>
      <c r="F1095" s="199"/>
      <c r="G1095" s="33"/>
      <c r="H1095" s="33"/>
      <c r="I1095" s="33"/>
      <c r="J1095" s="33"/>
      <c r="K1095" s="33"/>
      <c r="L1095" s="33"/>
      <c r="M1095" s="33"/>
      <c r="N1095" s="33"/>
      <c r="O1095" s="33"/>
      <c r="P1095" s="33"/>
      <c r="Q1095" s="33"/>
      <c r="R1095" s="33"/>
      <c r="S1095" s="33"/>
      <c r="T1095" s="33"/>
      <c r="U1095" s="33"/>
      <c r="V1095" s="33"/>
      <c r="W1095" s="33"/>
      <c r="X1095" s="33"/>
      <c r="Y1095" s="33"/>
      <c r="Z1095" s="33"/>
      <c r="AA1095" s="33"/>
      <c r="AB1095" s="33"/>
      <c r="AC1095" s="33"/>
      <c r="AD1095" s="33"/>
      <c r="AE1095" s="33"/>
      <c r="AF1095" s="33"/>
      <c r="AG1095" s="33"/>
      <c r="AH1095" s="33"/>
      <c r="AI1095" s="33"/>
      <c r="AJ1095" s="33"/>
      <c r="AK1095" s="216"/>
      <c r="AL1095" s="33"/>
      <c r="AM1095" s="33"/>
      <c r="AN1095" s="33"/>
      <c r="AO1095" s="33"/>
      <c r="AP1095" s="33"/>
    </row>
    <row r="1096" spans="1:42" ht="15.75" customHeight="1">
      <c r="A1096" s="33"/>
      <c r="B1096" s="33"/>
      <c r="C1096" s="33"/>
      <c r="D1096" s="33"/>
      <c r="E1096" s="33"/>
      <c r="F1096" s="199"/>
      <c r="G1096" s="33"/>
      <c r="H1096" s="33"/>
      <c r="I1096" s="33"/>
      <c r="J1096" s="33"/>
      <c r="K1096" s="33"/>
      <c r="L1096" s="33"/>
      <c r="M1096" s="33"/>
      <c r="N1096" s="33"/>
      <c r="O1096" s="33"/>
      <c r="P1096" s="33"/>
      <c r="Q1096" s="33"/>
      <c r="R1096" s="33"/>
      <c r="S1096" s="33"/>
      <c r="T1096" s="33"/>
      <c r="U1096" s="33"/>
      <c r="V1096" s="33"/>
      <c r="W1096" s="33"/>
      <c r="X1096" s="33"/>
      <c r="Y1096" s="33"/>
      <c r="Z1096" s="33"/>
      <c r="AA1096" s="33"/>
      <c r="AB1096" s="33"/>
      <c r="AC1096" s="33"/>
      <c r="AD1096" s="33"/>
      <c r="AE1096" s="33"/>
      <c r="AF1096" s="33"/>
      <c r="AG1096" s="33"/>
      <c r="AH1096" s="33"/>
      <c r="AI1096" s="33"/>
      <c r="AJ1096" s="33"/>
      <c r="AK1096" s="216"/>
      <c r="AL1096" s="33"/>
      <c r="AM1096" s="33"/>
      <c r="AN1096" s="33"/>
      <c r="AO1096" s="33"/>
      <c r="AP1096" s="33"/>
    </row>
    <row r="1097" spans="1:42" ht="15.75" customHeight="1">
      <c r="A1097" s="33"/>
      <c r="B1097" s="33"/>
      <c r="C1097" s="33"/>
      <c r="D1097" s="33"/>
      <c r="E1097" s="33"/>
      <c r="F1097" s="199"/>
      <c r="G1097" s="33"/>
      <c r="H1097" s="33"/>
      <c r="I1097" s="33"/>
      <c r="J1097" s="33"/>
      <c r="K1097" s="33"/>
      <c r="L1097" s="33"/>
      <c r="M1097" s="33"/>
      <c r="N1097" s="33"/>
      <c r="O1097" s="33"/>
      <c r="P1097" s="33"/>
      <c r="Q1097" s="33"/>
      <c r="R1097" s="33"/>
      <c r="S1097" s="33"/>
      <c r="T1097" s="33"/>
      <c r="U1097" s="33"/>
      <c r="V1097" s="33"/>
      <c r="W1097" s="33"/>
      <c r="X1097" s="33"/>
      <c r="Y1097" s="33"/>
      <c r="Z1097" s="33"/>
      <c r="AA1097" s="33"/>
      <c r="AB1097" s="33"/>
      <c r="AC1097" s="33"/>
      <c r="AD1097" s="33"/>
      <c r="AE1097" s="33"/>
      <c r="AF1097" s="33"/>
      <c r="AG1097" s="33"/>
      <c r="AH1097" s="33"/>
      <c r="AI1097" s="33"/>
      <c r="AJ1097" s="33"/>
      <c r="AK1097" s="216"/>
      <c r="AL1097" s="33"/>
      <c r="AM1097" s="33"/>
      <c r="AN1097" s="33"/>
      <c r="AO1097" s="33"/>
      <c r="AP1097" s="33"/>
    </row>
    <row r="1098" spans="1:42" ht="15.75" customHeight="1">
      <c r="A1098" s="33"/>
      <c r="B1098" s="33"/>
      <c r="C1098" s="33"/>
      <c r="D1098" s="33"/>
      <c r="E1098" s="33"/>
      <c r="F1098" s="199"/>
      <c r="G1098" s="33"/>
      <c r="H1098" s="33"/>
      <c r="I1098" s="33"/>
      <c r="J1098" s="33"/>
      <c r="K1098" s="33"/>
      <c r="L1098" s="33"/>
      <c r="M1098" s="33"/>
      <c r="N1098" s="33"/>
      <c r="O1098" s="33"/>
      <c r="P1098" s="33"/>
      <c r="Q1098" s="33"/>
      <c r="R1098" s="33"/>
      <c r="S1098" s="33"/>
      <c r="T1098" s="33"/>
      <c r="U1098" s="33"/>
      <c r="V1098" s="33"/>
      <c r="W1098" s="33"/>
      <c r="X1098" s="33"/>
      <c r="Y1098" s="33"/>
      <c r="Z1098" s="33"/>
      <c r="AA1098" s="33"/>
      <c r="AB1098" s="33"/>
      <c r="AC1098" s="33"/>
      <c r="AD1098" s="33"/>
      <c r="AE1098" s="33"/>
      <c r="AF1098" s="33"/>
      <c r="AG1098" s="33"/>
      <c r="AH1098" s="33"/>
      <c r="AI1098" s="33"/>
      <c r="AJ1098" s="33"/>
      <c r="AK1098" s="216"/>
      <c r="AL1098" s="33"/>
      <c r="AM1098" s="33"/>
      <c r="AN1098" s="33"/>
      <c r="AO1098" s="33"/>
      <c r="AP1098" s="33"/>
    </row>
    <row r="1099" spans="1:42" ht="15.75" customHeight="1">
      <c r="A1099" s="33"/>
      <c r="B1099" s="33"/>
      <c r="C1099" s="33"/>
      <c r="D1099" s="33"/>
      <c r="E1099" s="33"/>
      <c r="F1099" s="199"/>
      <c r="G1099" s="33"/>
      <c r="H1099" s="33"/>
      <c r="I1099" s="33"/>
      <c r="J1099" s="33"/>
      <c r="K1099" s="33"/>
      <c r="L1099" s="33"/>
      <c r="M1099" s="33"/>
      <c r="N1099" s="33"/>
      <c r="O1099" s="33"/>
      <c r="P1099" s="33"/>
      <c r="Q1099" s="33"/>
      <c r="R1099" s="33"/>
      <c r="S1099" s="33"/>
      <c r="T1099" s="33"/>
      <c r="U1099" s="33"/>
      <c r="V1099" s="33"/>
      <c r="W1099" s="33"/>
      <c r="X1099" s="33"/>
      <c r="Y1099" s="33"/>
      <c r="Z1099" s="33"/>
      <c r="AA1099" s="33"/>
      <c r="AB1099" s="33"/>
      <c r="AC1099" s="33"/>
      <c r="AD1099" s="33"/>
      <c r="AE1099" s="33"/>
      <c r="AF1099" s="33"/>
      <c r="AG1099" s="33"/>
      <c r="AH1099" s="33"/>
      <c r="AI1099" s="33"/>
      <c r="AJ1099" s="33"/>
      <c r="AK1099" s="216"/>
      <c r="AL1099" s="33"/>
      <c r="AM1099" s="33"/>
      <c r="AN1099" s="33"/>
      <c r="AO1099" s="33"/>
      <c r="AP1099" s="33"/>
    </row>
    <row r="1100" spans="1:42" ht="15.75" customHeight="1">
      <c r="A1100" s="33"/>
      <c r="B1100" s="33"/>
      <c r="C1100" s="33"/>
      <c r="D1100" s="33"/>
      <c r="E1100" s="33"/>
      <c r="F1100" s="199"/>
      <c r="G1100" s="33"/>
      <c r="H1100" s="33"/>
      <c r="I1100" s="33"/>
      <c r="J1100" s="33"/>
      <c r="K1100" s="33"/>
      <c r="L1100" s="33"/>
      <c r="M1100" s="33"/>
      <c r="N1100" s="33"/>
      <c r="O1100" s="33"/>
      <c r="P1100" s="33"/>
      <c r="Q1100" s="33"/>
      <c r="R1100" s="33"/>
      <c r="S1100" s="33"/>
      <c r="T1100" s="33"/>
      <c r="U1100" s="33"/>
      <c r="V1100" s="33"/>
      <c r="W1100" s="33"/>
      <c r="X1100" s="33"/>
      <c r="Y1100" s="33"/>
      <c r="Z1100" s="33"/>
      <c r="AA1100" s="33"/>
      <c r="AB1100" s="33"/>
      <c r="AC1100" s="33"/>
      <c r="AD1100" s="33"/>
      <c r="AE1100" s="33"/>
      <c r="AF1100" s="33"/>
      <c r="AG1100" s="33"/>
      <c r="AH1100" s="33"/>
      <c r="AI1100" s="33"/>
      <c r="AJ1100" s="33"/>
      <c r="AK1100" s="216"/>
      <c r="AL1100" s="33"/>
      <c r="AM1100" s="33"/>
      <c r="AN1100" s="33"/>
      <c r="AO1100" s="33"/>
      <c r="AP1100" s="33"/>
    </row>
    <row r="1101" spans="1:42" ht="15.75" customHeight="1">
      <c r="A1101" s="33"/>
      <c r="B1101" s="33"/>
      <c r="C1101" s="33"/>
      <c r="D1101" s="33"/>
      <c r="E1101" s="33"/>
      <c r="F1101" s="199"/>
      <c r="G1101" s="33"/>
      <c r="H1101" s="33"/>
      <c r="I1101" s="33"/>
      <c r="J1101" s="33"/>
      <c r="K1101" s="33"/>
      <c r="L1101" s="33"/>
      <c r="M1101" s="33"/>
      <c r="N1101" s="33"/>
      <c r="O1101" s="33"/>
      <c r="P1101" s="33"/>
      <c r="Q1101" s="33"/>
      <c r="R1101" s="33"/>
      <c r="S1101" s="33"/>
      <c r="T1101" s="33"/>
      <c r="U1101" s="33"/>
      <c r="V1101" s="33"/>
      <c r="W1101" s="33"/>
      <c r="X1101" s="33"/>
      <c r="Y1101" s="33"/>
      <c r="Z1101" s="33"/>
      <c r="AA1101" s="33"/>
      <c r="AB1101" s="33"/>
      <c r="AC1101" s="33"/>
      <c r="AD1101" s="33"/>
      <c r="AE1101" s="33"/>
      <c r="AF1101" s="33"/>
      <c r="AG1101" s="33"/>
      <c r="AH1101" s="33"/>
      <c r="AI1101" s="33"/>
      <c r="AJ1101" s="33"/>
      <c r="AK1101" s="216"/>
      <c r="AL1101" s="33"/>
      <c r="AM1101" s="33"/>
      <c r="AN1101" s="33"/>
      <c r="AO1101" s="33"/>
      <c r="AP1101" s="33"/>
    </row>
    <row r="1102" spans="1:42" ht="15.75" customHeight="1">
      <c r="A1102" s="33"/>
      <c r="B1102" s="33"/>
      <c r="C1102" s="33"/>
      <c r="D1102" s="33"/>
      <c r="E1102" s="33"/>
      <c r="F1102" s="199"/>
      <c r="G1102" s="33"/>
      <c r="H1102" s="33"/>
      <c r="I1102" s="33"/>
      <c r="J1102" s="33"/>
      <c r="K1102" s="33"/>
      <c r="L1102" s="33"/>
      <c r="M1102" s="33"/>
      <c r="N1102" s="33"/>
      <c r="O1102" s="33"/>
      <c r="P1102" s="33"/>
      <c r="Q1102" s="33"/>
      <c r="R1102" s="33"/>
      <c r="S1102" s="33"/>
      <c r="T1102" s="33"/>
      <c r="U1102" s="33"/>
      <c r="V1102" s="33"/>
      <c r="W1102" s="33"/>
      <c r="X1102" s="33"/>
      <c r="Y1102" s="33"/>
      <c r="Z1102" s="33"/>
      <c r="AA1102" s="33"/>
      <c r="AB1102" s="33"/>
      <c r="AC1102" s="33"/>
      <c r="AD1102" s="33"/>
      <c r="AE1102" s="33"/>
      <c r="AF1102" s="33"/>
      <c r="AG1102" s="33"/>
      <c r="AH1102" s="33"/>
      <c r="AI1102" s="33"/>
      <c r="AJ1102" s="33"/>
      <c r="AK1102" s="216"/>
      <c r="AL1102" s="33"/>
      <c r="AM1102" s="33"/>
      <c r="AN1102" s="33"/>
      <c r="AO1102" s="33"/>
      <c r="AP1102" s="33"/>
    </row>
    <row r="1103" spans="1:42" ht="15.75" customHeight="1">
      <c r="A1103" s="33"/>
      <c r="B1103" s="33"/>
      <c r="C1103" s="33"/>
      <c r="D1103" s="33"/>
      <c r="E1103" s="33"/>
      <c r="F1103" s="199"/>
      <c r="G1103" s="33"/>
      <c r="H1103" s="33"/>
      <c r="I1103" s="33"/>
      <c r="J1103" s="33"/>
      <c r="K1103" s="33"/>
      <c r="L1103" s="33"/>
      <c r="M1103" s="33"/>
      <c r="N1103" s="33"/>
      <c r="O1103" s="33"/>
      <c r="P1103" s="33"/>
      <c r="Q1103" s="33"/>
      <c r="R1103" s="33"/>
      <c r="S1103" s="33"/>
      <c r="T1103" s="33"/>
      <c r="U1103" s="33"/>
      <c r="V1103" s="33"/>
      <c r="W1103" s="33"/>
      <c r="X1103" s="33"/>
      <c r="Y1103" s="33"/>
      <c r="Z1103" s="33"/>
      <c r="AA1103" s="33"/>
      <c r="AB1103" s="33"/>
      <c r="AC1103" s="33"/>
      <c r="AD1103" s="33"/>
      <c r="AE1103" s="33"/>
      <c r="AF1103" s="33"/>
      <c r="AG1103" s="33"/>
      <c r="AH1103" s="33"/>
      <c r="AI1103" s="33"/>
      <c r="AJ1103" s="33"/>
      <c r="AK1103" s="216"/>
      <c r="AL1103" s="33"/>
      <c r="AM1103" s="33"/>
      <c r="AN1103" s="33"/>
      <c r="AO1103" s="33"/>
      <c r="AP1103" s="33"/>
    </row>
    <row r="1104" spans="1:42" ht="15.75" customHeight="1">
      <c r="A1104" s="33"/>
      <c r="B1104" s="33"/>
      <c r="C1104" s="33"/>
      <c r="D1104" s="33"/>
      <c r="E1104" s="33"/>
      <c r="F1104" s="199"/>
      <c r="G1104" s="33"/>
      <c r="H1104" s="33"/>
      <c r="I1104" s="33"/>
      <c r="J1104" s="33"/>
      <c r="K1104" s="33"/>
      <c r="L1104" s="33"/>
      <c r="M1104" s="33"/>
      <c r="N1104" s="33"/>
      <c r="O1104" s="33"/>
      <c r="P1104" s="33"/>
      <c r="Q1104" s="33"/>
      <c r="R1104" s="33"/>
      <c r="S1104" s="33"/>
      <c r="T1104" s="33"/>
      <c r="U1104" s="33"/>
      <c r="V1104" s="33"/>
      <c r="W1104" s="33"/>
      <c r="X1104" s="33"/>
      <c r="Y1104" s="33"/>
      <c r="Z1104" s="33"/>
      <c r="AA1104" s="33"/>
      <c r="AB1104" s="33"/>
      <c r="AC1104" s="33"/>
      <c r="AD1104" s="33"/>
      <c r="AE1104" s="33"/>
      <c r="AF1104" s="33"/>
      <c r="AG1104" s="33"/>
      <c r="AH1104" s="33"/>
      <c r="AI1104" s="33"/>
      <c r="AJ1104" s="33"/>
      <c r="AK1104" s="216"/>
      <c r="AL1104" s="33"/>
      <c r="AM1104" s="33"/>
      <c r="AN1104" s="33"/>
      <c r="AO1104" s="33"/>
      <c r="AP1104" s="33"/>
    </row>
    <row r="1105" spans="1:42" ht="15.75" customHeight="1">
      <c r="A1105" s="33"/>
      <c r="B1105" s="33"/>
      <c r="C1105" s="33"/>
      <c r="D1105" s="33"/>
      <c r="E1105" s="33"/>
      <c r="F1105" s="199"/>
      <c r="G1105" s="33"/>
      <c r="H1105" s="33"/>
      <c r="I1105" s="33"/>
      <c r="J1105" s="33"/>
      <c r="K1105" s="33"/>
      <c r="L1105" s="33"/>
      <c r="M1105" s="33"/>
      <c r="N1105" s="33"/>
      <c r="O1105" s="33"/>
      <c r="P1105" s="33"/>
      <c r="Q1105" s="33"/>
      <c r="R1105" s="33"/>
      <c r="S1105" s="33"/>
      <c r="T1105" s="33"/>
      <c r="U1105" s="33"/>
      <c r="V1105" s="33"/>
      <c r="W1105" s="33"/>
      <c r="X1105" s="33"/>
      <c r="Y1105" s="33"/>
      <c r="Z1105" s="33"/>
      <c r="AA1105" s="33"/>
      <c r="AB1105" s="33"/>
      <c r="AC1105" s="33"/>
      <c r="AD1105" s="33"/>
      <c r="AE1105" s="33"/>
      <c r="AF1105" s="33"/>
      <c r="AG1105" s="33"/>
      <c r="AH1105" s="33"/>
      <c r="AI1105" s="33"/>
      <c r="AJ1105" s="33"/>
      <c r="AK1105" s="216"/>
      <c r="AL1105" s="33"/>
      <c r="AM1105" s="33"/>
      <c r="AN1105" s="33"/>
      <c r="AO1105" s="33"/>
      <c r="AP1105" s="33"/>
    </row>
    <row r="1106" spans="1:42" ht="15.75" customHeight="1">
      <c r="A1106" s="33"/>
      <c r="B1106" s="33"/>
      <c r="C1106" s="33"/>
      <c r="D1106" s="33"/>
      <c r="E1106" s="33"/>
      <c r="F1106" s="199"/>
      <c r="G1106" s="33"/>
      <c r="H1106" s="33"/>
      <c r="I1106" s="33"/>
      <c r="J1106" s="33"/>
      <c r="K1106" s="33"/>
      <c r="L1106" s="33"/>
      <c r="M1106" s="33"/>
      <c r="N1106" s="33"/>
      <c r="O1106" s="33"/>
      <c r="P1106" s="33"/>
      <c r="Q1106" s="33"/>
      <c r="R1106" s="33"/>
      <c r="S1106" s="33"/>
      <c r="T1106" s="33"/>
      <c r="U1106" s="33"/>
      <c r="V1106" s="33"/>
      <c r="W1106" s="33"/>
      <c r="X1106" s="33"/>
      <c r="Y1106" s="33"/>
      <c r="Z1106" s="33"/>
      <c r="AA1106" s="33"/>
      <c r="AB1106" s="33"/>
      <c r="AC1106" s="33"/>
      <c r="AD1106" s="33"/>
      <c r="AE1106" s="33"/>
      <c r="AF1106" s="33"/>
      <c r="AG1106" s="33"/>
      <c r="AH1106" s="33"/>
      <c r="AI1106" s="33"/>
      <c r="AJ1106" s="33"/>
      <c r="AK1106" s="216"/>
      <c r="AL1106" s="33"/>
      <c r="AM1106" s="33"/>
      <c r="AN1106" s="33"/>
      <c r="AO1106" s="33"/>
      <c r="AP1106" s="33"/>
    </row>
    <row r="1107" spans="1:42" ht="15.75" customHeight="1">
      <c r="A1107" s="33"/>
      <c r="B1107" s="33"/>
      <c r="C1107" s="33"/>
      <c r="D1107" s="33"/>
      <c r="E1107" s="33"/>
      <c r="F1107" s="199"/>
      <c r="G1107" s="33"/>
      <c r="H1107" s="33"/>
      <c r="I1107" s="33"/>
      <c r="J1107" s="33"/>
      <c r="K1107" s="33"/>
      <c r="L1107" s="33"/>
      <c r="M1107" s="33"/>
      <c r="N1107" s="33"/>
      <c r="O1107" s="33"/>
      <c r="P1107" s="33"/>
      <c r="Q1107" s="33"/>
      <c r="R1107" s="33"/>
      <c r="S1107" s="33"/>
      <c r="T1107" s="33"/>
      <c r="U1107" s="33"/>
      <c r="V1107" s="33"/>
      <c r="W1107" s="33"/>
      <c r="X1107" s="33"/>
      <c r="Y1107" s="33"/>
      <c r="Z1107" s="33"/>
      <c r="AA1107" s="33"/>
      <c r="AB1107" s="33"/>
      <c r="AC1107" s="33"/>
      <c r="AD1107" s="33"/>
      <c r="AE1107" s="33"/>
      <c r="AF1107" s="33"/>
      <c r="AG1107" s="33"/>
      <c r="AH1107" s="33"/>
      <c r="AI1107" s="33"/>
      <c r="AJ1107" s="33"/>
      <c r="AK1107" s="216"/>
      <c r="AL1107" s="33"/>
      <c r="AM1107" s="33"/>
      <c r="AN1107" s="33"/>
      <c r="AO1107" s="33"/>
      <c r="AP1107" s="33"/>
    </row>
    <row r="1108" spans="1:42" ht="15.75" customHeight="1">
      <c r="A1108" s="33"/>
      <c r="B1108" s="33"/>
      <c r="C1108" s="33"/>
      <c r="D1108" s="33"/>
      <c r="E1108" s="33"/>
      <c r="F1108" s="199"/>
      <c r="G1108" s="33"/>
      <c r="H1108" s="33"/>
      <c r="I1108" s="33"/>
      <c r="J1108" s="33"/>
      <c r="K1108" s="33"/>
      <c r="L1108" s="33"/>
      <c r="M1108" s="33"/>
      <c r="N1108" s="33"/>
      <c r="O1108" s="33"/>
      <c r="P1108" s="33"/>
      <c r="Q1108" s="33"/>
      <c r="R1108" s="33"/>
      <c r="S1108" s="33"/>
      <c r="T1108" s="33"/>
      <c r="U1108" s="33"/>
      <c r="V1108" s="33"/>
      <c r="W1108" s="33"/>
      <c r="X1108" s="33"/>
      <c r="Y1108" s="33"/>
      <c r="Z1108" s="33"/>
      <c r="AA1108" s="33"/>
      <c r="AB1108" s="33"/>
      <c r="AC1108" s="33"/>
      <c r="AD1108" s="33"/>
      <c r="AE1108" s="33"/>
      <c r="AF1108" s="33"/>
      <c r="AG1108" s="33"/>
      <c r="AH1108" s="33"/>
      <c r="AI1108" s="33"/>
      <c r="AJ1108" s="33"/>
      <c r="AK1108" s="216"/>
      <c r="AL1108" s="33"/>
      <c r="AM1108" s="33"/>
      <c r="AN1108" s="33"/>
      <c r="AO1108" s="33"/>
      <c r="AP1108" s="33"/>
    </row>
    <row r="1109" spans="1:42" ht="15.75" customHeight="1">
      <c r="A1109" s="33"/>
      <c r="B1109" s="33"/>
      <c r="C1109" s="33"/>
      <c r="D1109" s="33"/>
      <c r="E1109" s="33"/>
      <c r="F1109" s="199"/>
      <c r="G1109" s="33"/>
      <c r="H1109" s="33"/>
      <c r="I1109" s="33"/>
      <c r="J1109" s="33"/>
      <c r="K1109" s="33"/>
      <c r="L1109" s="33"/>
      <c r="M1109" s="33"/>
      <c r="N1109" s="33"/>
      <c r="O1109" s="33"/>
      <c r="P1109" s="33"/>
      <c r="Q1109" s="33"/>
      <c r="R1109" s="33"/>
      <c r="S1109" s="33"/>
      <c r="T1109" s="33"/>
      <c r="U1109" s="33"/>
      <c r="V1109" s="33"/>
      <c r="W1109" s="33"/>
      <c r="X1109" s="33"/>
      <c r="Y1109" s="33"/>
      <c r="Z1109" s="33"/>
      <c r="AA1109" s="33"/>
      <c r="AB1109" s="33"/>
      <c r="AC1109" s="33"/>
      <c r="AD1109" s="33"/>
      <c r="AE1109" s="33"/>
      <c r="AF1109" s="33"/>
      <c r="AG1109" s="33"/>
      <c r="AH1109" s="33"/>
      <c r="AI1109" s="33"/>
      <c r="AJ1109" s="33"/>
      <c r="AK1109" s="216"/>
      <c r="AL1109" s="33"/>
      <c r="AM1109" s="33"/>
      <c r="AN1109" s="33"/>
      <c r="AO1109" s="33"/>
      <c r="AP1109" s="33"/>
    </row>
    <row r="1110" spans="1:42" ht="15.75" customHeight="1">
      <c r="A1110" s="33"/>
      <c r="B1110" s="33"/>
      <c r="C1110" s="33"/>
      <c r="D1110" s="33"/>
      <c r="E1110" s="33"/>
      <c r="F1110" s="199"/>
      <c r="G1110" s="33"/>
      <c r="H1110" s="33"/>
      <c r="I1110" s="33"/>
      <c r="J1110" s="33"/>
      <c r="K1110" s="33"/>
      <c r="L1110" s="33"/>
      <c r="M1110" s="33"/>
      <c r="N1110" s="33"/>
      <c r="O1110" s="33"/>
      <c r="P1110" s="33"/>
      <c r="Q1110" s="33"/>
      <c r="R1110" s="33"/>
      <c r="S1110" s="33"/>
      <c r="T1110" s="33"/>
      <c r="U1110" s="33"/>
      <c r="V1110" s="33"/>
      <c r="W1110" s="33"/>
      <c r="X1110" s="33"/>
      <c r="Y1110" s="33"/>
      <c r="Z1110" s="33"/>
      <c r="AA1110" s="33"/>
      <c r="AB1110" s="33"/>
      <c r="AC1110" s="33"/>
      <c r="AD1110" s="33"/>
      <c r="AE1110" s="33"/>
      <c r="AF1110" s="33"/>
      <c r="AG1110" s="33"/>
      <c r="AH1110" s="33"/>
      <c r="AI1110" s="33"/>
      <c r="AJ1110" s="33"/>
      <c r="AK1110" s="216"/>
      <c r="AL1110" s="33"/>
      <c r="AM1110" s="33"/>
      <c r="AN1110" s="33"/>
      <c r="AO1110" s="33"/>
      <c r="AP1110" s="33"/>
    </row>
    <row r="1111" spans="1:42" ht="15.75" customHeight="1">
      <c r="A1111" s="33"/>
      <c r="B1111" s="33"/>
      <c r="C1111" s="33"/>
      <c r="D1111" s="33"/>
      <c r="E1111" s="33"/>
      <c r="F1111" s="199"/>
      <c r="G1111" s="33"/>
      <c r="H1111" s="33"/>
      <c r="I1111" s="33"/>
      <c r="J1111" s="33"/>
      <c r="K1111" s="33"/>
      <c r="L1111" s="33"/>
      <c r="M1111" s="33"/>
      <c r="N1111" s="33"/>
      <c r="O1111" s="33"/>
      <c r="P1111" s="33"/>
      <c r="Q1111" s="33"/>
      <c r="R1111" s="33"/>
      <c r="S1111" s="33"/>
      <c r="T1111" s="33"/>
      <c r="U1111" s="33"/>
      <c r="V1111" s="33"/>
      <c r="W1111" s="33"/>
      <c r="X1111" s="33"/>
      <c r="Y1111" s="33"/>
      <c r="Z1111" s="33"/>
      <c r="AA1111" s="33"/>
      <c r="AB1111" s="33"/>
      <c r="AC1111" s="33"/>
      <c r="AD1111" s="33"/>
      <c r="AE1111" s="33"/>
      <c r="AF1111" s="33"/>
      <c r="AG1111" s="33"/>
      <c r="AH1111" s="33"/>
      <c r="AI1111" s="33"/>
      <c r="AJ1111" s="33"/>
      <c r="AK1111" s="216"/>
      <c r="AL1111" s="33"/>
      <c r="AM1111" s="33"/>
      <c r="AN1111" s="33"/>
      <c r="AO1111" s="33"/>
      <c r="AP1111" s="33"/>
    </row>
    <row r="1112" spans="1:42" ht="15.75" customHeight="1">
      <c r="A1112" s="33"/>
      <c r="B1112" s="33"/>
      <c r="C1112" s="33"/>
      <c r="D1112" s="33"/>
      <c r="E1112" s="33"/>
      <c r="F1112" s="199"/>
      <c r="G1112" s="33"/>
      <c r="H1112" s="33"/>
      <c r="I1112" s="33"/>
      <c r="J1112" s="33"/>
      <c r="K1112" s="33"/>
      <c r="L1112" s="33"/>
      <c r="M1112" s="33"/>
      <c r="N1112" s="33"/>
      <c r="O1112" s="33"/>
      <c r="P1112" s="33"/>
      <c r="Q1112" s="33"/>
      <c r="R1112" s="33"/>
      <c r="S1112" s="33"/>
      <c r="T1112" s="33"/>
      <c r="U1112" s="33"/>
      <c r="V1112" s="33"/>
      <c r="W1112" s="33"/>
      <c r="X1112" s="33"/>
      <c r="Y1112" s="33"/>
      <c r="Z1112" s="33"/>
      <c r="AA1112" s="33"/>
      <c r="AB1112" s="33"/>
      <c r="AC1112" s="33"/>
      <c r="AD1112" s="33"/>
      <c r="AE1112" s="33"/>
      <c r="AF1112" s="33"/>
      <c r="AG1112" s="33"/>
      <c r="AH1112" s="33"/>
      <c r="AI1112" s="33"/>
      <c r="AJ1112" s="33"/>
      <c r="AK1112" s="216"/>
      <c r="AL1112" s="33"/>
      <c r="AM1112" s="33"/>
      <c r="AN1112" s="33"/>
      <c r="AO1112" s="33"/>
      <c r="AP1112" s="33"/>
    </row>
    <row r="1113" spans="1:42" ht="15.75" customHeight="1">
      <c r="A1113" s="33"/>
      <c r="B1113" s="33"/>
      <c r="C1113" s="33"/>
      <c r="D1113" s="33"/>
      <c r="E1113" s="33"/>
      <c r="F1113" s="199"/>
      <c r="G1113" s="33"/>
      <c r="H1113" s="33"/>
      <c r="I1113" s="33"/>
      <c r="J1113" s="33"/>
      <c r="K1113" s="33"/>
      <c r="L1113" s="33"/>
      <c r="M1113" s="33"/>
      <c r="N1113" s="33"/>
      <c r="O1113" s="33"/>
      <c r="P1113" s="33"/>
      <c r="Q1113" s="33"/>
      <c r="R1113" s="33"/>
      <c r="S1113" s="33"/>
      <c r="T1113" s="33"/>
      <c r="U1113" s="33"/>
      <c r="V1113" s="33"/>
      <c r="W1113" s="33"/>
      <c r="X1113" s="33"/>
      <c r="Y1113" s="33"/>
      <c r="Z1113" s="33"/>
      <c r="AA1113" s="33"/>
      <c r="AB1113" s="33"/>
      <c r="AC1113" s="33"/>
      <c r="AD1113" s="33"/>
      <c r="AE1113" s="33"/>
      <c r="AF1113" s="33"/>
      <c r="AG1113" s="33"/>
      <c r="AH1113" s="33"/>
      <c r="AI1113" s="33"/>
      <c r="AJ1113" s="33"/>
      <c r="AK1113" s="216"/>
      <c r="AL1113" s="33"/>
      <c r="AM1113" s="33"/>
      <c r="AN1113" s="33"/>
      <c r="AO1113" s="33"/>
      <c r="AP1113" s="33"/>
    </row>
    <row r="1114" spans="1:42" ht="15.75" customHeight="1">
      <c r="A1114" s="33"/>
      <c r="B1114" s="33"/>
      <c r="C1114" s="33"/>
      <c r="D1114" s="33"/>
      <c r="E1114" s="33"/>
      <c r="F1114" s="199"/>
      <c r="G1114" s="33"/>
      <c r="H1114" s="33"/>
      <c r="I1114" s="33"/>
      <c r="J1114" s="33"/>
      <c r="K1114" s="33"/>
      <c r="L1114" s="33"/>
      <c r="M1114" s="33"/>
      <c r="N1114" s="33"/>
      <c r="O1114" s="33"/>
      <c r="P1114" s="33"/>
      <c r="Q1114" s="33"/>
      <c r="R1114" s="33"/>
      <c r="S1114" s="33"/>
      <c r="T1114" s="33"/>
      <c r="U1114" s="33"/>
      <c r="V1114" s="33"/>
      <c r="W1114" s="33"/>
      <c r="X1114" s="33"/>
      <c r="Y1114" s="33"/>
      <c r="Z1114" s="33"/>
      <c r="AA1114" s="33"/>
      <c r="AB1114" s="33"/>
      <c r="AC1114" s="33"/>
      <c r="AD1114" s="33"/>
      <c r="AE1114" s="33"/>
      <c r="AF1114" s="33"/>
      <c r="AG1114" s="33"/>
      <c r="AH1114" s="33"/>
      <c r="AI1114" s="33"/>
      <c r="AJ1114" s="33"/>
      <c r="AK1114" s="216"/>
      <c r="AL1114" s="33"/>
      <c r="AM1114" s="33"/>
      <c r="AN1114" s="33"/>
      <c r="AO1114" s="33"/>
      <c r="AP1114" s="33"/>
    </row>
    <row r="1115" spans="1:42" ht="15.75" customHeight="1">
      <c r="A1115" s="33"/>
      <c r="B1115" s="33"/>
      <c r="C1115" s="33"/>
      <c r="D1115" s="33"/>
      <c r="E1115" s="33"/>
      <c r="F1115" s="199"/>
      <c r="G1115" s="33"/>
      <c r="H1115" s="33"/>
      <c r="I1115" s="33"/>
      <c r="J1115" s="33"/>
      <c r="K1115" s="33"/>
      <c r="L1115" s="33"/>
      <c r="M1115" s="33"/>
      <c r="N1115" s="33"/>
      <c r="O1115" s="33"/>
      <c r="P1115" s="33"/>
      <c r="Q1115" s="33"/>
      <c r="R1115" s="33"/>
      <c r="S1115" s="33"/>
      <c r="T1115" s="33"/>
      <c r="U1115" s="33"/>
      <c r="V1115" s="33"/>
      <c r="W1115" s="33"/>
      <c r="X1115" s="33"/>
      <c r="Y1115" s="33"/>
      <c r="Z1115" s="33"/>
      <c r="AA1115" s="33"/>
      <c r="AB1115" s="33"/>
      <c r="AC1115" s="33"/>
      <c r="AD1115" s="33"/>
      <c r="AE1115" s="33"/>
      <c r="AF1115" s="33"/>
      <c r="AG1115" s="33"/>
      <c r="AH1115" s="33"/>
      <c r="AI1115" s="33"/>
      <c r="AJ1115" s="33"/>
      <c r="AK1115" s="216"/>
      <c r="AL1115" s="33"/>
      <c r="AM1115" s="33"/>
      <c r="AN1115" s="33"/>
      <c r="AO1115" s="33"/>
      <c r="AP1115" s="33"/>
    </row>
    <row r="1116" spans="1:42" ht="15.75" customHeight="1">
      <c r="A1116" s="33"/>
      <c r="B1116" s="33"/>
      <c r="C1116" s="33"/>
      <c r="D1116" s="33"/>
      <c r="E1116" s="33"/>
      <c r="F1116" s="199"/>
      <c r="G1116" s="33"/>
      <c r="H1116" s="33"/>
      <c r="I1116" s="33"/>
      <c r="J1116" s="33"/>
      <c r="K1116" s="33"/>
      <c r="L1116" s="33"/>
      <c r="M1116" s="33"/>
      <c r="N1116" s="33"/>
      <c r="O1116" s="33"/>
      <c r="P1116" s="33"/>
      <c r="Q1116" s="33"/>
      <c r="R1116" s="33"/>
      <c r="S1116" s="33"/>
      <c r="T1116" s="33"/>
      <c r="U1116" s="33"/>
      <c r="V1116" s="33"/>
      <c r="W1116" s="33"/>
      <c r="X1116" s="33"/>
      <c r="Y1116" s="33"/>
      <c r="Z1116" s="33"/>
      <c r="AA1116" s="33"/>
      <c r="AB1116" s="33"/>
      <c r="AC1116" s="33"/>
      <c r="AD1116" s="33"/>
      <c r="AE1116" s="33"/>
      <c r="AF1116" s="33"/>
      <c r="AG1116" s="33"/>
      <c r="AH1116" s="33"/>
      <c r="AI1116" s="33"/>
      <c r="AJ1116" s="33"/>
      <c r="AK1116" s="216"/>
      <c r="AL1116" s="33"/>
      <c r="AM1116" s="33"/>
      <c r="AN1116" s="33"/>
      <c r="AO1116" s="33"/>
      <c r="AP1116" s="33"/>
    </row>
    <row r="1117" spans="1:42" ht="15.75" customHeight="1">
      <c r="A1117" s="33"/>
      <c r="B1117" s="33"/>
      <c r="C1117" s="33"/>
      <c r="D1117" s="33"/>
      <c r="E1117" s="33"/>
      <c r="F1117" s="199"/>
      <c r="G1117" s="33"/>
      <c r="H1117" s="33"/>
      <c r="I1117" s="33"/>
      <c r="J1117" s="33"/>
      <c r="K1117" s="33"/>
      <c r="L1117" s="33"/>
      <c r="M1117" s="33"/>
      <c r="N1117" s="33"/>
      <c r="O1117" s="33"/>
      <c r="P1117" s="33"/>
      <c r="Q1117" s="33"/>
      <c r="R1117" s="33"/>
      <c r="S1117" s="33"/>
      <c r="T1117" s="33"/>
      <c r="U1117" s="33"/>
      <c r="V1117" s="33"/>
      <c r="W1117" s="33"/>
      <c r="X1117" s="33"/>
      <c r="Y1117" s="33"/>
      <c r="Z1117" s="33"/>
      <c r="AA1117" s="33"/>
      <c r="AB1117" s="33"/>
      <c r="AC1117" s="33"/>
      <c r="AD1117" s="33"/>
      <c r="AE1117" s="33"/>
      <c r="AF1117" s="33"/>
      <c r="AG1117" s="33"/>
      <c r="AH1117" s="33"/>
      <c r="AI1117" s="33"/>
      <c r="AJ1117" s="33"/>
      <c r="AK1117" s="216"/>
      <c r="AL1117" s="33"/>
      <c r="AM1117" s="33"/>
      <c r="AN1117" s="33"/>
      <c r="AO1117" s="33"/>
      <c r="AP1117" s="33"/>
    </row>
    <row r="1118" spans="1:42" ht="15.75" customHeight="1">
      <c r="A1118" s="33"/>
      <c r="B1118" s="33"/>
      <c r="C1118" s="33"/>
      <c r="D1118" s="33"/>
      <c r="E1118" s="33"/>
      <c r="F1118" s="199"/>
      <c r="G1118" s="33"/>
      <c r="H1118" s="33"/>
      <c r="I1118" s="33"/>
      <c r="J1118" s="33"/>
      <c r="K1118" s="33"/>
      <c r="L1118" s="33"/>
      <c r="M1118" s="33"/>
      <c r="N1118" s="33"/>
      <c r="O1118" s="33"/>
      <c r="P1118" s="33"/>
      <c r="Q1118" s="33"/>
      <c r="R1118" s="33"/>
      <c r="S1118" s="33"/>
      <c r="T1118" s="33"/>
      <c r="U1118" s="33"/>
      <c r="V1118" s="33"/>
      <c r="W1118" s="33"/>
      <c r="X1118" s="33"/>
      <c r="Y1118" s="33"/>
      <c r="Z1118" s="33"/>
      <c r="AA1118" s="33"/>
      <c r="AB1118" s="33"/>
      <c r="AC1118" s="33"/>
      <c r="AD1118" s="33"/>
      <c r="AE1118" s="33"/>
      <c r="AF1118" s="33"/>
      <c r="AG1118" s="33"/>
      <c r="AH1118" s="33"/>
      <c r="AI1118" s="33"/>
      <c r="AJ1118" s="33"/>
      <c r="AK1118" s="216"/>
      <c r="AL1118" s="33"/>
      <c r="AM1118" s="33"/>
      <c r="AN1118" s="33"/>
      <c r="AO1118" s="33"/>
      <c r="AP1118" s="33"/>
    </row>
    <row r="1119" spans="1:42" ht="15.75" customHeight="1">
      <c r="A1119" s="33"/>
      <c r="B1119" s="33"/>
      <c r="C1119" s="33"/>
      <c r="D1119" s="33"/>
      <c r="E1119" s="33"/>
      <c r="F1119" s="199"/>
      <c r="G1119" s="33"/>
      <c r="H1119" s="33"/>
      <c r="I1119" s="33"/>
      <c r="J1119" s="33"/>
      <c r="K1119" s="33"/>
      <c r="L1119" s="33"/>
      <c r="M1119" s="33"/>
      <c r="N1119" s="33"/>
      <c r="O1119" s="33"/>
      <c r="P1119" s="33"/>
      <c r="Q1119" s="33"/>
      <c r="R1119" s="33"/>
      <c r="S1119" s="33"/>
      <c r="T1119" s="33"/>
      <c r="U1119" s="33"/>
      <c r="V1119" s="33"/>
      <c r="W1119" s="33"/>
      <c r="X1119" s="33"/>
      <c r="Y1119" s="33"/>
      <c r="Z1119" s="33"/>
      <c r="AA1119" s="33"/>
      <c r="AB1119" s="33"/>
      <c r="AC1119" s="33"/>
      <c r="AD1119" s="33"/>
      <c r="AE1119" s="33"/>
      <c r="AF1119" s="33"/>
      <c r="AG1119" s="33"/>
      <c r="AH1119" s="33"/>
      <c r="AI1119" s="33"/>
      <c r="AJ1119" s="33"/>
      <c r="AK1119" s="216"/>
      <c r="AL1119" s="33"/>
      <c r="AM1119" s="33"/>
      <c r="AN1119" s="33"/>
      <c r="AO1119" s="33"/>
      <c r="AP1119" s="33"/>
    </row>
    <row r="1120" spans="1:42" ht="15.75" customHeight="1">
      <c r="A1120" s="33"/>
      <c r="B1120" s="33"/>
      <c r="C1120" s="33"/>
      <c r="D1120" s="33"/>
      <c r="E1120" s="33"/>
      <c r="F1120" s="199"/>
      <c r="G1120" s="33"/>
      <c r="H1120" s="33"/>
      <c r="I1120" s="33"/>
      <c r="J1120" s="33"/>
      <c r="K1120" s="33"/>
      <c r="L1120" s="33"/>
      <c r="M1120" s="33"/>
      <c r="N1120" s="33"/>
      <c r="O1120" s="33"/>
      <c r="P1120" s="33"/>
      <c r="Q1120" s="33"/>
      <c r="R1120" s="33"/>
      <c r="S1120" s="33"/>
      <c r="T1120" s="33"/>
      <c r="U1120" s="33"/>
      <c r="V1120" s="33"/>
      <c r="W1120" s="33"/>
      <c r="X1120" s="33"/>
      <c r="Y1120" s="33"/>
      <c r="Z1120" s="33"/>
      <c r="AA1120" s="33"/>
      <c r="AB1120" s="33"/>
      <c r="AC1120" s="33"/>
      <c r="AD1120" s="33"/>
      <c r="AE1120" s="33"/>
      <c r="AF1120" s="33"/>
      <c r="AG1120" s="33"/>
      <c r="AH1120" s="33"/>
      <c r="AI1120" s="33"/>
      <c r="AJ1120" s="33"/>
      <c r="AK1120" s="216"/>
      <c r="AL1120" s="33"/>
      <c r="AM1120" s="33"/>
      <c r="AN1120" s="33"/>
      <c r="AO1120" s="33"/>
      <c r="AP1120" s="33"/>
    </row>
    <row r="1121" spans="1:42" ht="15.75" customHeight="1">
      <c r="A1121" s="33"/>
      <c r="B1121" s="33"/>
      <c r="C1121" s="33"/>
      <c r="D1121" s="33"/>
      <c r="E1121" s="33"/>
      <c r="F1121" s="199"/>
      <c r="G1121" s="33"/>
      <c r="H1121" s="33"/>
      <c r="I1121" s="33"/>
      <c r="J1121" s="33"/>
      <c r="K1121" s="33"/>
      <c r="L1121" s="33"/>
      <c r="M1121" s="33"/>
      <c r="N1121" s="33"/>
      <c r="O1121" s="33"/>
      <c r="P1121" s="33"/>
      <c r="Q1121" s="33"/>
      <c r="R1121" s="33"/>
      <c r="S1121" s="33"/>
      <c r="T1121" s="33"/>
      <c r="U1121" s="33"/>
      <c r="V1121" s="33"/>
      <c r="W1121" s="33"/>
      <c r="X1121" s="33"/>
      <c r="Y1121" s="33"/>
      <c r="Z1121" s="33"/>
      <c r="AA1121" s="33"/>
      <c r="AB1121" s="33"/>
      <c r="AC1121" s="33"/>
      <c r="AD1121" s="33"/>
      <c r="AE1121" s="33"/>
      <c r="AF1121" s="33"/>
      <c r="AG1121" s="33"/>
      <c r="AH1121" s="33"/>
      <c r="AI1121" s="33"/>
      <c r="AJ1121" s="33"/>
      <c r="AK1121" s="216"/>
      <c r="AL1121" s="33"/>
      <c r="AM1121" s="33"/>
      <c r="AN1121" s="33"/>
      <c r="AO1121" s="33"/>
      <c r="AP1121" s="33"/>
    </row>
    <row r="1122" spans="1:42" ht="15.75" customHeight="1">
      <c r="A1122" s="33"/>
      <c r="B1122" s="33"/>
      <c r="C1122" s="33"/>
      <c r="D1122" s="33"/>
      <c r="E1122" s="33"/>
      <c r="F1122" s="199"/>
      <c r="G1122" s="33"/>
      <c r="H1122" s="33"/>
      <c r="I1122" s="33"/>
      <c r="J1122" s="33"/>
      <c r="K1122" s="33"/>
      <c r="L1122" s="33"/>
      <c r="M1122" s="33"/>
      <c r="N1122" s="33"/>
      <c r="O1122" s="33"/>
      <c r="P1122" s="33"/>
      <c r="Q1122" s="33"/>
      <c r="R1122" s="33"/>
      <c r="S1122" s="33"/>
      <c r="T1122" s="33"/>
      <c r="U1122" s="33"/>
      <c r="V1122" s="33"/>
      <c r="W1122" s="33"/>
      <c r="X1122" s="33"/>
      <c r="Y1122" s="33"/>
      <c r="Z1122" s="33"/>
      <c r="AA1122" s="33"/>
      <c r="AB1122" s="33"/>
      <c r="AC1122" s="33"/>
      <c r="AD1122" s="33"/>
      <c r="AE1122" s="33"/>
      <c r="AF1122" s="33"/>
      <c r="AG1122" s="33"/>
      <c r="AH1122" s="33"/>
      <c r="AI1122" s="33"/>
      <c r="AJ1122" s="33"/>
      <c r="AK1122" s="216"/>
      <c r="AL1122" s="33"/>
      <c r="AM1122" s="33"/>
      <c r="AN1122" s="33"/>
      <c r="AO1122" s="33"/>
      <c r="AP1122" s="33"/>
    </row>
    <row r="1123" spans="1:42" ht="15.75" customHeight="1">
      <c r="A1123" s="33"/>
      <c r="B1123" s="33"/>
      <c r="C1123" s="33"/>
      <c r="D1123" s="33"/>
      <c r="E1123" s="33"/>
      <c r="F1123" s="199"/>
      <c r="G1123" s="33"/>
      <c r="H1123" s="33"/>
      <c r="I1123" s="33"/>
      <c r="J1123" s="33"/>
      <c r="K1123" s="33"/>
      <c r="L1123" s="33"/>
      <c r="M1123" s="33"/>
      <c r="N1123" s="33"/>
      <c r="O1123" s="33"/>
      <c r="P1123" s="33"/>
      <c r="Q1123" s="33"/>
      <c r="R1123" s="33"/>
      <c r="S1123" s="33"/>
      <c r="T1123" s="33"/>
      <c r="U1123" s="33"/>
      <c r="V1123" s="33"/>
      <c r="W1123" s="33"/>
      <c r="X1123" s="33"/>
      <c r="Y1123" s="33"/>
      <c r="Z1123" s="33"/>
      <c r="AA1123" s="33"/>
      <c r="AB1123" s="33"/>
      <c r="AC1123" s="33"/>
      <c r="AD1123" s="33"/>
      <c r="AE1123" s="33"/>
      <c r="AF1123" s="33"/>
      <c r="AG1123" s="33"/>
      <c r="AH1123" s="33"/>
      <c r="AI1123" s="33"/>
      <c r="AJ1123" s="33"/>
      <c r="AK1123" s="216"/>
      <c r="AL1123" s="33"/>
      <c r="AM1123" s="33"/>
      <c r="AN1123" s="33"/>
      <c r="AO1123" s="33"/>
      <c r="AP1123" s="33"/>
    </row>
    <row r="1124" spans="1:42" ht="15.75" customHeight="1">
      <c r="A1124" s="33"/>
      <c r="B1124" s="33"/>
      <c r="C1124" s="33"/>
      <c r="D1124" s="33"/>
      <c r="E1124" s="33"/>
      <c r="F1124" s="199"/>
      <c r="G1124" s="33"/>
      <c r="H1124" s="33"/>
      <c r="I1124" s="33"/>
      <c r="J1124" s="33"/>
      <c r="K1124" s="33"/>
      <c r="L1124" s="33"/>
      <c r="M1124" s="33"/>
      <c r="N1124" s="33"/>
      <c r="O1124" s="33"/>
      <c r="P1124" s="33"/>
      <c r="Q1124" s="33"/>
      <c r="R1124" s="33"/>
      <c r="S1124" s="33"/>
      <c r="T1124" s="33"/>
      <c r="U1124" s="33"/>
      <c r="V1124" s="33"/>
      <c r="W1124" s="33"/>
      <c r="X1124" s="33"/>
      <c r="Y1124" s="33"/>
      <c r="Z1124" s="33"/>
      <c r="AA1124" s="33"/>
      <c r="AB1124" s="33"/>
      <c r="AC1124" s="33"/>
      <c r="AD1124" s="33"/>
      <c r="AE1124" s="33"/>
      <c r="AF1124" s="33"/>
      <c r="AG1124" s="33"/>
      <c r="AH1124" s="33"/>
      <c r="AI1124" s="33"/>
      <c r="AJ1124" s="33"/>
      <c r="AK1124" s="216"/>
      <c r="AL1124" s="33"/>
      <c r="AM1124" s="33"/>
      <c r="AN1124" s="33"/>
      <c r="AO1124" s="33"/>
      <c r="AP1124" s="33"/>
    </row>
    <row r="1125" spans="1:42" ht="15.75" customHeight="1">
      <c r="A1125" s="33"/>
      <c r="B1125" s="33"/>
      <c r="C1125" s="33"/>
      <c r="D1125" s="33"/>
      <c r="E1125" s="33"/>
      <c r="F1125" s="199"/>
      <c r="G1125" s="33"/>
      <c r="H1125" s="33"/>
      <c r="I1125" s="33"/>
      <c r="J1125" s="33"/>
      <c r="K1125" s="33"/>
      <c r="L1125" s="33"/>
      <c r="M1125" s="33"/>
      <c r="N1125" s="33"/>
      <c r="O1125" s="33"/>
      <c r="P1125" s="33"/>
      <c r="Q1125" s="33"/>
      <c r="R1125" s="33"/>
      <c r="S1125" s="33"/>
      <c r="T1125" s="33"/>
      <c r="U1125" s="33"/>
      <c r="V1125" s="33"/>
      <c r="W1125" s="33"/>
      <c r="X1125" s="33"/>
      <c r="Y1125" s="33"/>
      <c r="Z1125" s="33"/>
      <c r="AA1125" s="33"/>
      <c r="AB1125" s="33"/>
      <c r="AC1125" s="33"/>
      <c r="AD1125" s="33"/>
      <c r="AE1125" s="33"/>
      <c r="AF1125" s="33"/>
      <c r="AG1125" s="33"/>
      <c r="AH1125" s="33"/>
      <c r="AI1125" s="33"/>
      <c r="AJ1125" s="33"/>
      <c r="AK1125" s="216"/>
      <c r="AL1125" s="33"/>
      <c r="AM1125" s="33"/>
      <c r="AN1125" s="33"/>
      <c r="AO1125" s="33"/>
      <c r="AP1125" s="33"/>
    </row>
    <row r="1126" spans="1:42" ht="15.75" customHeight="1">
      <c r="A1126" s="33"/>
      <c r="B1126" s="33"/>
      <c r="C1126" s="33"/>
      <c r="D1126" s="33"/>
      <c r="E1126" s="33"/>
      <c r="F1126" s="199"/>
      <c r="G1126" s="33"/>
      <c r="H1126" s="33"/>
      <c r="I1126" s="33"/>
      <c r="J1126" s="33"/>
      <c r="K1126" s="33"/>
      <c r="L1126" s="33"/>
      <c r="M1126" s="33"/>
      <c r="N1126" s="33"/>
      <c r="O1126" s="33"/>
      <c r="P1126" s="33"/>
      <c r="Q1126" s="33"/>
      <c r="R1126" s="33"/>
      <c r="S1126" s="33"/>
      <c r="T1126" s="33"/>
      <c r="U1126" s="33"/>
      <c r="V1126" s="33"/>
      <c r="W1126" s="33"/>
      <c r="X1126" s="33"/>
      <c r="Y1126" s="33"/>
      <c r="Z1126" s="33"/>
      <c r="AA1126" s="33"/>
      <c r="AB1126" s="33"/>
      <c r="AC1126" s="33"/>
      <c r="AD1126" s="33"/>
      <c r="AE1126" s="33"/>
      <c r="AF1126" s="33"/>
      <c r="AG1126" s="33"/>
      <c r="AH1126" s="33"/>
      <c r="AI1126" s="33"/>
      <c r="AJ1126" s="33"/>
      <c r="AK1126" s="216"/>
      <c r="AL1126" s="33"/>
      <c r="AM1126" s="33"/>
      <c r="AN1126" s="33"/>
      <c r="AO1126" s="33"/>
      <c r="AP1126" s="33"/>
    </row>
    <row r="1127" spans="1:42" ht="15.75" customHeight="1">
      <c r="A1127" s="33"/>
      <c r="B1127" s="33"/>
      <c r="C1127" s="33"/>
      <c r="D1127" s="33"/>
      <c r="E1127" s="33"/>
      <c r="F1127" s="199"/>
      <c r="G1127" s="33"/>
      <c r="H1127" s="33"/>
      <c r="I1127" s="33"/>
      <c r="J1127" s="33"/>
      <c r="K1127" s="33"/>
      <c r="L1127" s="33"/>
      <c r="M1127" s="33"/>
      <c r="N1127" s="33"/>
      <c r="O1127" s="33"/>
      <c r="P1127" s="33"/>
      <c r="Q1127" s="33"/>
      <c r="R1127" s="33"/>
      <c r="S1127" s="33"/>
      <c r="T1127" s="33"/>
      <c r="U1127" s="33"/>
      <c r="V1127" s="33"/>
      <c r="W1127" s="33"/>
      <c r="X1127" s="33"/>
      <c r="Y1127" s="33"/>
      <c r="Z1127" s="33"/>
      <c r="AA1127" s="33"/>
      <c r="AB1127" s="33"/>
      <c r="AC1127" s="33"/>
      <c r="AD1127" s="33"/>
      <c r="AE1127" s="33"/>
      <c r="AF1127" s="33"/>
      <c r="AG1127" s="33"/>
      <c r="AH1127" s="33"/>
      <c r="AI1127" s="33"/>
      <c r="AJ1127" s="33"/>
      <c r="AK1127" s="216"/>
      <c r="AL1127" s="33"/>
      <c r="AM1127" s="33"/>
      <c r="AN1127" s="33"/>
      <c r="AO1127" s="33"/>
      <c r="AP1127" s="33"/>
    </row>
    <row r="1128" spans="1:42" ht="15.75" customHeight="1">
      <c r="A1128" s="33"/>
      <c r="B1128" s="33"/>
      <c r="C1128" s="33"/>
      <c r="D1128" s="33"/>
      <c r="E1128" s="33"/>
      <c r="F1128" s="199"/>
      <c r="G1128" s="33"/>
      <c r="H1128" s="33"/>
      <c r="I1128" s="33"/>
      <c r="J1128" s="33"/>
      <c r="K1128" s="33"/>
      <c r="L1128" s="33"/>
      <c r="M1128" s="33"/>
      <c r="N1128" s="33"/>
      <c r="O1128" s="33"/>
      <c r="P1128" s="33"/>
      <c r="Q1128" s="33"/>
      <c r="R1128" s="33"/>
      <c r="S1128" s="33"/>
      <c r="T1128" s="33"/>
      <c r="U1128" s="33"/>
      <c r="V1128" s="33"/>
      <c r="W1128" s="33"/>
      <c r="X1128" s="33"/>
      <c r="Y1128" s="33"/>
      <c r="Z1128" s="33"/>
      <c r="AA1128" s="33"/>
      <c r="AB1128" s="33"/>
      <c r="AC1128" s="33"/>
      <c r="AD1128" s="33"/>
      <c r="AE1128" s="33"/>
      <c r="AF1128" s="33"/>
      <c r="AG1128" s="33"/>
      <c r="AH1128" s="33"/>
      <c r="AI1128" s="33"/>
      <c r="AJ1128" s="33"/>
      <c r="AK1128" s="216"/>
      <c r="AL1128" s="33"/>
      <c r="AM1128" s="33"/>
      <c r="AN1128" s="33"/>
      <c r="AO1128" s="33"/>
      <c r="AP1128" s="33"/>
    </row>
    <row r="1129" spans="1:42" ht="15.75" customHeight="1">
      <c r="A1129" s="33"/>
      <c r="B1129" s="33"/>
      <c r="C1129" s="33"/>
      <c r="D1129" s="33"/>
      <c r="E1129" s="33"/>
      <c r="F1129" s="199"/>
      <c r="G1129" s="33"/>
      <c r="H1129" s="33"/>
      <c r="I1129" s="33"/>
      <c r="J1129" s="33"/>
      <c r="K1129" s="33"/>
      <c r="L1129" s="33"/>
      <c r="M1129" s="33"/>
      <c r="N1129" s="33"/>
      <c r="O1129" s="33"/>
      <c r="P1129" s="33"/>
      <c r="Q1129" s="33"/>
      <c r="R1129" s="33"/>
      <c r="S1129" s="33"/>
      <c r="T1129" s="33"/>
      <c r="U1129" s="33"/>
      <c r="V1129" s="33"/>
      <c r="W1129" s="33"/>
      <c r="X1129" s="33"/>
      <c r="Y1129" s="33"/>
      <c r="Z1129" s="33"/>
      <c r="AA1129" s="33"/>
      <c r="AB1129" s="33"/>
      <c r="AC1129" s="33"/>
      <c r="AD1129" s="33"/>
      <c r="AE1129" s="33"/>
      <c r="AF1129" s="33"/>
      <c r="AG1129" s="33"/>
      <c r="AH1129" s="33"/>
      <c r="AI1129" s="33"/>
      <c r="AJ1129" s="33"/>
      <c r="AK1129" s="216"/>
      <c r="AL1129" s="33"/>
      <c r="AM1129" s="33"/>
      <c r="AN1129" s="33"/>
      <c r="AO1129" s="33"/>
      <c r="AP1129" s="33"/>
    </row>
    <row r="1130" spans="1:42" ht="15.75" customHeight="1">
      <c r="A1130" s="33"/>
      <c r="B1130" s="33"/>
      <c r="C1130" s="33"/>
      <c r="D1130" s="33"/>
      <c r="E1130" s="33"/>
      <c r="F1130" s="199"/>
      <c r="G1130" s="33"/>
      <c r="H1130" s="33"/>
      <c r="I1130" s="33"/>
      <c r="J1130" s="33"/>
      <c r="K1130" s="33"/>
      <c r="L1130" s="33"/>
      <c r="M1130" s="33"/>
      <c r="N1130" s="33"/>
      <c r="O1130" s="33"/>
      <c r="P1130" s="33"/>
      <c r="Q1130" s="33"/>
      <c r="R1130" s="33"/>
      <c r="S1130" s="33"/>
      <c r="T1130" s="33"/>
      <c r="U1130" s="33"/>
      <c r="V1130" s="33"/>
      <c r="W1130" s="33"/>
      <c r="X1130" s="33"/>
      <c r="Y1130" s="33"/>
      <c r="Z1130" s="33"/>
      <c r="AA1130" s="33"/>
      <c r="AB1130" s="33"/>
      <c r="AC1130" s="33"/>
      <c r="AD1130" s="33"/>
      <c r="AE1130" s="33"/>
      <c r="AF1130" s="33"/>
      <c r="AG1130" s="33"/>
      <c r="AH1130" s="33"/>
      <c r="AI1130" s="33"/>
      <c r="AJ1130" s="33"/>
      <c r="AK1130" s="216"/>
      <c r="AL1130" s="33"/>
      <c r="AM1130" s="33"/>
      <c r="AN1130" s="33"/>
      <c r="AO1130" s="33"/>
      <c r="AP1130" s="33"/>
    </row>
    <row r="1131" spans="1:42" ht="15.75" customHeight="1">
      <c r="A1131" s="33"/>
      <c r="B1131" s="33"/>
      <c r="C1131" s="33"/>
      <c r="D1131" s="33"/>
      <c r="E1131" s="33"/>
      <c r="F1131" s="199"/>
      <c r="G1131" s="33"/>
      <c r="H1131" s="33"/>
      <c r="I1131" s="33"/>
      <c r="J1131" s="33"/>
      <c r="K1131" s="33"/>
      <c r="L1131" s="33"/>
      <c r="M1131" s="33"/>
      <c r="N1131" s="33"/>
      <c r="O1131" s="33"/>
      <c r="P1131" s="33"/>
      <c r="Q1131" s="33"/>
      <c r="R1131" s="33"/>
      <c r="S1131" s="33"/>
      <c r="T1131" s="33"/>
      <c r="U1131" s="33"/>
      <c r="V1131" s="33"/>
      <c r="W1131" s="33"/>
      <c r="X1131" s="33"/>
      <c r="Y1131" s="33"/>
      <c r="Z1131" s="33"/>
      <c r="AA1131" s="33"/>
      <c r="AB1131" s="33"/>
      <c r="AC1131" s="33"/>
      <c r="AD1131" s="33"/>
      <c r="AE1131" s="33"/>
      <c r="AF1131" s="33"/>
      <c r="AG1131" s="33"/>
      <c r="AH1131" s="33"/>
      <c r="AI1131" s="33"/>
      <c r="AJ1131" s="33"/>
      <c r="AK1131" s="216"/>
      <c r="AL1131" s="33"/>
      <c r="AM1131" s="33"/>
      <c r="AN1131" s="33"/>
      <c r="AO1131" s="33"/>
      <c r="AP1131" s="33"/>
    </row>
    <row r="1132" spans="1:42" ht="15.75" customHeight="1">
      <c r="A1132" s="33"/>
      <c r="B1132" s="33"/>
      <c r="C1132" s="33"/>
      <c r="D1132" s="33"/>
      <c r="E1132" s="33"/>
      <c r="F1132" s="199"/>
      <c r="G1132" s="33"/>
      <c r="H1132" s="33"/>
      <c r="I1132" s="33"/>
      <c r="J1132" s="33"/>
      <c r="K1132" s="33"/>
      <c r="L1132" s="33"/>
      <c r="M1132" s="33"/>
      <c r="N1132" s="33"/>
      <c r="O1132" s="33"/>
      <c r="P1132" s="33"/>
      <c r="Q1132" s="33"/>
      <c r="R1132" s="33"/>
      <c r="S1132" s="33"/>
      <c r="T1132" s="33"/>
      <c r="U1132" s="33"/>
      <c r="V1132" s="33"/>
      <c r="W1132" s="33"/>
      <c r="X1132" s="33"/>
      <c r="Y1132" s="33"/>
      <c r="Z1132" s="33"/>
      <c r="AA1132" s="33"/>
      <c r="AB1132" s="33"/>
      <c r="AC1132" s="33"/>
      <c r="AD1132" s="33"/>
      <c r="AE1132" s="33"/>
      <c r="AF1132" s="33"/>
      <c r="AG1132" s="33"/>
      <c r="AH1132" s="33"/>
      <c r="AI1132" s="33"/>
      <c r="AJ1132" s="33"/>
      <c r="AK1132" s="216"/>
      <c r="AL1132" s="33"/>
      <c r="AM1132" s="33"/>
      <c r="AN1132" s="33"/>
      <c r="AO1132" s="33"/>
      <c r="AP1132" s="33"/>
    </row>
    <row r="1133" spans="1:42" ht="15.75" customHeight="1">
      <c r="A1133" s="33"/>
      <c r="B1133" s="33"/>
      <c r="C1133" s="33"/>
      <c r="D1133" s="33"/>
      <c r="E1133" s="33"/>
      <c r="F1133" s="199"/>
      <c r="G1133" s="33"/>
      <c r="H1133" s="33"/>
      <c r="I1133" s="33"/>
      <c r="J1133" s="33"/>
      <c r="K1133" s="33"/>
      <c r="L1133" s="33"/>
      <c r="M1133" s="33"/>
      <c r="N1133" s="33"/>
      <c r="O1133" s="33"/>
      <c r="P1133" s="33"/>
      <c r="Q1133" s="33"/>
      <c r="R1133" s="33"/>
      <c r="S1133" s="33"/>
      <c r="T1133" s="33"/>
      <c r="U1133" s="33"/>
      <c r="V1133" s="33"/>
      <c r="W1133" s="33"/>
      <c r="X1133" s="33"/>
      <c r="Y1133" s="33"/>
      <c r="Z1133" s="33"/>
      <c r="AA1133" s="33"/>
      <c r="AB1133" s="33"/>
      <c r="AC1133" s="33"/>
      <c r="AD1133" s="33"/>
      <c r="AE1133" s="33"/>
      <c r="AF1133" s="33"/>
      <c r="AG1133" s="33"/>
      <c r="AH1133" s="33"/>
      <c r="AI1133" s="33"/>
      <c r="AJ1133" s="33"/>
      <c r="AK1133" s="216"/>
      <c r="AL1133" s="33"/>
      <c r="AM1133" s="33"/>
      <c r="AN1133" s="33"/>
      <c r="AO1133" s="33"/>
      <c r="AP1133" s="33"/>
    </row>
    <row r="1134" spans="1:42" ht="15.75" customHeight="1">
      <c r="A1134" s="33"/>
      <c r="B1134" s="33"/>
      <c r="C1134" s="33"/>
      <c r="D1134" s="33"/>
      <c r="E1134" s="33"/>
      <c r="F1134" s="199"/>
      <c r="G1134" s="33"/>
      <c r="H1134" s="33"/>
      <c r="I1134" s="33"/>
      <c r="J1134" s="33"/>
      <c r="K1134" s="33"/>
      <c r="L1134" s="33"/>
      <c r="M1134" s="33"/>
      <c r="N1134" s="33"/>
      <c r="O1134" s="33"/>
      <c r="P1134" s="33"/>
      <c r="Q1134" s="33"/>
      <c r="R1134" s="33"/>
      <c r="S1134" s="33"/>
      <c r="T1134" s="33"/>
      <c r="U1134" s="33"/>
      <c r="V1134" s="33"/>
      <c r="W1134" s="33"/>
      <c r="X1134" s="33"/>
      <c r="Y1134" s="33"/>
      <c r="Z1134" s="33"/>
      <c r="AA1134" s="33"/>
      <c r="AB1134" s="33"/>
      <c r="AC1134" s="33"/>
      <c r="AD1134" s="33"/>
      <c r="AE1134" s="33"/>
      <c r="AF1134" s="33"/>
      <c r="AG1134" s="33"/>
      <c r="AH1134" s="33"/>
      <c r="AI1134" s="33"/>
      <c r="AJ1134" s="33"/>
      <c r="AK1134" s="216"/>
      <c r="AL1134" s="33"/>
      <c r="AM1134" s="33"/>
      <c r="AN1134" s="33"/>
      <c r="AO1134" s="33"/>
      <c r="AP1134" s="33"/>
    </row>
    <row r="1135" spans="1:42" ht="15.75" customHeight="1">
      <c r="A1135" s="33"/>
      <c r="B1135" s="33"/>
      <c r="C1135" s="33"/>
      <c r="D1135" s="33"/>
      <c r="E1135" s="33"/>
      <c r="F1135" s="199"/>
      <c r="G1135" s="33"/>
      <c r="H1135" s="33"/>
      <c r="I1135" s="33"/>
      <c r="J1135" s="33"/>
      <c r="K1135" s="33"/>
      <c r="L1135" s="33"/>
      <c r="M1135" s="33"/>
      <c r="N1135" s="33"/>
      <c r="O1135" s="33"/>
      <c r="P1135" s="33"/>
      <c r="Q1135" s="33"/>
      <c r="R1135" s="33"/>
      <c r="S1135" s="33"/>
      <c r="T1135" s="33"/>
      <c r="U1135" s="33"/>
      <c r="V1135" s="33"/>
      <c r="W1135" s="33"/>
      <c r="X1135" s="33"/>
      <c r="Y1135" s="33"/>
      <c r="Z1135" s="33"/>
      <c r="AA1135" s="33"/>
      <c r="AB1135" s="33"/>
      <c r="AC1135" s="33"/>
      <c r="AD1135" s="33"/>
      <c r="AE1135" s="33"/>
      <c r="AF1135" s="33"/>
      <c r="AG1135" s="33"/>
      <c r="AH1135" s="33"/>
      <c r="AI1135" s="33"/>
      <c r="AJ1135" s="33"/>
      <c r="AK1135" s="216"/>
      <c r="AL1135" s="33"/>
      <c r="AM1135" s="33"/>
      <c r="AN1135" s="33"/>
      <c r="AO1135" s="33"/>
      <c r="AP1135" s="33"/>
    </row>
    <row r="1136" spans="1:42" ht="15.75" customHeight="1">
      <c r="A1136" s="33"/>
      <c r="B1136" s="33"/>
      <c r="C1136" s="33"/>
      <c r="D1136" s="33"/>
      <c r="E1136" s="33"/>
      <c r="F1136" s="199"/>
      <c r="G1136" s="33"/>
      <c r="H1136" s="33"/>
      <c r="I1136" s="33"/>
      <c r="J1136" s="33"/>
      <c r="K1136" s="33"/>
      <c r="L1136" s="33"/>
      <c r="M1136" s="33"/>
      <c r="N1136" s="33"/>
      <c r="O1136" s="33"/>
      <c r="P1136" s="33"/>
      <c r="Q1136" s="33"/>
      <c r="R1136" s="33"/>
      <c r="S1136" s="33"/>
      <c r="T1136" s="33"/>
      <c r="U1136" s="33"/>
      <c r="V1136" s="33"/>
      <c r="W1136" s="33"/>
      <c r="X1136" s="33"/>
      <c r="Y1136" s="33"/>
      <c r="Z1136" s="33"/>
      <c r="AA1136" s="33"/>
      <c r="AB1136" s="33"/>
      <c r="AC1136" s="33"/>
      <c r="AD1136" s="33"/>
      <c r="AE1136" s="33"/>
      <c r="AF1136" s="33"/>
      <c r="AG1136" s="33"/>
      <c r="AH1136" s="33"/>
      <c r="AI1136" s="33"/>
      <c r="AJ1136" s="33"/>
      <c r="AK1136" s="216"/>
      <c r="AL1136" s="33"/>
      <c r="AM1136" s="33"/>
      <c r="AN1136" s="33"/>
      <c r="AO1136" s="33"/>
      <c r="AP1136" s="33"/>
    </row>
    <row r="1137" spans="1:42" ht="15.75" customHeight="1">
      <c r="A1137" s="33"/>
      <c r="B1137" s="33"/>
      <c r="C1137" s="33"/>
      <c r="D1137" s="33"/>
      <c r="E1137" s="33"/>
      <c r="F1137" s="199"/>
      <c r="G1137" s="33"/>
      <c r="H1137" s="33"/>
      <c r="I1137" s="33"/>
      <c r="J1137" s="33"/>
      <c r="K1137" s="33"/>
      <c r="L1137" s="33"/>
      <c r="M1137" s="33"/>
      <c r="N1137" s="33"/>
      <c r="O1137" s="33"/>
      <c r="P1137" s="33"/>
      <c r="Q1137" s="33"/>
      <c r="R1137" s="33"/>
      <c r="S1137" s="33"/>
      <c r="T1137" s="33"/>
      <c r="U1137" s="33"/>
      <c r="V1137" s="33"/>
      <c r="W1137" s="33"/>
      <c r="X1137" s="33"/>
      <c r="Y1137" s="33"/>
      <c r="Z1137" s="33"/>
      <c r="AA1137" s="33"/>
      <c r="AB1137" s="33"/>
      <c r="AC1137" s="33"/>
      <c r="AD1137" s="33"/>
      <c r="AE1137" s="33"/>
      <c r="AF1137" s="33"/>
      <c r="AG1137" s="33"/>
      <c r="AH1137" s="33"/>
      <c r="AI1137" s="33"/>
      <c r="AJ1137" s="33"/>
      <c r="AK1137" s="216"/>
      <c r="AL1137" s="33"/>
      <c r="AM1137" s="33"/>
      <c r="AN1137" s="33"/>
      <c r="AO1137" s="33"/>
      <c r="AP1137" s="33"/>
    </row>
    <row r="1138" spans="1:42" ht="15.75" customHeight="1">
      <c r="A1138" s="33"/>
      <c r="B1138" s="33"/>
      <c r="C1138" s="33"/>
      <c r="D1138" s="33"/>
      <c r="E1138" s="33"/>
      <c r="F1138" s="199"/>
      <c r="G1138" s="33"/>
      <c r="H1138" s="33"/>
      <c r="I1138" s="33"/>
      <c r="J1138" s="33"/>
      <c r="K1138" s="33"/>
      <c r="L1138" s="33"/>
      <c r="M1138" s="33"/>
      <c r="N1138" s="33"/>
      <c r="O1138" s="33"/>
      <c r="P1138" s="33"/>
      <c r="Q1138" s="33"/>
      <c r="R1138" s="33"/>
      <c r="S1138" s="33"/>
      <c r="T1138" s="33"/>
      <c r="U1138" s="33"/>
      <c r="V1138" s="33"/>
      <c r="W1138" s="33"/>
      <c r="X1138" s="33"/>
      <c r="Y1138" s="33"/>
      <c r="Z1138" s="33"/>
      <c r="AA1138" s="33"/>
      <c r="AB1138" s="33"/>
      <c r="AC1138" s="33"/>
      <c r="AD1138" s="33"/>
      <c r="AE1138" s="33"/>
      <c r="AF1138" s="33"/>
      <c r="AG1138" s="33"/>
      <c r="AH1138" s="33"/>
      <c r="AI1138" s="33"/>
      <c r="AJ1138" s="33"/>
      <c r="AK1138" s="216"/>
      <c r="AL1138" s="33"/>
      <c r="AM1138" s="33"/>
      <c r="AN1138" s="33"/>
      <c r="AO1138" s="33"/>
      <c r="AP1138" s="33"/>
    </row>
    <row r="1139" spans="1:42" ht="15.75" customHeight="1">
      <c r="A1139" s="33"/>
      <c r="B1139" s="33"/>
      <c r="C1139" s="33"/>
      <c r="D1139" s="33"/>
      <c r="E1139" s="33"/>
      <c r="F1139" s="199"/>
      <c r="G1139" s="33"/>
      <c r="H1139" s="33"/>
      <c r="I1139" s="33"/>
      <c r="J1139" s="33"/>
      <c r="K1139" s="33"/>
      <c r="L1139" s="33"/>
      <c r="M1139" s="33"/>
      <c r="N1139" s="33"/>
      <c r="O1139" s="33"/>
      <c r="P1139" s="33"/>
      <c r="Q1139" s="33"/>
      <c r="R1139" s="33"/>
      <c r="S1139" s="33"/>
      <c r="T1139" s="33"/>
      <c r="U1139" s="33"/>
      <c r="V1139" s="33"/>
      <c r="W1139" s="33"/>
      <c r="X1139" s="33"/>
      <c r="Y1139" s="33"/>
      <c r="Z1139" s="33"/>
      <c r="AA1139" s="33"/>
      <c r="AB1139" s="33"/>
      <c r="AC1139" s="33"/>
      <c r="AD1139" s="33"/>
      <c r="AE1139" s="33"/>
      <c r="AF1139" s="33"/>
      <c r="AG1139" s="33"/>
      <c r="AH1139" s="33"/>
      <c r="AI1139" s="33"/>
      <c r="AJ1139" s="33"/>
      <c r="AK1139" s="216"/>
      <c r="AL1139" s="33"/>
      <c r="AM1139" s="33"/>
      <c r="AN1139" s="33"/>
      <c r="AO1139" s="33"/>
      <c r="AP1139" s="33"/>
    </row>
    <row r="1140" spans="1:42" ht="15.75" customHeight="1">
      <c r="A1140" s="33"/>
      <c r="B1140" s="33"/>
      <c r="C1140" s="33"/>
      <c r="D1140" s="33"/>
      <c r="E1140" s="33"/>
      <c r="F1140" s="199"/>
      <c r="G1140" s="33"/>
      <c r="H1140" s="33"/>
      <c r="I1140" s="33"/>
      <c r="J1140" s="33"/>
      <c r="K1140" s="33"/>
      <c r="L1140" s="33"/>
      <c r="M1140" s="33"/>
      <c r="N1140" s="33"/>
      <c r="O1140" s="33"/>
      <c r="P1140" s="33"/>
      <c r="Q1140" s="33"/>
      <c r="R1140" s="33"/>
      <c r="S1140" s="33"/>
      <c r="T1140" s="33"/>
      <c r="U1140" s="33"/>
      <c r="V1140" s="33"/>
      <c r="W1140" s="33"/>
      <c r="X1140" s="33"/>
      <c r="Y1140" s="33"/>
      <c r="Z1140" s="33"/>
      <c r="AA1140" s="33"/>
      <c r="AB1140" s="33"/>
      <c r="AC1140" s="33"/>
      <c r="AD1140" s="33"/>
      <c r="AE1140" s="33"/>
      <c r="AF1140" s="33"/>
      <c r="AG1140" s="33"/>
      <c r="AH1140" s="33"/>
      <c r="AI1140" s="33"/>
      <c r="AJ1140" s="33"/>
      <c r="AK1140" s="216"/>
      <c r="AL1140" s="33"/>
      <c r="AM1140" s="33"/>
      <c r="AN1140" s="33"/>
      <c r="AO1140" s="33"/>
      <c r="AP1140" s="33"/>
    </row>
    <row r="1141" spans="1:42" ht="15.75" customHeight="1">
      <c r="A1141" s="33"/>
      <c r="B1141" s="33"/>
      <c r="C1141" s="33"/>
      <c r="D1141" s="33"/>
      <c r="E1141" s="33"/>
      <c r="F1141" s="199"/>
      <c r="G1141" s="33"/>
      <c r="H1141" s="33"/>
      <c r="I1141" s="33"/>
      <c r="J1141" s="33"/>
      <c r="K1141" s="33"/>
      <c r="L1141" s="33"/>
      <c r="M1141" s="33"/>
      <c r="N1141" s="33"/>
      <c r="O1141" s="33"/>
      <c r="P1141" s="33"/>
      <c r="Q1141" s="33"/>
      <c r="R1141" s="33"/>
      <c r="S1141" s="33"/>
      <c r="T1141" s="33"/>
      <c r="U1141" s="33"/>
      <c r="V1141" s="33"/>
      <c r="W1141" s="33"/>
      <c r="X1141" s="33"/>
      <c r="Y1141" s="33"/>
      <c r="Z1141" s="33"/>
      <c r="AA1141" s="33"/>
      <c r="AB1141" s="33"/>
      <c r="AC1141" s="33"/>
      <c r="AD1141" s="33"/>
      <c r="AE1141" s="33"/>
      <c r="AF1141" s="33"/>
      <c r="AG1141" s="33"/>
      <c r="AH1141" s="33"/>
      <c r="AI1141" s="33"/>
      <c r="AJ1141" s="33"/>
      <c r="AK1141" s="216"/>
      <c r="AL1141" s="33"/>
      <c r="AM1141" s="33"/>
      <c r="AN1141" s="33"/>
      <c r="AO1141" s="33"/>
      <c r="AP1141" s="33"/>
    </row>
    <row r="1142" spans="1:42" ht="15.75" customHeight="1">
      <c r="A1142" s="33"/>
      <c r="B1142" s="33"/>
      <c r="C1142" s="33"/>
      <c r="D1142" s="33"/>
      <c r="E1142" s="33"/>
      <c r="F1142" s="199"/>
      <c r="G1142" s="33"/>
      <c r="H1142" s="33"/>
      <c r="I1142" s="33"/>
      <c r="J1142" s="33"/>
      <c r="K1142" s="33"/>
      <c r="L1142" s="33"/>
      <c r="M1142" s="33"/>
      <c r="N1142" s="33"/>
      <c r="O1142" s="33"/>
      <c r="P1142" s="33"/>
      <c r="Q1142" s="33"/>
      <c r="R1142" s="33"/>
      <c r="S1142" s="33"/>
      <c r="T1142" s="33"/>
      <c r="U1142" s="33"/>
      <c r="V1142" s="33"/>
      <c r="W1142" s="33"/>
      <c r="X1142" s="33"/>
      <c r="Y1142" s="33"/>
      <c r="Z1142" s="33"/>
      <c r="AA1142" s="33"/>
      <c r="AB1142" s="33"/>
      <c r="AC1142" s="33"/>
      <c r="AD1142" s="33"/>
      <c r="AE1142" s="33"/>
      <c r="AF1142" s="33"/>
      <c r="AG1142" s="33"/>
      <c r="AH1142" s="33"/>
      <c r="AI1142" s="33"/>
      <c r="AJ1142" s="33"/>
      <c r="AK1142" s="216"/>
      <c r="AL1142" s="33"/>
      <c r="AM1142" s="33"/>
      <c r="AN1142" s="33"/>
      <c r="AO1142" s="33"/>
      <c r="AP1142" s="33"/>
    </row>
    <row r="1143" spans="1:42" ht="15.75" customHeight="1">
      <c r="A1143" s="33"/>
      <c r="B1143" s="33"/>
      <c r="C1143" s="33"/>
      <c r="D1143" s="33"/>
      <c r="E1143" s="33"/>
      <c r="F1143" s="199"/>
      <c r="G1143" s="33"/>
      <c r="H1143" s="33"/>
      <c r="I1143" s="33"/>
      <c r="J1143" s="33"/>
      <c r="K1143" s="33"/>
      <c r="L1143" s="33"/>
      <c r="M1143" s="33"/>
      <c r="N1143" s="33"/>
      <c r="O1143" s="33"/>
      <c r="P1143" s="33"/>
      <c r="Q1143" s="33"/>
      <c r="R1143" s="33"/>
      <c r="S1143" s="33"/>
      <c r="T1143" s="33"/>
      <c r="U1143" s="33"/>
      <c r="V1143" s="33"/>
      <c r="W1143" s="33"/>
      <c r="X1143" s="33"/>
      <c r="Y1143" s="33"/>
      <c r="Z1143" s="33"/>
      <c r="AA1143" s="33"/>
      <c r="AB1143" s="33"/>
      <c r="AC1143" s="33"/>
      <c r="AD1143" s="33"/>
      <c r="AE1143" s="33"/>
      <c r="AF1143" s="33"/>
      <c r="AG1143" s="33"/>
      <c r="AH1143" s="33"/>
      <c r="AI1143" s="33"/>
      <c r="AJ1143" s="33"/>
      <c r="AK1143" s="216"/>
      <c r="AL1143" s="33"/>
      <c r="AM1143" s="33"/>
      <c r="AN1143" s="33"/>
      <c r="AO1143" s="33"/>
      <c r="AP1143" s="33"/>
    </row>
    <row r="1144" spans="1:42" ht="15.75" customHeight="1">
      <c r="A1144" s="33"/>
      <c r="B1144" s="33"/>
      <c r="C1144" s="33"/>
      <c r="D1144" s="33"/>
      <c r="E1144" s="33"/>
      <c r="F1144" s="199"/>
      <c r="G1144" s="33"/>
      <c r="H1144" s="33"/>
      <c r="I1144" s="33"/>
      <c r="J1144" s="33"/>
      <c r="K1144" s="33"/>
      <c r="L1144" s="33"/>
      <c r="M1144" s="33"/>
      <c r="N1144" s="33"/>
      <c r="O1144" s="33"/>
      <c r="P1144" s="33"/>
      <c r="Q1144" s="33"/>
      <c r="R1144" s="33"/>
      <c r="S1144" s="33"/>
      <c r="T1144" s="33"/>
      <c r="U1144" s="33"/>
      <c r="V1144" s="33"/>
      <c r="W1144" s="33"/>
      <c r="X1144" s="33"/>
      <c r="Y1144" s="33"/>
      <c r="Z1144" s="33"/>
      <c r="AA1144" s="33"/>
      <c r="AB1144" s="33"/>
      <c r="AC1144" s="33"/>
      <c r="AD1144" s="33"/>
      <c r="AE1144" s="33"/>
      <c r="AF1144" s="33"/>
      <c r="AG1144" s="33"/>
      <c r="AH1144" s="33"/>
      <c r="AI1144" s="33"/>
      <c r="AJ1144" s="33"/>
      <c r="AK1144" s="216"/>
      <c r="AL1144" s="33"/>
      <c r="AM1144" s="33"/>
      <c r="AN1144" s="33"/>
      <c r="AO1144" s="33"/>
      <c r="AP1144" s="33"/>
    </row>
    <row r="1145" spans="1:42" ht="15.75" customHeight="1">
      <c r="A1145" s="33"/>
      <c r="B1145" s="33"/>
      <c r="C1145" s="33"/>
      <c r="D1145" s="33"/>
      <c r="E1145" s="33"/>
      <c r="F1145" s="199"/>
      <c r="G1145" s="33"/>
      <c r="H1145" s="33"/>
      <c r="I1145" s="33"/>
      <c r="J1145" s="33"/>
      <c r="K1145" s="33"/>
      <c r="L1145" s="33"/>
      <c r="M1145" s="33"/>
      <c r="N1145" s="33"/>
      <c r="O1145" s="33"/>
      <c r="P1145" s="33"/>
      <c r="Q1145" s="33"/>
      <c r="R1145" s="33"/>
      <c r="S1145" s="33"/>
      <c r="T1145" s="33"/>
      <c r="U1145" s="33"/>
      <c r="V1145" s="33"/>
      <c r="W1145" s="33"/>
      <c r="X1145" s="33"/>
      <c r="Y1145" s="33"/>
      <c r="Z1145" s="33"/>
      <c r="AA1145" s="33"/>
      <c r="AB1145" s="33"/>
      <c r="AC1145" s="33"/>
      <c r="AD1145" s="33"/>
      <c r="AE1145" s="33"/>
      <c r="AF1145" s="33"/>
      <c r="AG1145" s="33"/>
      <c r="AH1145" s="33"/>
      <c r="AI1145" s="33"/>
      <c r="AJ1145" s="33"/>
      <c r="AK1145" s="216"/>
      <c r="AL1145" s="33"/>
      <c r="AM1145" s="33"/>
      <c r="AN1145" s="33"/>
      <c r="AO1145" s="33"/>
      <c r="AP1145" s="33"/>
    </row>
    <row r="1146" spans="1:42" ht="15.75" customHeight="1">
      <c r="A1146" s="33"/>
      <c r="B1146" s="33"/>
      <c r="C1146" s="33"/>
      <c r="D1146" s="33"/>
      <c r="E1146" s="33"/>
      <c r="F1146" s="199"/>
      <c r="G1146" s="33"/>
      <c r="H1146" s="33"/>
      <c r="I1146" s="33"/>
      <c r="J1146" s="33"/>
      <c r="K1146" s="33"/>
      <c r="L1146" s="33"/>
      <c r="M1146" s="33"/>
      <c r="N1146" s="33"/>
      <c r="O1146" s="33"/>
      <c r="P1146" s="33"/>
      <c r="Q1146" s="33"/>
      <c r="R1146" s="33"/>
      <c r="S1146" s="33"/>
      <c r="T1146" s="33"/>
      <c r="U1146" s="33"/>
      <c r="V1146" s="33"/>
      <c r="W1146" s="33"/>
      <c r="X1146" s="33"/>
      <c r="Y1146" s="33"/>
      <c r="Z1146" s="33"/>
      <c r="AA1146" s="33"/>
      <c r="AB1146" s="33"/>
      <c r="AC1146" s="33"/>
      <c r="AD1146" s="33"/>
      <c r="AE1146" s="33"/>
      <c r="AF1146" s="33"/>
      <c r="AG1146" s="33"/>
      <c r="AH1146" s="33"/>
      <c r="AI1146" s="33"/>
      <c r="AJ1146" s="33"/>
      <c r="AK1146" s="216"/>
      <c r="AL1146" s="33"/>
      <c r="AM1146" s="33"/>
      <c r="AN1146" s="33"/>
      <c r="AO1146" s="33"/>
      <c r="AP1146" s="33"/>
    </row>
    <row r="1147" spans="1:42" ht="15.75" customHeight="1">
      <c r="A1147" s="33"/>
      <c r="B1147" s="33"/>
      <c r="C1147" s="33"/>
      <c r="D1147" s="33"/>
      <c r="E1147" s="33"/>
      <c r="F1147" s="199"/>
      <c r="G1147" s="33"/>
      <c r="H1147" s="33"/>
      <c r="I1147" s="33"/>
      <c r="J1147" s="33"/>
      <c r="K1147" s="33"/>
      <c r="L1147" s="33"/>
      <c r="M1147" s="33"/>
      <c r="N1147" s="33"/>
      <c r="O1147" s="33"/>
      <c r="P1147" s="33"/>
      <c r="Q1147" s="33"/>
      <c r="R1147" s="33"/>
      <c r="S1147" s="33"/>
      <c r="T1147" s="33"/>
      <c r="U1147" s="33"/>
      <c r="V1147" s="33"/>
      <c r="W1147" s="33"/>
      <c r="X1147" s="33"/>
      <c r="Y1147" s="33"/>
      <c r="Z1147" s="33"/>
      <c r="AA1147" s="33"/>
      <c r="AB1147" s="33"/>
      <c r="AC1147" s="33"/>
      <c r="AD1147" s="33"/>
      <c r="AE1147" s="33"/>
      <c r="AF1147" s="33"/>
      <c r="AG1147" s="33"/>
      <c r="AH1147" s="33"/>
      <c r="AI1147" s="33"/>
      <c r="AJ1147" s="33"/>
      <c r="AK1147" s="216"/>
      <c r="AL1147" s="33"/>
      <c r="AM1147" s="33"/>
      <c r="AN1147" s="33"/>
      <c r="AO1147" s="33"/>
      <c r="AP1147" s="33"/>
    </row>
    <row r="1148" spans="1:42" ht="15.75" customHeight="1">
      <c r="A1148" s="33"/>
      <c r="B1148" s="33"/>
      <c r="C1148" s="33"/>
      <c r="D1148" s="33"/>
      <c r="E1148" s="33"/>
      <c r="F1148" s="199"/>
      <c r="G1148" s="33"/>
      <c r="H1148" s="33"/>
      <c r="I1148" s="33"/>
      <c r="J1148" s="33"/>
      <c r="K1148" s="33"/>
      <c r="L1148" s="33"/>
      <c r="M1148" s="33"/>
      <c r="N1148" s="33"/>
      <c r="O1148" s="33"/>
      <c r="P1148" s="33"/>
      <c r="Q1148" s="33"/>
      <c r="R1148" s="33"/>
      <c r="S1148" s="33"/>
      <c r="T1148" s="33"/>
      <c r="U1148" s="33"/>
      <c r="V1148" s="33"/>
      <c r="W1148" s="33"/>
      <c r="X1148" s="33"/>
      <c r="Y1148" s="33"/>
      <c r="Z1148" s="33"/>
      <c r="AA1148" s="33"/>
      <c r="AB1148" s="33"/>
      <c r="AC1148" s="33"/>
      <c r="AD1148" s="33"/>
      <c r="AE1148" s="33"/>
      <c r="AF1148" s="33"/>
      <c r="AG1148" s="33"/>
      <c r="AH1148" s="33"/>
      <c r="AI1148" s="33"/>
      <c r="AJ1148" s="33"/>
      <c r="AK1148" s="216"/>
      <c r="AL1148" s="33"/>
      <c r="AM1148" s="33"/>
      <c r="AN1148" s="33"/>
      <c r="AO1148" s="33"/>
      <c r="AP1148" s="33"/>
    </row>
    <row r="1149" spans="1:42" ht="15.75" customHeight="1">
      <c r="A1149" s="33"/>
      <c r="B1149" s="33"/>
      <c r="C1149" s="33"/>
      <c r="D1149" s="33"/>
      <c r="E1149" s="33"/>
      <c r="F1149" s="199"/>
      <c r="G1149" s="33"/>
      <c r="H1149" s="33"/>
      <c r="I1149" s="33"/>
      <c r="J1149" s="33"/>
      <c r="K1149" s="33"/>
      <c r="L1149" s="33"/>
      <c r="M1149" s="33"/>
      <c r="N1149" s="33"/>
      <c r="O1149" s="33"/>
      <c r="P1149" s="33"/>
      <c r="Q1149" s="33"/>
      <c r="R1149" s="33"/>
      <c r="S1149" s="33"/>
      <c r="T1149" s="33"/>
      <c r="U1149" s="33"/>
      <c r="V1149" s="33"/>
      <c r="W1149" s="33"/>
      <c r="X1149" s="33"/>
      <c r="Y1149" s="33"/>
      <c r="Z1149" s="33"/>
      <c r="AA1149" s="33"/>
      <c r="AB1149" s="33"/>
      <c r="AC1149" s="33"/>
      <c r="AD1149" s="33"/>
      <c r="AE1149" s="33"/>
      <c r="AF1149" s="33"/>
      <c r="AG1149" s="33"/>
      <c r="AH1149" s="33"/>
      <c r="AI1149" s="33"/>
      <c r="AJ1149" s="33"/>
      <c r="AK1149" s="216"/>
      <c r="AL1149" s="33"/>
      <c r="AM1149" s="33"/>
      <c r="AN1149" s="33"/>
      <c r="AO1149" s="33"/>
      <c r="AP1149" s="33"/>
    </row>
    <row r="1150" spans="1:42" ht="15.75" customHeight="1">
      <c r="A1150" s="33"/>
      <c r="B1150" s="33"/>
      <c r="C1150" s="33"/>
      <c r="D1150" s="33"/>
      <c r="E1150" s="33"/>
      <c r="F1150" s="199"/>
      <c r="G1150" s="33"/>
      <c r="H1150" s="33"/>
      <c r="I1150" s="33"/>
      <c r="J1150" s="33"/>
      <c r="K1150" s="33"/>
      <c r="L1150" s="33"/>
      <c r="M1150" s="33"/>
      <c r="N1150" s="33"/>
      <c r="O1150" s="33"/>
      <c r="P1150" s="33"/>
      <c r="Q1150" s="33"/>
      <c r="R1150" s="33"/>
      <c r="S1150" s="33"/>
      <c r="T1150" s="33"/>
      <c r="U1150" s="33"/>
      <c r="V1150" s="33"/>
      <c r="W1150" s="33"/>
      <c r="X1150" s="33"/>
      <c r="Y1150" s="33"/>
      <c r="Z1150" s="33"/>
      <c r="AA1150" s="33"/>
      <c r="AB1150" s="33"/>
      <c r="AC1150" s="33"/>
      <c r="AD1150" s="33"/>
      <c r="AE1150" s="33"/>
      <c r="AF1150" s="33"/>
      <c r="AG1150" s="33"/>
      <c r="AH1150" s="33"/>
      <c r="AI1150" s="33"/>
      <c r="AJ1150" s="33"/>
      <c r="AK1150" s="216"/>
      <c r="AL1150" s="33"/>
      <c r="AM1150" s="33"/>
      <c r="AN1150" s="33"/>
      <c r="AO1150" s="33"/>
      <c r="AP1150" s="33"/>
    </row>
    <row r="1151" spans="1:42" ht="15.75" customHeight="1">
      <c r="A1151" s="33"/>
      <c r="B1151" s="33"/>
      <c r="C1151" s="33"/>
      <c r="D1151" s="33"/>
      <c r="E1151" s="33"/>
      <c r="F1151" s="199"/>
      <c r="G1151" s="33"/>
      <c r="H1151" s="33"/>
      <c r="I1151" s="33"/>
      <c r="J1151" s="33"/>
      <c r="K1151" s="33"/>
      <c r="L1151" s="33"/>
      <c r="M1151" s="33"/>
      <c r="N1151" s="33"/>
      <c r="O1151" s="33"/>
      <c r="P1151" s="33"/>
      <c r="Q1151" s="33"/>
      <c r="R1151" s="33"/>
      <c r="S1151" s="33"/>
      <c r="T1151" s="33"/>
      <c r="U1151" s="33"/>
      <c r="V1151" s="33"/>
      <c r="W1151" s="33"/>
      <c r="X1151" s="33"/>
      <c r="Y1151" s="33"/>
      <c r="Z1151" s="33"/>
      <c r="AA1151" s="33"/>
      <c r="AB1151" s="33"/>
      <c r="AC1151" s="33"/>
      <c r="AD1151" s="33"/>
      <c r="AE1151" s="33"/>
      <c r="AF1151" s="33"/>
      <c r="AG1151" s="33"/>
      <c r="AH1151" s="33"/>
      <c r="AI1151" s="33"/>
      <c r="AJ1151" s="33"/>
      <c r="AK1151" s="216"/>
      <c r="AL1151" s="33"/>
      <c r="AM1151" s="33"/>
      <c r="AN1151" s="33"/>
      <c r="AO1151" s="33"/>
      <c r="AP1151" s="33"/>
    </row>
    <row r="1152" spans="1:42" ht="15.75" customHeight="1">
      <c r="A1152" s="33"/>
      <c r="B1152" s="33"/>
      <c r="C1152" s="33"/>
      <c r="D1152" s="33"/>
      <c r="E1152" s="33"/>
      <c r="F1152" s="199"/>
      <c r="G1152" s="33"/>
      <c r="H1152" s="33"/>
      <c r="I1152" s="33"/>
      <c r="J1152" s="33"/>
      <c r="K1152" s="33"/>
      <c r="L1152" s="33"/>
      <c r="M1152" s="33"/>
      <c r="N1152" s="33"/>
      <c r="O1152" s="33"/>
      <c r="P1152" s="33"/>
      <c r="Q1152" s="33"/>
      <c r="R1152" s="33"/>
      <c r="S1152" s="33"/>
      <c r="T1152" s="33"/>
      <c r="U1152" s="33"/>
      <c r="V1152" s="33"/>
      <c r="W1152" s="33"/>
      <c r="X1152" s="33"/>
      <c r="Y1152" s="33"/>
      <c r="Z1152" s="33"/>
      <c r="AA1152" s="33"/>
      <c r="AB1152" s="33"/>
      <c r="AC1152" s="33"/>
      <c r="AD1152" s="33"/>
      <c r="AE1152" s="33"/>
      <c r="AF1152" s="33"/>
      <c r="AG1152" s="33"/>
      <c r="AH1152" s="33"/>
      <c r="AI1152" s="33"/>
      <c r="AJ1152" s="33"/>
      <c r="AK1152" s="216"/>
      <c r="AL1152" s="33"/>
      <c r="AM1152" s="33"/>
      <c r="AN1152" s="33"/>
      <c r="AO1152" s="33"/>
      <c r="AP1152" s="33"/>
    </row>
    <row r="1153" spans="1:42" ht="15.75" customHeight="1">
      <c r="A1153" s="33"/>
      <c r="B1153" s="33"/>
      <c r="C1153" s="33"/>
      <c r="D1153" s="33"/>
      <c r="E1153" s="33"/>
      <c r="F1153" s="199"/>
      <c r="G1153" s="33"/>
      <c r="H1153" s="33"/>
      <c r="I1153" s="33"/>
      <c r="J1153" s="33"/>
      <c r="K1153" s="33"/>
      <c r="L1153" s="33"/>
      <c r="M1153" s="33"/>
      <c r="N1153" s="33"/>
      <c r="O1153" s="33"/>
      <c r="P1153" s="33"/>
      <c r="Q1153" s="33"/>
      <c r="R1153" s="33"/>
      <c r="S1153" s="33"/>
      <c r="T1153" s="33"/>
      <c r="U1153" s="33"/>
      <c r="V1153" s="33"/>
      <c r="W1153" s="33"/>
      <c r="X1153" s="33"/>
      <c r="Y1153" s="33"/>
      <c r="Z1153" s="33"/>
      <c r="AA1153" s="33"/>
      <c r="AB1153" s="33"/>
      <c r="AC1153" s="33"/>
      <c r="AD1153" s="33"/>
      <c r="AE1153" s="33"/>
      <c r="AF1153" s="33"/>
      <c r="AG1153" s="33"/>
      <c r="AH1153" s="33"/>
      <c r="AI1153" s="33"/>
      <c r="AJ1153" s="33"/>
      <c r="AK1153" s="216"/>
      <c r="AL1153" s="33"/>
      <c r="AM1153" s="33"/>
      <c r="AN1153" s="33"/>
      <c r="AO1153" s="33"/>
      <c r="AP1153" s="33"/>
    </row>
    <row r="1154" spans="1:42" ht="15.75" customHeight="1">
      <c r="A1154" s="33"/>
      <c r="B1154" s="33"/>
      <c r="C1154" s="33"/>
      <c r="D1154" s="33"/>
      <c r="E1154" s="33"/>
      <c r="F1154" s="199"/>
      <c r="G1154" s="33"/>
      <c r="H1154" s="33"/>
      <c r="I1154" s="33"/>
      <c r="J1154" s="33"/>
      <c r="K1154" s="33"/>
      <c r="L1154" s="33"/>
      <c r="M1154" s="33"/>
      <c r="N1154" s="33"/>
      <c r="O1154" s="33"/>
      <c r="P1154" s="33"/>
      <c r="Q1154" s="33"/>
      <c r="R1154" s="33"/>
      <c r="S1154" s="33"/>
      <c r="T1154" s="33"/>
      <c r="U1154" s="33"/>
      <c r="V1154" s="33"/>
      <c r="W1154" s="33"/>
      <c r="X1154" s="33"/>
      <c r="Y1154" s="33"/>
      <c r="Z1154" s="33"/>
      <c r="AA1154" s="33"/>
      <c r="AB1154" s="33"/>
      <c r="AC1154" s="33"/>
      <c r="AD1154" s="33"/>
      <c r="AE1154" s="33"/>
      <c r="AF1154" s="33"/>
      <c r="AG1154" s="33"/>
      <c r="AH1154" s="33"/>
      <c r="AI1154" s="33"/>
      <c r="AJ1154" s="33"/>
      <c r="AK1154" s="216"/>
      <c r="AL1154" s="33"/>
      <c r="AM1154" s="33"/>
      <c r="AN1154" s="33"/>
      <c r="AO1154" s="33"/>
      <c r="AP1154" s="33"/>
    </row>
    <row r="1155" spans="1:42" ht="15.75" customHeight="1">
      <c r="A1155" s="33"/>
      <c r="B1155" s="33"/>
      <c r="C1155" s="33"/>
      <c r="D1155" s="33"/>
      <c r="E1155" s="33"/>
      <c r="F1155" s="199"/>
      <c r="G1155" s="33"/>
      <c r="H1155" s="33"/>
      <c r="I1155" s="33"/>
      <c r="J1155" s="33"/>
      <c r="K1155" s="33"/>
      <c r="L1155" s="33"/>
      <c r="M1155" s="33"/>
      <c r="N1155" s="33"/>
      <c r="O1155" s="33"/>
      <c r="P1155" s="33"/>
      <c r="Q1155" s="33"/>
      <c r="R1155" s="33"/>
      <c r="S1155" s="33"/>
      <c r="T1155" s="33"/>
      <c r="U1155" s="33"/>
      <c r="V1155" s="33"/>
      <c r="W1155" s="33"/>
      <c r="X1155" s="33"/>
      <c r="Y1155" s="33"/>
      <c r="Z1155" s="33"/>
      <c r="AA1155" s="33"/>
      <c r="AB1155" s="33"/>
      <c r="AC1155" s="33"/>
      <c r="AD1155" s="33"/>
      <c r="AE1155" s="33"/>
      <c r="AF1155" s="33"/>
      <c r="AG1155" s="33"/>
      <c r="AH1155" s="33"/>
      <c r="AI1155" s="33"/>
      <c r="AJ1155" s="33"/>
      <c r="AK1155" s="216"/>
      <c r="AL1155" s="33"/>
      <c r="AM1155" s="33"/>
      <c r="AN1155" s="33"/>
      <c r="AO1155" s="33"/>
      <c r="AP1155" s="33"/>
    </row>
    <row r="1156" spans="1:42" ht="15.75" customHeight="1">
      <c r="A1156" s="33"/>
      <c r="B1156" s="33"/>
      <c r="C1156" s="33"/>
      <c r="D1156" s="33"/>
      <c r="E1156" s="33"/>
      <c r="F1156" s="199"/>
      <c r="G1156" s="33"/>
      <c r="H1156" s="33"/>
      <c r="I1156" s="33"/>
      <c r="J1156" s="33"/>
      <c r="K1156" s="33"/>
      <c r="L1156" s="33"/>
      <c r="M1156" s="33"/>
      <c r="N1156" s="33"/>
      <c r="O1156" s="33"/>
      <c r="P1156" s="33"/>
      <c r="Q1156" s="33"/>
      <c r="R1156" s="33"/>
      <c r="S1156" s="33"/>
      <c r="T1156" s="33"/>
      <c r="U1156" s="33"/>
      <c r="V1156" s="33"/>
      <c r="W1156" s="33"/>
      <c r="X1156" s="33"/>
      <c r="Y1156" s="33"/>
      <c r="Z1156" s="33"/>
      <c r="AA1156" s="33"/>
      <c r="AB1156" s="33"/>
      <c r="AC1156" s="33"/>
      <c r="AD1156" s="33"/>
      <c r="AE1156" s="33"/>
      <c r="AF1156" s="33"/>
      <c r="AG1156" s="33"/>
      <c r="AH1156" s="33"/>
      <c r="AI1156" s="33"/>
      <c r="AJ1156" s="33"/>
      <c r="AK1156" s="216"/>
      <c r="AL1156" s="33"/>
      <c r="AM1156" s="33"/>
      <c r="AN1156" s="33"/>
      <c r="AO1156" s="33"/>
      <c r="AP1156" s="33"/>
    </row>
    <row r="1157" spans="1:42" ht="15.75" customHeight="1">
      <c r="A1157" s="33"/>
      <c r="B1157" s="33"/>
      <c r="C1157" s="33"/>
      <c r="D1157" s="33"/>
      <c r="E1157" s="33"/>
      <c r="F1157" s="199"/>
      <c r="G1157" s="33"/>
      <c r="H1157" s="33"/>
      <c r="I1157" s="33"/>
      <c r="J1157" s="33"/>
      <c r="K1157" s="33"/>
      <c r="L1157" s="33"/>
      <c r="M1157" s="33"/>
      <c r="N1157" s="33"/>
      <c r="O1157" s="33"/>
      <c r="P1157" s="33"/>
      <c r="Q1157" s="33"/>
      <c r="R1157" s="33"/>
      <c r="S1157" s="33"/>
      <c r="T1157" s="33"/>
      <c r="U1157" s="33"/>
      <c r="V1157" s="33"/>
      <c r="W1157" s="33"/>
      <c r="X1157" s="33"/>
      <c r="Y1157" s="33"/>
      <c r="Z1157" s="33"/>
      <c r="AA1157" s="33"/>
      <c r="AB1157" s="33"/>
      <c r="AC1157" s="33"/>
      <c r="AD1157" s="33"/>
      <c r="AE1157" s="33"/>
      <c r="AF1157" s="33"/>
      <c r="AG1157" s="33"/>
      <c r="AH1157" s="33"/>
      <c r="AI1157" s="33"/>
      <c r="AJ1157" s="33"/>
      <c r="AK1157" s="216"/>
      <c r="AL1157" s="33"/>
      <c r="AM1157" s="33"/>
      <c r="AN1157" s="33"/>
      <c r="AO1157" s="33"/>
      <c r="AP1157" s="33"/>
    </row>
    <row r="1158" spans="1:42" ht="15.75" customHeight="1">
      <c r="A1158" s="33"/>
      <c r="B1158" s="33"/>
      <c r="C1158" s="33"/>
      <c r="D1158" s="33"/>
      <c r="E1158" s="33"/>
      <c r="F1158" s="199"/>
      <c r="G1158" s="33"/>
      <c r="H1158" s="33"/>
      <c r="I1158" s="33"/>
      <c r="J1158" s="33"/>
      <c r="K1158" s="33"/>
      <c r="L1158" s="33"/>
      <c r="M1158" s="33"/>
      <c r="N1158" s="33"/>
      <c r="O1158" s="33"/>
      <c r="P1158" s="33"/>
      <c r="Q1158" s="33"/>
      <c r="R1158" s="33"/>
      <c r="S1158" s="33"/>
      <c r="T1158" s="33"/>
      <c r="U1158" s="33"/>
      <c r="V1158" s="33"/>
      <c r="W1158" s="33"/>
      <c r="X1158" s="33"/>
      <c r="Y1158" s="33"/>
      <c r="Z1158" s="33"/>
      <c r="AA1158" s="33"/>
      <c r="AB1158" s="33"/>
      <c r="AC1158" s="33"/>
      <c r="AD1158" s="33"/>
      <c r="AE1158" s="33"/>
      <c r="AF1158" s="33"/>
      <c r="AG1158" s="33"/>
      <c r="AH1158" s="33"/>
      <c r="AI1158" s="33"/>
      <c r="AJ1158" s="33"/>
      <c r="AK1158" s="216"/>
      <c r="AL1158" s="33"/>
      <c r="AM1158" s="33"/>
      <c r="AN1158" s="33"/>
      <c r="AO1158" s="33"/>
      <c r="AP1158" s="33"/>
    </row>
    <row r="1159" spans="1:42" ht="15.75" customHeight="1">
      <c r="A1159" s="33"/>
      <c r="B1159" s="33"/>
      <c r="C1159" s="33"/>
      <c r="D1159" s="33"/>
      <c r="E1159" s="33"/>
      <c r="F1159" s="199"/>
      <c r="G1159" s="33"/>
      <c r="H1159" s="33"/>
      <c r="I1159" s="33"/>
      <c r="J1159" s="33"/>
      <c r="K1159" s="33"/>
      <c r="L1159" s="33"/>
      <c r="M1159" s="33"/>
      <c r="N1159" s="33"/>
      <c r="O1159" s="33"/>
      <c r="P1159" s="33"/>
      <c r="Q1159" s="33"/>
      <c r="R1159" s="33"/>
      <c r="S1159" s="33"/>
      <c r="T1159" s="33"/>
      <c r="U1159" s="33"/>
      <c r="V1159" s="33"/>
      <c r="W1159" s="33"/>
      <c r="X1159" s="33"/>
      <c r="Y1159" s="33"/>
      <c r="Z1159" s="33"/>
      <c r="AA1159" s="33"/>
      <c r="AB1159" s="33"/>
      <c r="AC1159" s="33"/>
      <c r="AD1159" s="33"/>
      <c r="AE1159" s="33"/>
      <c r="AF1159" s="33"/>
      <c r="AG1159" s="33"/>
      <c r="AH1159" s="33"/>
      <c r="AI1159" s="33"/>
      <c r="AJ1159" s="33"/>
      <c r="AK1159" s="216"/>
      <c r="AL1159" s="33"/>
      <c r="AM1159" s="33"/>
      <c r="AN1159" s="33"/>
      <c r="AO1159" s="33"/>
      <c r="AP1159" s="33"/>
    </row>
    <row r="1160" spans="1:42" ht="15.75" customHeight="1">
      <c r="A1160" s="33"/>
      <c r="B1160" s="33"/>
      <c r="C1160" s="33"/>
      <c r="D1160" s="33"/>
      <c r="E1160" s="33"/>
      <c r="F1160" s="199"/>
      <c r="G1160" s="33"/>
      <c r="H1160" s="33"/>
      <c r="I1160" s="33"/>
      <c r="J1160" s="33"/>
      <c r="K1160" s="33"/>
      <c r="L1160" s="33"/>
      <c r="M1160" s="33"/>
      <c r="N1160" s="33"/>
      <c r="O1160" s="33"/>
      <c r="P1160" s="33"/>
      <c r="Q1160" s="33"/>
      <c r="R1160" s="33"/>
      <c r="S1160" s="33"/>
      <c r="T1160" s="33"/>
      <c r="U1160" s="33"/>
      <c r="V1160" s="33"/>
      <c r="W1160" s="33"/>
      <c r="X1160" s="33"/>
      <c r="Y1160" s="33"/>
      <c r="Z1160" s="33"/>
      <c r="AA1160" s="33"/>
      <c r="AB1160" s="33"/>
      <c r="AC1160" s="33"/>
      <c r="AD1160" s="33"/>
      <c r="AE1160" s="33"/>
      <c r="AF1160" s="33"/>
      <c r="AG1160" s="33"/>
      <c r="AH1160" s="33"/>
      <c r="AI1160" s="33"/>
      <c r="AJ1160" s="33"/>
      <c r="AK1160" s="216"/>
      <c r="AL1160" s="33"/>
      <c r="AM1160" s="33"/>
      <c r="AN1160" s="33"/>
      <c r="AO1160" s="33"/>
      <c r="AP1160" s="33"/>
    </row>
    <row r="1161" spans="1:42" ht="15.75" customHeight="1">
      <c r="A1161" s="33"/>
      <c r="B1161" s="33"/>
      <c r="C1161" s="33"/>
      <c r="D1161" s="33"/>
      <c r="E1161" s="33"/>
      <c r="F1161" s="199"/>
      <c r="G1161" s="33"/>
      <c r="H1161" s="33"/>
      <c r="I1161" s="33"/>
      <c r="J1161" s="33"/>
      <c r="K1161" s="33"/>
      <c r="L1161" s="33"/>
      <c r="M1161" s="33"/>
      <c r="N1161" s="33"/>
      <c r="O1161" s="33"/>
      <c r="P1161" s="33"/>
      <c r="Q1161" s="33"/>
      <c r="R1161" s="33"/>
      <c r="S1161" s="33"/>
      <c r="T1161" s="33"/>
      <c r="U1161" s="33"/>
      <c r="V1161" s="33"/>
      <c r="W1161" s="33"/>
      <c r="X1161" s="33"/>
      <c r="Y1161" s="33"/>
      <c r="Z1161" s="33"/>
      <c r="AA1161" s="33"/>
      <c r="AB1161" s="33"/>
      <c r="AC1161" s="33"/>
      <c r="AD1161" s="33"/>
      <c r="AE1161" s="33"/>
      <c r="AF1161" s="33"/>
      <c r="AG1161" s="33"/>
      <c r="AH1161" s="33"/>
      <c r="AI1161" s="33"/>
      <c r="AJ1161" s="33"/>
      <c r="AK1161" s="216"/>
      <c r="AL1161" s="33"/>
      <c r="AM1161" s="33"/>
      <c r="AN1161" s="33"/>
      <c r="AO1161" s="33"/>
      <c r="AP1161" s="33"/>
    </row>
    <row r="1162" spans="1:42" ht="15.75" customHeight="1">
      <c r="A1162" s="33"/>
      <c r="B1162" s="33"/>
      <c r="C1162" s="33"/>
      <c r="D1162" s="33"/>
      <c r="E1162" s="33"/>
      <c r="F1162" s="199"/>
      <c r="G1162" s="33"/>
      <c r="H1162" s="33"/>
      <c r="I1162" s="33"/>
      <c r="J1162" s="33"/>
      <c r="K1162" s="33"/>
      <c r="L1162" s="33"/>
      <c r="M1162" s="33"/>
      <c r="N1162" s="33"/>
      <c r="O1162" s="33"/>
      <c r="P1162" s="33"/>
      <c r="Q1162" s="33"/>
      <c r="R1162" s="33"/>
      <c r="S1162" s="33"/>
      <c r="T1162" s="33"/>
      <c r="U1162" s="33"/>
      <c r="V1162" s="33"/>
      <c r="W1162" s="33"/>
      <c r="X1162" s="33"/>
      <c r="Y1162" s="33"/>
      <c r="Z1162" s="33"/>
      <c r="AA1162" s="33"/>
      <c r="AB1162" s="33"/>
      <c r="AC1162" s="33"/>
      <c r="AD1162" s="33"/>
      <c r="AE1162" s="33"/>
      <c r="AF1162" s="33"/>
      <c r="AG1162" s="33"/>
      <c r="AH1162" s="33"/>
      <c r="AI1162" s="33"/>
      <c r="AJ1162" s="33"/>
      <c r="AK1162" s="216"/>
      <c r="AL1162" s="33"/>
      <c r="AM1162" s="33"/>
      <c r="AN1162" s="33"/>
      <c r="AO1162" s="33"/>
      <c r="AP1162" s="33"/>
    </row>
    <row r="1163" spans="1:42" ht="15.75" customHeight="1">
      <c r="A1163" s="33"/>
      <c r="B1163" s="33"/>
      <c r="C1163" s="33"/>
      <c r="D1163" s="33"/>
      <c r="E1163" s="33"/>
      <c r="F1163" s="199"/>
      <c r="G1163" s="33"/>
      <c r="H1163" s="33"/>
      <c r="I1163" s="33"/>
      <c r="J1163" s="33"/>
      <c r="K1163" s="33"/>
      <c r="L1163" s="33"/>
      <c r="M1163" s="33"/>
      <c r="N1163" s="33"/>
      <c r="O1163" s="33"/>
      <c r="P1163" s="33"/>
      <c r="Q1163" s="33"/>
      <c r="R1163" s="33"/>
      <c r="S1163" s="33"/>
      <c r="T1163" s="33"/>
      <c r="U1163" s="33"/>
      <c r="V1163" s="33"/>
      <c r="W1163" s="33"/>
      <c r="X1163" s="33"/>
      <c r="Y1163" s="33"/>
      <c r="Z1163" s="33"/>
      <c r="AA1163" s="33"/>
      <c r="AB1163" s="33"/>
      <c r="AC1163" s="33"/>
      <c r="AD1163" s="33"/>
      <c r="AE1163" s="33"/>
      <c r="AF1163" s="33"/>
      <c r="AG1163" s="33"/>
      <c r="AH1163" s="33"/>
      <c r="AI1163" s="33"/>
      <c r="AJ1163" s="33"/>
      <c r="AK1163" s="216"/>
      <c r="AL1163" s="33"/>
      <c r="AM1163" s="33"/>
      <c r="AN1163" s="33"/>
      <c r="AO1163" s="33"/>
      <c r="AP1163" s="33"/>
    </row>
    <row r="1164" spans="1:42" ht="15.75" customHeight="1">
      <c r="A1164" s="33"/>
      <c r="B1164" s="33"/>
      <c r="C1164" s="33"/>
      <c r="D1164" s="33"/>
      <c r="E1164" s="33"/>
      <c r="F1164" s="199"/>
      <c r="G1164" s="33"/>
      <c r="H1164" s="33"/>
      <c r="I1164" s="33"/>
      <c r="J1164" s="33"/>
      <c r="K1164" s="33"/>
      <c r="L1164" s="33"/>
      <c r="M1164" s="33"/>
      <c r="N1164" s="33"/>
      <c r="O1164" s="33"/>
      <c r="P1164" s="33"/>
      <c r="Q1164" s="33"/>
      <c r="R1164" s="33"/>
      <c r="S1164" s="33"/>
      <c r="T1164" s="33"/>
      <c r="U1164" s="33"/>
      <c r="V1164" s="33"/>
      <c r="W1164" s="33"/>
      <c r="X1164" s="33"/>
      <c r="Y1164" s="33"/>
      <c r="Z1164" s="33"/>
      <c r="AA1164" s="33"/>
      <c r="AB1164" s="33"/>
      <c r="AC1164" s="33"/>
      <c r="AD1164" s="33"/>
      <c r="AE1164" s="33"/>
      <c r="AF1164" s="33"/>
      <c r="AG1164" s="33"/>
      <c r="AH1164" s="33"/>
      <c r="AI1164" s="33"/>
      <c r="AJ1164" s="33"/>
      <c r="AK1164" s="216"/>
      <c r="AL1164" s="33"/>
      <c r="AM1164" s="33"/>
      <c r="AN1164" s="33"/>
      <c r="AO1164" s="33"/>
      <c r="AP1164" s="33"/>
    </row>
    <row r="1165" spans="1:42" ht="15.75" customHeight="1">
      <c r="A1165" s="33"/>
      <c r="B1165" s="33"/>
      <c r="C1165" s="33"/>
      <c r="D1165" s="33"/>
      <c r="E1165" s="33"/>
      <c r="F1165" s="199"/>
      <c r="G1165" s="33"/>
      <c r="H1165" s="33"/>
      <c r="I1165" s="33"/>
      <c r="J1165" s="33"/>
      <c r="K1165" s="33"/>
      <c r="L1165" s="33"/>
      <c r="M1165" s="33"/>
      <c r="N1165" s="33"/>
      <c r="O1165" s="33"/>
      <c r="P1165" s="33"/>
      <c r="Q1165" s="33"/>
      <c r="R1165" s="33"/>
      <c r="S1165" s="33"/>
      <c r="T1165" s="33"/>
      <c r="U1165" s="33"/>
      <c r="V1165" s="33"/>
      <c r="W1165" s="33"/>
      <c r="X1165" s="33"/>
      <c r="Y1165" s="33"/>
      <c r="Z1165" s="33"/>
      <c r="AA1165" s="33"/>
      <c r="AB1165" s="33"/>
      <c r="AC1165" s="33"/>
      <c r="AD1165" s="33"/>
      <c r="AE1165" s="33"/>
      <c r="AF1165" s="33"/>
      <c r="AG1165" s="33"/>
      <c r="AH1165" s="33"/>
      <c r="AI1165" s="33"/>
      <c r="AJ1165" s="33"/>
      <c r="AK1165" s="216"/>
      <c r="AL1165" s="33"/>
      <c r="AM1165" s="33"/>
      <c r="AN1165" s="33"/>
      <c r="AO1165" s="33"/>
      <c r="AP1165" s="33"/>
    </row>
    <row r="1166" spans="1:42" ht="15.75" customHeight="1">
      <c r="A1166" s="33"/>
      <c r="B1166" s="33"/>
      <c r="C1166" s="33"/>
      <c r="D1166" s="33"/>
      <c r="E1166" s="33"/>
      <c r="F1166" s="199"/>
      <c r="G1166" s="33"/>
      <c r="H1166" s="33"/>
      <c r="I1166" s="33"/>
      <c r="J1166" s="33"/>
      <c r="K1166" s="33"/>
      <c r="L1166" s="33"/>
      <c r="M1166" s="33"/>
      <c r="N1166" s="33"/>
      <c r="O1166" s="33"/>
      <c r="P1166" s="33"/>
      <c r="Q1166" s="33"/>
      <c r="R1166" s="33"/>
      <c r="S1166" s="33"/>
      <c r="T1166" s="33"/>
      <c r="U1166" s="33"/>
      <c r="V1166" s="33"/>
      <c r="W1166" s="33"/>
      <c r="X1166" s="33"/>
      <c r="Y1166" s="33"/>
      <c r="Z1166" s="33"/>
      <c r="AA1166" s="33"/>
      <c r="AB1166" s="33"/>
      <c r="AC1166" s="33"/>
      <c r="AD1166" s="33"/>
      <c r="AE1166" s="33"/>
      <c r="AF1166" s="33"/>
      <c r="AG1166" s="33"/>
      <c r="AH1166" s="33"/>
      <c r="AI1166" s="33"/>
      <c r="AJ1166" s="33"/>
      <c r="AK1166" s="216"/>
      <c r="AL1166" s="33"/>
      <c r="AM1166" s="33"/>
      <c r="AN1166" s="33"/>
      <c r="AO1166" s="33"/>
      <c r="AP1166" s="33"/>
    </row>
    <row r="1167" spans="1:42" ht="15.75" customHeight="1">
      <c r="A1167" s="33"/>
      <c r="B1167" s="33"/>
      <c r="C1167" s="33"/>
      <c r="D1167" s="33"/>
      <c r="E1167" s="33"/>
      <c r="F1167" s="199"/>
      <c r="G1167" s="33"/>
      <c r="H1167" s="33"/>
      <c r="I1167" s="33"/>
      <c r="J1167" s="33"/>
      <c r="K1167" s="33"/>
      <c r="L1167" s="33"/>
      <c r="M1167" s="33"/>
      <c r="N1167" s="33"/>
      <c r="O1167" s="33"/>
      <c r="P1167" s="33"/>
      <c r="Q1167" s="33"/>
      <c r="R1167" s="33"/>
      <c r="S1167" s="33"/>
      <c r="T1167" s="33"/>
      <c r="U1167" s="33"/>
      <c r="V1167" s="33"/>
      <c r="W1167" s="33"/>
      <c r="X1167" s="33"/>
      <c r="Y1167" s="33"/>
      <c r="Z1167" s="33"/>
      <c r="AA1167" s="33"/>
      <c r="AB1167" s="33"/>
      <c r="AC1167" s="33"/>
      <c r="AD1167" s="33"/>
      <c r="AE1167" s="33"/>
      <c r="AF1167" s="33"/>
      <c r="AG1167" s="33"/>
      <c r="AH1167" s="33"/>
      <c r="AI1167" s="33"/>
      <c r="AJ1167" s="33"/>
      <c r="AK1167" s="216"/>
      <c r="AL1167" s="33"/>
      <c r="AM1167" s="33"/>
      <c r="AN1167" s="33"/>
      <c r="AO1167" s="33"/>
      <c r="AP1167" s="33"/>
    </row>
    <row r="1168" spans="1:42" ht="15.75" customHeight="1">
      <c r="A1168" s="33"/>
      <c r="B1168" s="33"/>
      <c r="C1168" s="33"/>
      <c r="D1168" s="33"/>
      <c r="E1168" s="33"/>
      <c r="F1168" s="199"/>
      <c r="G1168" s="33"/>
      <c r="H1168" s="33"/>
      <c r="I1168" s="33"/>
      <c r="J1168" s="33"/>
      <c r="K1168" s="33"/>
      <c r="L1168" s="33"/>
      <c r="M1168" s="33"/>
      <c r="N1168" s="33"/>
      <c r="O1168" s="33"/>
      <c r="P1168" s="33"/>
      <c r="Q1168" s="33"/>
      <c r="R1168" s="33"/>
      <c r="S1168" s="33"/>
      <c r="T1168" s="33"/>
      <c r="U1168" s="33"/>
      <c r="V1168" s="33"/>
      <c r="W1168" s="33"/>
      <c r="X1168" s="33"/>
      <c r="Y1168" s="33"/>
      <c r="Z1168" s="33"/>
      <c r="AA1168" s="33"/>
      <c r="AB1168" s="33"/>
      <c r="AC1168" s="33"/>
      <c r="AD1168" s="33"/>
      <c r="AE1168" s="33"/>
      <c r="AF1168" s="33"/>
      <c r="AG1168" s="33"/>
      <c r="AH1168" s="33"/>
      <c r="AI1168" s="33"/>
      <c r="AJ1168" s="33"/>
      <c r="AK1168" s="216"/>
      <c r="AL1168" s="33"/>
      <c r="AM1168" s="33"/>
      <c r="AN1168" s="33"/>
      <c r="AO1168" s="33"/>
      <c r="AP1168" s="33"/>
    </row>
    <row r="1169" spans="1:42" ht="15.75" customHeight="1">
      <c r="A1169" s="33"/>
      <c r="B1169" s="33"/>
      <c r="C1169" s="33"/>
      <c r="D1169" s="33"/>
      <c r="E1169" s="33"/>
      <c r="F1169" s="199"/>
      <c r="G1169" s="33"/>
      <c r="H1169" s="33"/>
      <c r="I1169" s="33"/>
      <c r="J1169" s="33"/>
      <c r="K1169" s="33"/>
      <c r="L1169" s="33"/>
      <c r="M1169" s="33"/>
      <c r="N1169" s="33"/>
      <c r="O1169" s="33"/>
      <c r="P1169" s="33"/>
      <c r="Q1169" s="33"/>
      <c r="R1169" s="33"/>
      <c r="S1169" s="33"/>
      <c r="T1169" s="33"/>
      <c r="U1169" s="33"/>
      <c r="V1169" s="33"/>
      <c r="W1169" s="33"/>
      <c r="X1169" s="33"/>
      <c r="Y1169" s="33"/>
      <c r="Z1169" s="33"/>
      <c r="AA1169" s="33"/>
      <c r="AB1169" s="33"/>
      <c r="AC1169" s="33"/>
      <c r="AD1169" s="33"/>
      <c r="AE1169" s="33"/>
      <c r="AF1169" s="33"/>
      <c r="AG1169" s="33"/>
      <c r="AH1169" s="33"/>
      <c r="AI1169" s="33"/>
      <c r="AJ1169" s="33"/>
      <c r="AK1169" s="216"/>
      <c r="AL1169" s="33"/>
      <c r="AM1169" s="33"/>
      <c r="AN1169" s="33"/>
      <c r="AO1169" s="33"/>
      <c r="AP1169" s="33"/>
    </row>
    <row r="1170" spans="1:42" ht="15.75" customHeight="1">
      <c r="A1170" s="33"/>
      <c r="B1170" s="33"/>
      <c r="C1170" s="33"/>
      <c r="D1170" s="33"/>
      <c r="E1170" s="33"/>
      <c r="F1170" s="199"/>
      <c r="G1170" s="33"/>
      <c r="H1170" s="33"/>
      <c r="I1170" s="33"/>
      <c r="J1170" s="33"/>
      <c r="K1170" s="33"/>
      <c r="L1170" s="33"/>
      <c r="M1170" s="33"/>
      <c r="N1170" s="33"/>
      <c r="O1170" s="33"/>
      <c r="P1170" s="33"/>
      <c r="Q1170" s="33"/>
      <c r="R1170" s="33"/>
      <c r="S1170" s="33"/>
      <c r="T1170" s="33"/>
      <c r="U1170" s="33"/>
      <c r="V1170" s="33"/>
      <c r="W1170" s="33"/>
      <c r="X1170" s="33"/>
      <c r="Y1170" s="33"/>
      <c r="Z1170" s="33"/>
      <c r="AA1170" s="33"/>
      <c r="AB1170" s="33"/>
      <c r="AC1170" s="33"/>
      <c r="AD1170" s="33"/>
      <c r="AE1170" s="33"/>
      <c r="AF1170" s="33"/>
      <c r="AG1170" s="33"/>
      <c r="AH1170" s="33"/>
      <c r="AI1170" s="33"/>
      <c r="AJ1170" s="33"/>
      <c r="AK1170" s="216"/>
      <c r="AL1170" s="33"/>
      <c r="AM1170" s="33"/>
      <c r="AN1170" s="33"/>
      <c r="AO1170" s="33"/>
      <c r="AP1170" s="33"/>
    </row>
    <row r="1171" spans="1:42" ht="15.75" customHeight="1">
      <c r="A1171" s="33"/>
      <c r="B1171" s="33"/>
      <c r="C1171" s="33"/>
      <c r="D1171" s="33"/>
      <c r="E1171" s="33"/>
      <c r="F1171" s="199"/>
      <c r="G1171" s="33"/>
      <c r="H1171" s="33"/>
      <c r="I1171" s="33"/>
      <c r="J1171" s="33"/>
      <c r="K1171" s="33"/>
      <c r="L1171" s="33"/>
      <c r="M1171" s="33"/>
      <c r="N1171" s="33"/>
      <c r="O1171" s="33"/>
      <c r="P1171" s="33"/>
      <c r="Q1171" s="33"/>
      <c r="R1171" s="33"/>
      <c r="S1171" s="33"/>
      <c r="T1171" s="33"/>
      <c r="U1171" s="33"/>
      <c r="V1171" s="33"/>
      <c r="W1171" s="33"/>
      <c r="X1171" s="33"/>
      <c r="Y1171" s="33"/>
      <c r="Z1171" s="33"/>
      <c r="AA1171" s="33"/>
      <c r="AB1171" s="33"/>
      <c r="AC1171" s="33"/>
      <c r="AD1171" s="33"/>
      <c r="AE1171" s="33"/>
      <c r="AF1171" s="33"/>
      <c r="AG1171" s="33"/>
      <c r="AH1171" s="33"/>
      <c r="AI1171" s="33"/>
      <c r="AJ1171" s="33"/>
      <c r="AK1171" s="216"/>
      <c r="AL1171" s="33"/>
      <c r="AM1171" s="33"/>
      <c r="AN1171" s="33"/>
      <c r="AO1171" s="33"/>
      <c r="AP1171" s="33"/>
    </row>
    <row r="1172" spans="1:42" ht="15.75" customHeight="1">
      <c r="A1172" s="33"/>
      <c r="B1172" s="33"/>
      <c r="C1172" s="33"/>
      <c r="D1172" s="33"/>
      <c r="E1172" s="33"/>
      <c r="F1172" s="199"/>
      <c r="G1172" s="33"/>
      <c r="H1172" s="33"/>
      <c r="I1172" s="33"/>
      <c r="J1172" s="33"/>
      <c r="K1172" s="33"/>
      <c r="L1172" s="33"/>
      <c r="M1172" s="33"/>
      <c r="N1172" s="33"/>
      <c r="O1172" s="33"/>
      <c r="P1172" s="33"/>
      <c r="Q1172" s="33"/>
      <c r="R1172" s="33"/>
      <c r="S1172" s="33"/>
      <c r="T1172" s="33"/>
      <c r="U1172" s="33"/>
      <c r="V1172" s="33"/>
      <c r="W1172" s="33"/>
      <c r="X1172" s="33"/>
      <c r="Y1172" s="33"/>
      <c r="Z1172" s="33"/>
      <c r="AA1172" s="33"/>
      <c r="AB1172" s="33"/>
      <c r="AC1172" s="33"/>
      <c r="AD1172" s="33"/>
      <c r="AE1172" s="33"/>
      <c r="AF1172" s="33"/>
      <c r="AG1172" s="33"/>
      <c r="AH1172" s="33"/>
      <c r="AI1172" s="33"/>
      <c r="AJ1172" s="33"/>
      <c r="AK1172" s="216"/>
      <c r="AL1172" s="33"/>
      <c r="AM1172" s="33"/>
      <c r="AN1172" s="33"/>
      <c r="AO1172" s="33"/>
      <c r="AP1172" s="33"/>
    </row>
    <row r="1173" spans="1:42" ht="15.75" customHeight="1">
      <c r="A1173" s="33"/>
      <c r="B1173" s="33"/>
      <c r="C1173" s="33"/>
      <c r="D1173" s="33"/>
      <c r="E1173" s="33"/>
      <c r="F1173" s="199"/>
      <c r="G1173" s="33"/>
      <c r="H1173" s="33"/>
      <c r="I1173" s="33"/>
      <c r="J1173" s="33"/>
      <c r="K1173" s="33"/>
      <c r="L1173" s="33"/>
      <c r="M1173" s="33"/>
      <c r="N1173" s="33"/>
      <c r="O1173" s="33"/>
      <c r="P1173" s="33"/>
      <c r="Q1173" s="33"/>
      <c r="R1173" s="33"/>
      <c r="S1173" s="33"/>
      <c r="T1173" s="33"/>
      <c r="U1173" s="33"/>
      <c r="V1173" s="33"/>
      <c r="W1173" s="33"/>
      <c r="X1173" s="33"/>
      <c r="Y1173" s="33"/>
      <c r="Z1173" s="33"/>
      <c r="AA1173" s="33"/>
      <c r="AB1173" s="33"/>
      <c r="AC1173" s="33"/>
      <c r="AD1173" s="33"/>
      <c r="AE1173" s="33"/>
      <c r="AF1173" s="33"/>
      <c r="AG1173" s="33"/>
      <c r="AH1173" s="33"/>
      <c r="AI1173" s="33"/>
      <c r="AJ1173" s="33"/>
      <c r="AK1173" s="216"/>
      <c r="AL1173" s="33"/>
      <c r="AM1173" s="33"/>
      <c r="AN1173" s="33"/>
      <c r="AO1173" s="33"/>
      <c r="AP1173" s="33"/>
    </row>
    <row r="1174" spans="1:42" ht="15.75" customHeight="1">
      <c r="A1174" s="33"/>
      <c r="B1174" s="33"/>
      <c r="C1174" s="33"/>
      <c r="D1174" s="33"/>
      <c r="E1174" s="33"/>
      <c r="F1174" s="199"/>
      <c r="G1174" s="33"/>
      <c r="H1174" s="33"/>
      <c r="I1174" s="33"/>
      <c r="J1174" s="33"/>
      <c r="K1174" s="33"/>
      <c r="L1174" s="33"/>
      <c r="M1174" s="33"/>
      <c r="N1174" s="33"/>
      <c r="O1174" s="33"/>
      <c r="P1174" s="33"/>
      <c r="Q1174" s="33"/>
      <c r="R1174" s="33"/>
      <c r="S1174" s="33"/>
      <c r="T1174" s="33"/>
      <c r="U1174" s="33"/>
      <c r="V1174" s="33"/>
      <c r="W1174" s="33"/>
      <c r="X1174" s="33"/>
      <c r="Y1174" s="33"/>
      <c r="Z1174" s="33"/>
      <c r="AA1174" s="33"/>
      <c r="AB1174" s="33"/>
      <c r="AC1174" s="33"/>
      <c r="AD1174" s="33"/>
      <c r="AE1174" s="33"/>
      <c r="AF1174" s="33"/>
      <c r="AG1174" s="33"/>
      <c r="AH1174" s="33"/>
      <c r="AI1174" s="33"/>
      <c r="AJ1174" s="33"/>
      <c r="AK1174" s="216"/>
      <c r="AL1174" s="33"/>
      <c r="AM1174" s="33"/>
      <c r="AN1174" s="33"/>
      <c r="AO1174" s="33"/>
      <c r="AP1174" s="33"/>
    </row>
    <row r="1175" spans="1:42" ht="15.75" customHeight="1">
      <c r="A1175" s="33"/>
      <c r="B1175" s="33"/>
      <c r="C1175" s="33"/>
      <c r="D1175" s="33"/>
      <c r="E1175" s="33"/>
      <c r="F1175" s="199"/>
      <c r="G1175" s="33"/>
      <c r="H1175" s="33"/>
      <c r="I1175" s="33"/>
      <c r="J1175" s="33"/>
      <c r="K1175" s="33"/>
      <c r="L1175" s="33"/>
      <c r="M1175" s="33"/>
      <c r="N1175" s="33"/>
      <c r="O1175" s="33"/>
      <c r="P1175" s="33"/>
      <c r="Q1175" s="33"/>
      <c r="R1175" s="33"/>
      <c r="S1175" s="33"/>
      <c r="T1175" s="33"/>
      <c r="U1175" s="33"/>
      <c r="V1175" s="33"/>
      <c r="W1175" s="33"/>
      <c r="X1175" s="33"/>
      <c r="Y1175" s="33"/>
      <c r="Z1175" s="33"/>
      <c r="AA1175" s="33"/>
      <c r="AB1175" s="33"/>
      <c r="AC1175" s="33"/>
      <c r="AD1175" s="33"/>
      <c r="AE1175" s="33"/>
      <c r="AF1175" s="33"/>
      <c r="AG1175" s="33"/>
      <c r="AH1175" s="33"/>
      <c r="AI1175" s="33"/>
      <c r="AJ1175" s="33"/>
      <c r="AK1175" s="216"/>
      <c r="AL1175" s="33"/>
      <c r="AM1175" s="33"/>
      <c r="AN1175" s="33"/>
      <c r="AO1175" s="33"/>
      <c r="AP1175" s="33"/>
    </row>
    <row r="1176" spans="1:42" ht="15.75" customHeight="1">
      <c r="A1176" s="33"/>
      <c r="B1176" s="33"/>
      <c r="C1176" s="33"/>
      <c r="D1176" s="33"/>
      <c r="E1176" s="33"/>
      <c r="F1176" s="199"/>
      <c r="G1176" s="33"/>
      <c r="H1176" s="33"/>
      <c r="I1176" s="33"/>
      <c r="J1176" s="33"/>
      <c r="K1176" s="33"/>
      <c r="L1176" s="33"/>
      <c r="M1176" s="33"/>
      <c r="N1176" s="33"/>
      <c r="O1176" s="33"/>
      <c r="P1176" s="33"/>
      <c r="Q1176" s="33"/>
      <c r="R1176" s="33"/>
      <c r="S1176" s="33"/>
      <c r="T1176" s="33"/>
      <c r="U1176" s="33"/>
      <c r="V1176" s="33"/>
      <c r="W1176" s="33"/>
      <c r="X1176" s="33"/>
      <c r="Y1176" s="33"/>
      <c r="Z1176" s="33"/>
      <c r="AA1176" s="33"/>
      <c r="AB1176" s="33"/>
      <c r="AC1176" s="33"/>
      <c r="AD1176" s="33"/>
      <c r="AE1176" s="33"/>
      <c r="AF1176" s="33"/>
      <c r="AG1176" s="33"/>
      <c r="AH1176" s="33"/>
      <c r="AI1176" s="33"/>
      <c r="AJ1176" s="33"/>
      <c r="AK1176" s="216"/>
      <c r="AL1176" s="33"/>
      <c r="AM1176" s="33"/>
      <c r="AN1176" s="33"/>
      <c r="AO1176" s="33"/>
      <c r="AP1176" s="33"/>
    </row>
    <row r="1177" spans="1:42" ht="15.75" customHeight="1">
      <c r="A1177" s="33"/>
      <c r="B1177" s="33"/>
      <c r="C1177" s="33"/>
      <c r="D1177" s="33"/>
      <c r="E1177" s="33"/>
      <c r="F1177" s="199"/>
      <c r="G1177" s="33"/>
      <c r="H1177" s="33"/>
      <c r="I1177" s="33"/>
      <c r="J1177" s="33"/>
      <c r="K1177" s="33"/>
      <c r="L1177" s="33"/>
      <c r="M1177" s="33"/>
      <c r="N1177" s="33"/>
      <c r="O1177" s="33"/>
      <c r="P1177" s="33"/>
      <c r="Q1177" s="33"/>
      <c r="R1177" s="33"/>
      <c r="S1177" s="33"/>
      <c r="T1177" s="33"/>
      <c r="U1177" s="33"/>
      <c r="V1177" s="33"/>
      <c r="W1177" s="33"/>
      <c r="X1177" s="33"/>
      <c r="Y1177" s="33"/>
      <c r="Z1177" s="33"/>
      <c r="AA1177" s="33"/>
      <c r="AB1177" s="33"/>
      <c r="AC1177" s="33"/>
      <c r="AD1177" s="33"/>
      <c r="AE1177" s="33"/>
      <c r="AF1177" s="33"/>
      <c r="AG1177" s="33"/>
      <c r="AH1177" s="33"/>
      <c r="AI1177" s="33"/>
      <c r="AJ1177" s="33"/>
      <c r="AK1177" s="216"/>
      <c r="AL1177" s="33"/>
      <c r="AM1177" s="33"/>
      <c r="AN1177" s="33"/>
      <c r="AO1177" s="33"/>
      <c r="AP1177" s="33"/>
    </row>
    <row r="1178" spans="1:42" ht="15.75" customHeight="1">
      <c r="A1178" s="33"/>
      <c r="B1178" s="33"/>
      <c r="C1178" s="33"/>
      <c r="D1178" s="33"/>
      <c r="E1178" s="33"/>
      <c r="F1178" s="199"/>
      <c r="G1178" s="33"/>
      <c r="H1178" s="33"/>
      <c r="I1178" s="33"/>
      <c r="J1178" s="33"/>
      <c r="K1178" s="33"/>
      <c r="L1178" s="33"/>
      <c r="M1178" s="33"/>
      <c r="N1178" s="33"/>
      <c r="O1178" s="33"/>
      <c r="P1178" s="33"/>
      <c r="Q1178" s="33"/>
      <c r="R1178" s="33"/>
      <c r="S1178" s="33"/>
      <c r="T1178" s="33"/>
      <c r="U1178" s="33"/>
      <c r="V1178" s="33"/>
      <c r="W1178" s="33"/>
      <c r="X1178" s="33"/>
      <c r="Y1178" s="33"/>
      <c r="Z1178" s="33"/>
      <c r="AA1178" s="33"/>
      <c r="AB1178" s="33"/>
      <c r="AC1178" s="33"/>
      <c r="AD1178" s="33"/>
      <c r="AE1178" s="33"/>
      <c r="AF1178" s="33"/>
      <c r="AG1178" s="33"/>
      <c r="AH1178" s="33"/>
      <c r="AI1178" s="33"/>
      <c r="AJ1178" s="33"/>
      <c r="AK1178" s="216"/>
      <c r="AL1178" s="33"/>
      <c r="AM1178" s="33"/>
      <c r="AN1178" s="33"/>
      <c r="AO1178" s="33"/>
      <c r="AP1178" s="33"/>
    </row>
    <row r="1179" spans="1:42" ht="15.75" customHeight="1">
      <c r="A1179" s="33"/>
      <c r="B1179" s="33"/>
      <c r="C1179" s="33"/>
      <c r="D1179" s="33"/>
      <c r="E1179" s="33"/>
      <c r="F1179" s="199"/>
      <c r="G1179" s="33"/>
      <c r="H1179" s="33"/>
      <c r="I1179" s="33"/>
      <c r="J1179" s="33"/>
      <c r="K1179" s="33"/>
      <c r="L1179" s="33"/>
      <c r="M1179" s="33"/>
      <c r="N1179" s="33"/>
      <c r="O1179" s="33"/>
      <c r="P1179" s="33"/>
      <c r="Q1179" s="33"/>
      <c r="R1179" s="33"/>
      <c r="S1179" s="33"/>
      <c r="T1179" s="33"/>
      <c r="U1179" s="33"/>
      <c r="V1179" s="33"/>
      <c r="W1179" s="33"/>
      <c r="X1179" s="33"/>
      <c r="Y1179" s="33"/>
      <c r="Z1179" s="33"/>
      <c r="AA1179" s="33"/>
      <c r="AB1179" s="33"/>
      <c r="AC1179" s="33"/>
      <c r="AD1179" s="33"/>
      <c r="AE1179" s="33"/>
      <c r="AF1179" s="33"/>
      <c r="AG1179" s="33"/>
      <c r="AH1179" s="33"/>
      <c r="AI1179" s="33"/>
      <c r="AJ1179" s="33"/>
      <c r="AK1179" s="216"/>
      <c r="AL1179" s="33"/>
      <c r="AM1179" s="33"/>
      <c r="AN1179" s="33"/>
      <c r="AO1179" s="33"/>
      <c r="AP1179" s="33"/>
    </row>
    <row r="1180" spans="1:42" ht="15.75" customHeight="1">
      <c r="A1180" s="33"/>
      <c r="B1180" s="33"/>
      <c r="C1180" s="33"/>
      <c r="D1180" s="33"/>
      <c r="E1180" s="33"/>
      <c r="F1180" s="199"/>
      <c r="G1180" s="33"/>
      <c r="H1180" s="33"/>
      <c r="I1180" s="33"/>
      <c r="J1180" s="33"/>
      <c r="K1180" s="33"/>
      <c r="L1180" s="33"/>
      <c r="M1180" s="33"/>
      <c r="N1180" s="33"/>
      <c r="O1180" s="33"/>
      <c r="P1180" s="33"/>
      <c r="Q1180" s="33"/>
      <c r="R1180" s="33"/>
      <c r="S1180" s="33"/>
      <c r="T1180" s="33"/>
      <c r="U1180" s="33"/>
      <c r="V1180" s="33"/>
      <c r="W1180" s="33"/>
      <c r="X1180" s="33"/>
      <c r="Y1180" s="33"/>
      <c r="Z1180" s="33"/>
      <c r="AA1180" s="33"/>
      <c r="AB1180" s="33"/>
      <c r="AC1180" s="33"/>
      <c r="AD1180" s="33"/>
      <c r="AE1180" s="33"/>
      <c r="AF1180" s="33"/>
      <c r="AG1180" s="33"/>
      <c r="AH1180" s="33"/>
      <c r="AI1180" s="33"/>
      <c r="AJ1180" s="33"/>
      <c r="AK1180" s="216"/>
      <c r="AL1180" s="33"/>
      <c r="AM1180" s="33"/>
      <c r="AN1180" s="33"/>
      <c r="AO1180" s="33"/>
      <c r="AP1180" s="33"/>
    </row>
    <row r="1181" spans="1:42" ht="15.75" customHeight="1">
      <c r="A1181" s="33"/>
      <c r="B1181" s="33"/>
      <c r="C1181" s="33"/>
      <c r="D1181" s="33"/>
      <c r="E1181" s="33"/>
      <c r="F1181" s="199"/>
      <c r="G1181" s="33"/>
      <c r="H1181" s="33"/>
      <c r="I1181" s="33"/>
      <c r="J1181" s="33"/>
      <c r="K1181" s="33"/>
      <c r="L1181" s="33"/>
      <c r="M1181" s="33"/>
      <c r="N1181" s="33"/>
      <c r="O1181" s="33"/>
      <c r="P1181" s="33"/>
      <c r="Q1181" s="33"/>
      <c r="R1181" s="33"/>
      <c r="S1181" s="33"/>
      <c r="T1181" s="33"/>
      <c r="U1181" s="33"/>
      <c r="V1181" s="33"/>
      <c r="W1181" s="33"/>
      <c r="X1181" s="33"/>
      <c r="Y1181" s="33"/>
      <c r="Z1181" s="33"/>
      <c r="AA1181" s="33"/>
      <c r="AB1181" s="33"/>
      <c r="AC1181" s="33"/>
      <c r="AD1181" s="33"/>
      <c r="AE1181" s="33"/>
      <c r="AF1181" s="33"/>
      <c r="AG1181" s="33"/>
      <c r="AH1181" s="33"/>
      <c r="AI1181" s="33"/>
      <c r="AJ1181" s="33"/>
      <c r="AK1181" s="216"/>
      <c r="AL1181" s="33"/>
      <c r="AM1181" s="33"/>
      <c r="AN1181" s="33"/>
      <c r="AO1181" s="33"/>
      <c r="AP1181" s="33"/>
    </row>
    <row r="1182" spans="1:42" ht="15.75" customHeight="1">
      <c r="A1182" s="33"/>
      <c r="B1182" s="33"/>
      <c r="C1182" s="33"/>
      <c r="D1182" s="33"/>
      <c r="E1182" s="33"/>
      <c r="F1182" s="199"/>
      <c r="G1182" s="33"/>
      <c r="H1182" s="33"/>
      <c r="I1182" s="33"/>
      <c r="J1182" s="33"/>
      <c r="K1182" s="33"/>
      <c r="L1182" s="33"/>
      <c r="M1182" s="33"/>
      <c r="N1182" s="33"/>
      <c r="O1182" s="33"/>
      <c r="P1182" s="33"/>
      <c r="Q1182" s="33"/>
      <c r="R1182" s="33"/>
      <c r="S1182" s="33"/>
      <c r="T1182" s="33"/>
      <c r="U1182" s="33"/>
      <c r="V1182" s="33"/>
      <c r="W1182" s="33"/>
      <c r="X1182" s="33"/>
      <c r="Y1182" s="33"/>
      <c r="Z1182" s="33"/>
      <c r="AA1182" s="33"/>
      <c r="AB1182" s="33"/>
      <c r="AC1182" s="33"/>
      <c r="AD1182" s="33"/>
      <c r="AE1182" s="33"/>
      <c r="AF1182" s="33"/>
      <c r="AG1182" s="33"/>
      <c r="AH1182" s="33"/>
      <c r="AI1182" s="33"/>
      <c r="AJ1182" s="33"/>
      <c r="AK1182" s="216"/>
      <c r="AL1182" s="33"/>
      <c r="AM1182" s="33"/>
      <c r="AN1182" s="33"/>
      <c r="AO1182" s="33"/>
      <c r="AP1182" s="33"/>
    </row>
    <row r="1183" spans="1:42" ht="15.75" customHeight="1">
      <c r="A1183" s="33"/>
      <c r="B1183" s="33"/>
      <c r="C1183" s="33"/>
      <c r="D1183" s="33"/>
      <c r="E1183" s="33"/>
      <c r="F1183" s="199"/>
      <c r="G1183" s="33"/>
      <c r="H1183" s="33"/>
      <c r="I1183" s="33"/>
      <c r="J1183" s="33"/>
      <c r="K1183" s="33"/>
      <c r="L1183" s="33"/>
      <c r="M1183" s="33"/>
      <c r="N1183" s="33"/>
      <c r="O1183" s="33"/>
      <c r="P1183" s="33"/>
      <c r="Q1183" s="33"/>
      <c r="R1183" s="33"/>
      <c r="S1183" s="33"/>
      <c r="T1183" s="33"/>
      <c r="U1183" s="33"/>
      <c r="V1183" s="33"/>
      <c r="W1183" s="33"/>
      <c r="X1183" s="33"/>
      <c r="Y1183" s="33"/>
      <c r="Z1183" s="33"/>
      <c r="AA1183" s="33"/>
      <c r="AB1183" s="33"/>
      <c r="AC1183" s="33"/>
      <c r="AD1183" s="33"/>
      <c r="AE1183" s="33"/>
      <c r="AF1183" s="33"/>
      <c r="AG1183" s="33"/>
      <c r="AH1183" s="33"/>
      <c r="AI1183" s="33"/>
      <c r="AJ1183" s="33"/>
      <c r="AK1183" s="216"/>
      <c r="AL1183" s="33"/>
      <c r="AM1183" s="33"/>
      <c r="AN1183" s="33"/>
      <c r="AO1183" s="33"/>
      <c r="AP1183" s="33"/>
    </row>
    <row r="1184" spans="1:42" ht="15.75" customHeight="1">
      <c r="A1184" s="33"/>
      <c r="B1184" s="33"/>
      <c r="C1184" s="33"/>
      <c r="D1184" s="33"/>
      <c r="E1184" s="33"/>
      <c r="F1184" s="199"/>
      <c r="G1184" s="33"/>
      <c r="H1184" s="33"/>
      <c r="I1184" s="33"/>
      <c r="J1184" s="33"/>
      <c r="K1184" s="33"/>
      <c r="L1184" s="33"/>
      <c r="M1184" s="33"/>
      <c r="N1184" s="33"/>
      <c r="O1184" s="33"/>
      <c r="P1184" s="33"/>
      <c r="Q1184" s="33"/>
      <c r="R1184" s="33"/>
      <c r="S1184" s="33"/>
      <c r="T1184" s="33"/>
      <c r="U1184" s="33"/>
      <c r="V1184" s="33"/>
      <c r="W1184" s="33"/>
      <c r="X1184" s="33"/>
      <c r="Y1184" s="33"/>
      <c r="Z1184" s="33"/>
      <c r="AA1184" s="33"/>
      <c r="AB1184" s="33"/>
      <c r="AC1184" s="33"/>
      <c r="AD1184" s="33"/>
      <c r="AE1184" s="33"/>
      <c r="AF1184" s="33"/>
      <c r="AG1184" s="33"/>
      <c r="AH1184" s="33"/>
      <c r="AI1184" s="33"/>
      <c r="AJ1184" s="33"/>
      <c r="AK1184" s="216"/>
      <c r="AL1184" s="33"/>
      <c r="AM1184" s="33"/>
      <c r="AN1184" s="33"/>
      <c r="AO1184" s="33"/>
      <c r="AP1184" s="33"/>
    </row>
    <row r="1185" spans="1:42" ht="15.75" customHeight="1">
      <c r="A1185" s="33"/>
      <c r="B1185" s="33"/>
      <c r="C1185" s="33"/>
      <c r="D1185" s="33"/>
      <c r="E1185" s="33"/>
      <c r="F1185" s="199"/>
      <c r="G1185" s="33"/>
      <c r="H1185" s="33"/>
      <c r="I1185" s="33"/>
      <c r="J1185" s="33"/>
      <c r="K1185" s="33"/>
      <c r="L1185" s="33"/>
      <c r="M1185" s="33"/>
      <c r="N1185" s="33"/>
      <c r="O1185" s="33"/>
      <c r="P1185" s="33"/>
      <c r="Q1185" s="33"/>
      <c r="R1185" s="33"/>
      <c r="S1185" s="33"/>
      <c r="T1185" s="33"/>
      <c r="U1185" s="33"/>
      <c r="V1185" s="33"/>
      <c r="W1185" s="33"/>
      <c r="X1185" s="33"/>
      <c r="Y1185" s="33"/>
      <c r="Z1185" s="33"/>
      <c r="AA1185" s="33"/>
      <c r="AB1185" s="33"/>
      <c r="AC1185" s="33"/>
      <c r="AD1185" s="33"/>
      <c r="AE1185" s="33"/>
      <c r="AF1185" s="33"/>
      <c r="AG1185" s="33"/>
      <c r="AH1185" s="33"/>
      <c r="AI1185" s="33"/>
      <c r="AJ1185" s="33"/>
      <c r="AK1185" s="216"/>
      <c r="AL1185" s="33"/>
      <c r="AM1185" s="33"/>
      <c r="AN1185" s="33"/>
      <c r="AO1185" s="33"/>
      <c r="AP1185" s="33"/>
    </row>
    <row r="1186" spans="1:42" ht="15.75" customHeight="1">
      <c r="A1186" s="33"/>
      <c r="B1186" s="33"/>
      <c r="C1186" s="33"/>
      <c r="D1186" s="33"/>
      <c r="E1186" s="33"/>
      <c r="F1186" s="199"/>
      <c r="G1186" s="33"/>
      <c r="H1186" s="33"/>
      <c r="I1186" s="33"/>
      <c r="J1186" s="33"/>
      <c r="K1186" s="33"/>
      <c r="L1186" s="33"/>
      <c r="M1186" s="33"/>
      <c r="N1186" s="33"/>
      <c r="O1186" s="33"/>
      <c r="P1186" s="33"/>
      <c r="Q1186" s="33"/>
      <c r="R1186" s="33"/>
      <c r="S1186" s="33"/>
      <c r="T1186" s="33"/>
      <c r="U1186" s="33"/>
      <c r="V1186" s="33"/>
      <c r="W1186" s="33"/>
      <c r="X1186" s="33"/>
      <c r="Y1186" s="33"/>
      <c r="Z1186" s="33"/>
      <c r="AA1186" s="33"/>
      <c r="AB1186" s="33"/>
      <c r="AC1186" s="33"/>
      <c r="AD1186" s="33"/>
      <c r="AE1186" s="33"/>
      <c r="AF1186" s="33"/>
      <c r="AG1186" s="33"/>
      <c r="AH1186" s="33"/>
      <c r="AI1186" s="33"/>
      <c r="AJ1186" s="33"/>
      <c r="AK1186" s="216"/>
      <c r="AL1186" s="33"/>
      <c r="AM1186" s="33"/>
      <c r="AN1186" s="33"/>
      <c r="AO1186" s="33"/>
      <c r="AP1186" s="33"/>
    </row>
    <row r="1187" spans="1:42" ht="15.75" customHeight="1">
      <c r="A1187" s="33"/>
      <c r="B1187" s="33"/>
      <c r="C1187" s="33"/>
      <c r="D1187" s="33"/>
      <c r="E1187" s="33"/>
      <c r="F1187" s="199"/>
      <c r="G1187" s="33"/>
      <c r="H1187" s="33"/>
      <c r="I1187" s="33"/>
      <c r="J1187" s="33"/>
      <c r="K1187" s="33"/>
      <c r="L1187" s="33"/>
      <c r="M1187" s="33"/>
      <c r="N1187" s="33"/>
      <c r="O1187" s="33"/>
      <c r="P1187" s="33"/>
      <c r="Q1187" s="33"/>
      <c r="R1187" s="33"/>
      <c r="S1187" s="33"/>
      <c r="T1187" s="33"/>
      <c r="U1187" s="33"/>
      <c r="V1187" s="33"/>
      <c r="W1187" s="33"/>
      <c r="X1187" s="33"/>
      <c r="Y1187" s="33"/>
      <c r="Z1187" s="33"/>
      <c r="AA1187" s="33"/>
      <c r="AB1187" s="33"/>
      <c r="AC1187" s="33"/>
      <c r="AD1187" s="33"/>
      <c r="AE1187" s="33"/>
      <c r="AF1187" s="33"/>
      <c r="AG1187" s="33"/>
      <c r="AH1187" s="33"/>
      <c r="AI1187" s="33"/>
      <c r="AJ1187" s="33"/>
      <c r="AK1187" s="216"/>
      <c r="AL1187" s="33"/>
      <c r="AM1187" s="33"/>
      <c r="AN1187" s="33"/>
      <c r="AO1187" s="33"/>
      <c r="AP1187" s="33"/>
    </row>
    <row r="1188" spans="1:42" ht="15.75" customHeight="1">
      <c r="A1188" s="33"/>
      <c r="B1188" s="33"/>
      <c r="C1188" s="33"/>
      <c r="D1188" s="33"/>
      <c r="E1188" s="33"/>
      <c r="F1188" s="199"/>
      <c r="G1188" s="33"/>
      <c r="H1188" s="33"/>
      <c r="I1188" s="33"/>
      <c r="J1188" s="33"/>
      <c r="K1188" s="33"/>
      <c r="L1188" s="33"/>
      <c r="M1188" s="33"/>
      <c r="N1188" s="33"/>
      <c r="O1188" s="33"/>
      <c r="P1188" s="33"/>
      <c r="Q1188" s="33"/>
      <c r="R1188" s="33"/>
      <c r="S1188" s="33"/>
      <c r="T1188" s="33"/>
      <c r="U1188" s="33"/>
      <c r="V1188" s="33"/>
      <c r="W1188" s="33"/>
      <c r="X1188" s="33"/>
      <c r="Y1188" s="33"/>
      <c r="Z1188" s="33"/>
      <c r="AA1188" s="33"/>
      <c r="AB1188" s="33"/>
      <c r="AC1188" s="33"/>
      <c r="AD1188" s="33"/>
      <c r="AE1188" s="33"/>
      <c r="AF1188" s="33"/>
      <c r="AG1188" s="33"/>
      <c r="AH1188" s="33"/>
      <c r="AI1188" s="33"/>
      <c r="AJ1188" s="33"/>
      <c r="AK1188" s="216"/>
      <c r="AL1188" s="33"/>
      <c r="AM1188" s="33"/>
      <c r="AN1188" s="33"/>
      <c r="AO1188" s="33"/>
      <c r="AP1188" s="33"/>
    </row>
    <row r="1189" spans="1:42" ht="15.75" customHeight="1">
      <c r="A1189" s="33"/>
      <c r="B1189" s="33"/>
      <c r="C1189" s="33"/>
      <c r="D1189" s="33"/>
      <c r="E1189" s="33"/>
      <c r="F1189" s="199"/>
      <c r="G1189" s="33"/>
      <c r="H1189" s="33"/>
      <c r="I1189" s="33"/>
      <c r="J1189" s="33"/>
      <c r="K1189" s="33"/>
      <c r="L1189" s="33"/>
      <c r="M1189" s="33"/>
      <c r="N1189" s="33"/>
      <c r="O1189" s="33"/>
      <c r="P1189" s="33"/>
      <c r="Q1189" s="33"/>
      <c r="R1189" s="33"/>
      <c r="S1189" s="33"/>
      <c r="T1189" s="33"/>
      <c r="U1189" s="33"/>
      <c r="V1189" s="33"/>
      <c r="W1189" s="33"/>
      <c r="X1189" s="33"/>
      <c r="Y1189" s="33"/>
      <c r="Z1189" s="33"/>
      <c r="AA1189" s="33"/>
      <c r="AB1189" s="33"/>
      <c r="AC1189" s="33"/>
      <c r="AD1189" s="33"/>
      <c r="AE1189" s="33"/>
      <c r="AF1189" s="33"/>
      <c r="AG1189" s="33"/>
      <c r="AH1189" s="33"/>
      <c r="AI1189" s="33"/>
      <c r="AJ1189" s="33"/>
      <c r="AK1189" s="216"/>
      <c r="AL1189" s="33"/>
      <c r="AM1189" s="33"/>
      <c r="AN1189" s="33"/>
      <c r="AO1189" s="33"/>
      <c r="AP1189" s="33"/>
    </row>
    <row r="1190" spans="1:42" ht="15.75" customHeight="1">
      <c r="A1190" s="33"/>
      <c r="B1190" s="33"/>
      <c r="C1190" s="33"/>
      <c r="D1190" s="33"/>
      <c r="E1190" s="33"/>
      <c r="F1190" s="199"/>
      <c r="G1190" s="33"/>
      <c r="H1190" s="33"/>
      <c r="I1190" s="33"/>
      <c r="J1190" s="33"/>
      <c r="K1190" s="33"/>
      <c r="L1190" s="33"/>
      <c r="M1190" s="33"/>
      <c r="N1190" s="33"/>
      <c r="O1190" s="33"/>
      <c r="P1190" s="33"/>
      <c r="Q1190" s="33"/>
      <c r="R1190" s="33"/>
      <c r="S1190" s="33"/>
      <c r="T1190" s="33"/>
      <c r="U1190" s="33"/>
      <c r="V1190" s="33"/>
      <c r="W1190" s="33"/>
      <c r="X1190" s="33"/>
      <c r="Y1190" s="33"/>
      <c r="Z1190" s="33"/>
      <c r="AA1190" s="33"/>
      <c r="AB1190" s="33"/>
      <c r="AC1190" s="33"/>
      <c r="AD1190" s="33"/>
      <c r="AE1190" s="33"/>
      <c r="AF1190" s="33"/>
      <c r="AG1190" s="33"/>
      <c r="AH1190" s="33"/>
      <c r="AI1190" s="33"/>
      <c r="AJ1190" s="33"/>
      <c r="AK1190" s="216"/>
      <c r="AL1190" s="33"/>
      <c r="AM1190" s="33"/>
      <c r="AN1190" s="33"/>
      <c r="AO1190" s="33"/>
      <c r="AP1190" s="33"/>
    </row>
    <row r="1191" spans="1:42" ht="15.75" customHeight="1">
      <c r="A1191" s="33"/>
      <c r="B1191" s="33"/>
      <c r="C1191" s="33"/>
      <c r="D1191" s="33"/>
      <c r="E1191" s="33"/>
      <c r="F1191" s="199"/>
      <c r="G1191" s="33"/>
      <c r="H1191" s="33"/>
      <c r="I1191" s="33"/>
      <c r="J1191" s="33"/>
      <c r="K1191" s="33"/>
      <c r="L1191" s="33"/>
      <c r="M1191" s="33"/>
      <c r="N1191" s="33"/>
      <c r="O1191" s="33"/>
      <c r="P1191" s="33"/>
      <c r="Q1191" s="33"/>
      <c r="R1191" s="33"/>
      <c r="S1191" s="33"/>
      <c r="T1191" s="33"/>
      <c r="U1191" s="33"/>
      <c r="V1191" s="33"/>
      <c r="W1191" s="33"/>
      <c r="X1191" s="33"/>
      <c r="Y1191" s="33"/>
      <c r="Z1191" s="33"/>
      <c r="AA1191" s="33"/>
      <c r="AB1191" s="33"/>
      <c r="AC1191" s="33"/>
      <c r="AD1191" s="33"/>
      <c r="AE1191" s="33"/>
      <c r="AF1191" s="33"/>
      <c r="AG1191" s="33"/>
      <c r="AH1191" s="33"/>
      <c r="AI1191" s="33"/>
      <c r="AJ1191" s="33"/>
      <c r="AK1191" s="216"/>
      <c r="AL1191" s="33"/>
      <c r="AM1191" s="33"/>
      <c r="AN1191" s="33"/>
      <c r="AO1191" s="33"/>
      <c r="AP1191" s="33"/>
    </row>
    <row r="1192" spans="1:42" ht="15.75" customHeight="1">
      <c r="A1192" s="33"/>
      <c r="B1192" s="33"/>
      <c r="C1192" s="33"/>
      <c r="D1192" s="33"/>
      <c r="E1192" s="33"/>
      <c r="F1192" s="199"/>
      <c r="G1192" s="33"/>
      <c r="H1192" s="33"/>
      <c r="I1192" s="33"/>
      <c r="J1192" s="33"/>
      <c r="K1192" s="33"/>
      <c r="L1192" s="33"/>
      <c r="M1192" s="33"/>
      <c r="N1192" s="33"/>
      <c r="O1192" s="33"/>
      <c r="P1192" s="33"/>
      <c r="Q1192" s="33"/>
      <c r="R1192" s="33"/>
      <c r="S1192" s="33"/>
      <c r="T1192" s="33"/>
      <c r="U1192" s="33"/>
      <c r="V1192" s="33"/>
      <c r="W1192" s="33"/>
      <c r="X1192" s="33"/>
      <c r="Y1192" s="33"/>
      <c r="Z1192" s="33"/>
      <c r="AA1192" s="33"/>
      <c r="AB1192" s="33"/>
      <c r="AC1192" s="33"/>
      <c r="AD1192" s="33"/>
      <c r="AE1192" s="33"/>
      <c r="AF1192" s="33"/>
      <c r="AG1192" s="33"/>
      <c r="AH1192" s="33"/>
      <c r="AI1192" s="33"/>
      <c r="AJ1192" s="33"/>
      <c r="AK1192" s="216"/>
      <c r="AL1192" s="33"/>
      <c r="AM1192" s="33"/>
      <c r="AN1192" s="33"/>
      <c r="AO1192" s="33"/>
      <c r="AP1192" s="33"/>
    </row>
    <row r="1193" spans="1:42" ht="15.75" customHeight="1">
      <c r="A1193" s="33"/>
      <c r="B1193" s="33"/>
      <c r="C1193" s="33"/>
      <c r="D1193" s="33"/>
      <c r="E1193" s="33"/>
      <c r="F1193" s="199"/>
      <c r="G1193" s="33"/>
      <c r="H1193" s="33"/>
      <c r="I1193" s="33"/>
      <c r="J1193" s="33"/>
      <c r="K1193" s="33"/>
      <c r="L1193" s="33"/>
      <c r="M1193" s="33"/>
      <c r="N1193" s="33"/>
      <c r="O1193" s="33"/>
      <c r="P1193" s="33"/>
      <c r="Q1193" s="33"/>
      <c r="R1193" s="33"/>
      <c r="S1193" s="33"/>
      <c r="T1193" s="33"/>
      <c r="U1193" s="33"/>
      <c r="V1193" s="33"/>
      <c r="W1193" s="33"/>
      <c r="X1193" s="33"/>
      <c r="Y1193" s="33"/>
      <c r="Z1193" s="33"/>
      <c r="AA1193" s="33"/>
      <c r="AB1193" s="33"/>
      <c r="AC1193" s="33"/>
      <c r="AD1193" s="33"/>
      <c r="AE1193" s="33"/>
      <c r="AF1193" s="33"/>
      <c r="AG1193" s="33"/>
      <c r="AH1193" s="33"/>
      <c r="AI1193" s="33"/>
      <c r="AJ1193" s="33"/>
      <c r="AK1193" s="216"/>
      <c r="AL1193" s="33"/>
      <c r="AM1193" s="33"/>
      <c r="AN1193" s="33"/>
      <c r="AO1193" s="33"/>
      <c r="AP1193" s="33"/>
    </row>
    <row r="1194" spans="1:42" ht="15.75" customHeight="1">
      <c r="A1194" s="33"/>
      <c r="B1194" s="33"/>
      <c r="C1194" s="33"/>
      <c r="D1194" s="33"/>
      <c r="E1194" s="33"/>
      <c r="F1194" s="199"/>
      <c r="G1194" s="33"/>
      <c r="H1194" s="33"/>
      <c r="I1194" s="33"/>
      <c r="J1194" s="33"/>
      <c r="K1194" s="33"/>
      <c r="L1194" s="33"/>
      <c r="M1194" s="33"/>
      <c r="N1194" s="33"/>
      <c r="O1194" s="33"/>
      <c r="P1194" s="33"/>
      <c r="Q1194" s="33"/>
      <c r="R1194" s="33"/>
      <c r="S1194" s="33"/>
      <c r="T1194" s="33"/>
      <c r="U1194" s="33"/>
      <c r="V1194" s="33"/>
      <c r="W1194" s="33"/>
      <c r="X1194" s="33"/>
      <c r="Y1194" s="33"/>
      <c r="Z1194" s="33"/>
      <c r="AA1194" s="33"/>
      <c r="AB1194" s="33"/>
      <c r="AC1194" s="33"/>
      <c r="AD1194" s="33"/>
      <c r="AE1194" s="33"/>
      <c r="AF1194" s="33"/>
      <c r="AG1194" s="33"/>
      <c r="AH1194" s="33"/>
      <c r="AI1194" s="33"/>
      <c r="AJ1194" s="33"/>
      <c r="AK1194" s="216"/>
      <c r="AL1194" s="33"/>
      <c r="AM1194" s="33"/>
      <c r="AN1194" s="33"/>
      <c r="AO1194" s="33"/>
      <c r="AP1194" s="33"/>
    </row>
    <row r="1195" spans="1:42" ht="15.75" customHeight="1">
      <c r="A1195" s="33"/>
      <c r="B1195" s="33"/>
      <c r="C1195" s="33"/>
      <c r="D1195" s="33"/>
      <c r="E1195" s="33"/>
      <c r="F1195" s="199"/>
      <c r="G1195" s="33"/>
      <c r="H1195" s="33"/>
      <c r="I1195" s="33"/>
      <c r="J1195" s="33"/>
      <c r="K1195" s="33"/>
      <c r="L1195" s="33"/>
      <c r="M1195" s="33"/>
      <c r="N1195" s="33"/>
      <c r="O1195" s="33"/>
      <c r="P1195" s="33"/>
      <c r="Q1195" s="33"/>
      <c r="R1195" s="33"/>
      <c r="S1195" s="33"/>
      <c r="T1195" s="33"/>
      <c r="U1195" s="33"/>
      <c r="V1195" s="33"/>
      <c r="W1195" s="33"/>
      <c r="X1195" s="33"/>
      <c r="Y1195" s="33"/>
      <c r="Z1195" s="33"/>
      <c r="AA1195" s="33"/>
      <c r="AB1195" s="33"/>
      <c r="AC1195" s="33"/>
      <c r="AD1195" s="33"/>
      <c r="AE1195" s="33"/>
      <c r="AF1195" s="33"/>
      <c r="AG1195" s="33"/>
      <c r="AH1195" s="33"/>
      <c r="AI1195" s="33"/>
      <c r="AJ1195" s="33"/>
      <c r="AK1195" s="216"/>
      <c r="AL1195" s="33"/>
      <c r="AM1195" s="33"/>
      <c r="AN1195" s="33"/>
      <c r="AO1195" s="33"/>
      <c r="AP1195" s="33"/>
    </row>
    <row r="1196" spans="1:42" ht="15.75" customHeight="1">
      <c r="A1196" s="33"/>
      <c r="B1196" s="33"/>
      <c r="C1196" s="33"/>
      <c r="D1196" s="33"/>
      <c r="E1196" s="33"/>
      <c r="F1196" s="199"/>
      <c r="G1196" s="33"/>
      <c r="H1196" s="33"/>
      <c r="I1196" s="33"/>
      <c r="J1196" s="33"/>
      <c r="K1196" s="33"/>
      <c r="L1196" s="33"/>
      <c r="M1196" s="33"/>
      <c r="N1196" s="33"/>
      <c r="O1196" s="33"/>
      <c r="P1196" s="33"/>
      <c r="Q1196" s="33"/>
      <c r="R1196" s="33"/>
      <c r="S1196" s="33"/>
      <c r="T1196" s="33"/>
      <c r="U1196" s="33"/>
      <c r="V1196" s="33"/>
      <c r="W1196" s="33"/>
      <c r="X1196" s="33"/>
      <c r="Y1196" s="33"/>
      <c r="Z1196" s="33"/>
      <c r="AA1196" s="33"/>
      <c r="AB1196" s="33"/>
      <c r="AC1196" s="33"/>
      <c r="AD1196" s="33"/>
      <c r="AE1196" s="33"/>
      <c r="AF1196" s="33"/>
      <c r="AG1196" s="33"/>
      <c r="AH1196" s="33"/>
      <c r="AI1196" s="33"/>
      <c r="AJ1196" s="33"/>
      <c r="AK1196" s="216"/>
      <c r="AL1196" s="33"/>
      <c r="AM1196" s="33"/>
      <c r="AN1196" s="33"/>
      <c r="AO1196" s="33"/>
      <c r="AP1196" s="33"/>
    </row>
    <row r="1197" spans="1:42" ht="15.75" customHeight="1">
      <c r="A1197" s="33"/>
      <c r="B1197" s="33"/>
      <c r="C1197" s="33"/>
      <c r="D1197" s="33"/>
      <c r="E1197" s="33"/>
      <c r="F1197" s="199"/>
      <c r="G1197" s="33"/>
      <c r="H1197" s="33"/>
      <c r="I1197" s="33"/>
      <c r="J1197" s="33"/>
      <c r="K1197" s="33"/>
      <c r="L1197" s="33"/>
      <c r="M1197" s="33"/>
      <c r="N1197" s="33"/>
      <c r="O1197" s="33"/>
      <c r="P1197" s="33"/>
      <c r="Q1197" s="33"/>
      <c r="R1197" s="33"/>
      <c r="S1197" s="33"/>
      <c r="T1197" s="33"/>
      <c r="U1197" s="33"/>
      <c r="V1197" s="33"/>
      <c r="W1197" s="33"/>
      <c r="X1197" s="33"/>
      <c r="Y1197" s="33"/>
      <c r="Z1197" s="33"/>
      <c r="AA1197" s="33"/>
      <c r="AB1197" s="33"/>
      <c r="AC1197" s="33"/>
      <c r="AD1197" s="33"/>
      <c r="AE1197" s="33"/>
      <c r="AF1197" s="33"/>
      <c r="AG1197" s="33"/>
      <c r="AH1197" s="33"/>
      <c r="AI1197" s="33"/>
      <c r="AJ1197" s="33"/>
      <c r="AK1197" s="216"/>
      <c r="AL1197" s="33"/>
      <c r="AM1197" s="33"/>
      <c r="AN1197" s="33"/>
      <c r="AO1197" s="33"/>
      <c r="AP1197" s="33"/>
    </row>
    <row r="1198" spans="1:42" ht="15.75" customHeight="1">
      <c r="A1198" s="33"/>
      <c r="B1198" s="33"/>
      <c r="C1198" s="33"/>
      <c r="D1198" s="33"/>
      <c r="E1198" s="33"/>
      <c r="F1198" s="199"/>
      <c r="G1198" s="33"/>
      <c r="H1198" s="33"/>
      <c r="I1198" s="33"/>
      <c r="J1198" s="33"/>
      <c r="K1198" s="33"/>
      <c r="L1198" s="33"/>
      <c r="M1198" s="33"/>
      <c r="N1198" s="33"/>
      <c r="O1198" s="33"/>
      <c r="P1198" s="33"/>
      <c r="Q1198" s="33"/>
      <c r="R1198" s="33"/>
      <c r="S1198" s="33"/>
      <c r="T1198" s="33"/>
      <c r="U1198" s="33"/>
      <c r="V1198" s="33"/>
      <c r="W1198" s="33"/>
      <c r="X1198" s="33"/>
      <c r="Y1198" s="33"/>
      <c r="Z1198" s="33"/>
      <c r="AA1198" s="33"/>
      <c r="AB1198" s="33"/>
      <c r="AC1198" s="33"/>
      <c r="AD1198" s="33"/>
      <c r="AE1198" s="33"/>
      <c r="AF1198" s="33"/>
      <c r="AG1198" s="33"/>
      <c r="AH1198" s="33"/>
      <c r="AI1198" s="33"/>
      <c r="AJ1198" s="33"/>
      <c r="AK1198" s="216"/>
      <c r="AL1198" s="33"/>
      <c r="AM1198" s="33"/>
      <c r="AN1198" s="33"/>
      <c r="AO1198" s="33"/>
      <c r="AP1198" s="33"/>
    </row>
    <row r="1199" spans="1:42" ht="15.75" customHeight="1">
      <c r="A1199" s="33"/>
      <c r="B1199" s="33"/>
      <c r="C1199" s="33"/>
      <c r="D1199" s="33"/>
      <c r="E1199" s="33"/>
      <c r="F1199" s="199"/>
      <c r="G1199" s="33"/>
      <c r="H1199" s="33"/>
      <c r="I1199" s="33"/>
      <c r="J1199" s="33"/>
      <c r="K1199" s="33"/>
      <c r="L1199" s="33"/>
      <c r="M1199" s="33"/>
      <c r="N1199" s="33"/>
      <c r="O1199" s="33"/>
      <c r="P1199" s="33"/>
      <c r="Q1199" s="33"/>
      <c r="R1199" s="33"/>
      <c r="S1199" s="33"/>
      <c r="T1199" s="33"/>
      <c r="U1199" s="33"/>
      <c r="V1199" s="33"/>
      <c r="W1199" s="33"/>
      <c r="X1199" s="33"/>
      <c r="Y1199" s="33"/>
      <c r="Z1199" s="33"/>
      <c r="AA1199" s="33"/>
      <c r="AB1199" s="33"/>
      <c r="AC1199" s="33"/>
      <c r="AD1199" s="33"/>
      <c r="AE1199" s="33"/>
      <c r="AF1199" s="33"/>
      <c r="AG1199" s="33"/>
      <c r="AH1199" s="33"/>
      <c r="AI1199" s="33"/>
      <c r="AJ1199" s="33"/>
      <c r="AK1199" s="216"/>
      <c r="AL1199" s="33"/>
      <c r="AM1199" s="33"/>
      <c r="AN1199" s="33"/>
      <c r="AO1199" s="33"/>
      <c r="AP1199" s="33"/>
    </row>
    <row r="1200" spans="1:42" ht="15.75" customHeight="1">
      <c r="A1200" s="33"/>
      <c r="B1200" s="33"/>
      <c r="C1200" s="33"/>
      <c r="D1200" s="33"/>
      <c r="E1200" s="33"/>
      <c r="F1200" s="199"/>
      <c r="G1200" s="33"/>
      <c r="H1200" s="33"/>
      <c r="I1200" s="33"/>
      <c r="J1200" s="33"/>
      <c r="K1200" s="33"/>
      <c r="L1200" s="33"/>
      <c r="M1200" s="33"/>
      <c r="N1200" s="33"/>
      <c r="O1200" s="33"/>
      <c r="P1200" s="33"/>
      <c r="Q1200" s="33"/>
      <c r="R1200" s="33"/>
      <c r="S1200" s="33"/>
      <c r="T1200" s="33"/>
      <c r="U1200" s="33"/>
      <c r="V1200" s="33"/>
      <c r="W1200" s="33"/>
      <c r="X1200" s="33"/>
      <c r="Y1200" s="33"/>
      <c r="Z1200" s="33"/>
      <c r="AA1200" s="33"/>
      <c r="AB1200" s="33"/>
      <c r="AC1200" s="33"/>
      <c r="AD1200" s="33"/>
      <c r="AE1200" s="33"/>
      <c r="AF1200" s="33"/>
      <c r="AG1200" s="33"/>
      <c r="AH1200" s="33"/>
      <c r="AI1200" s="33"/>
      <c r="AJ1200" s="33"/>
      <c r="AK1200" s="216"/>
      <c r="AL1200" s="33"/>
      <c r="AM1200" s="33"/>
      <c r="AN1200" s="33"/>
      <c r="AO1200" s="33"/>
      <c r="AP1200" s="33"/>
    </row>
    <row r="1201" spans="1:42" ht="15.75" customHeight="1">
      <c r="A1201" s="33"/>
      <c r="B1201" s="33"/>
      <c r="C1201" s="33"/>
      <c r="D1201" s="33"/>
      <c r="E1201" s="33"/>
      <c r="F1201" s="199"/>
      <c r="G1201" s="33"/>
      <c r="H1201" s="33"/>
      <c r="I1201" s="33"/>
      <c r="J1201" s="33"/>
      <c r="K1201" s="33"/>
      <c r="L1201" s="33"/>
      <c r="M1201" s="33"/>
      <c r="N1201" s="33"/>
      <c r="O1201" s="33"/>
      <c r="P1201" s="33"/>
      <c r="Q1201" s="33"/>
      <c r="R1201" s="33"/>
      <c r="S1201" s="33"/>
      <c r="T1201" s="33"/>
      <c r="U1201" s="33"/>
      <c r="V1201" s="33"/>
      <c r="W1201" s="33"/>
      <c r="X1201" s="33"/>
      <c r="Y1201" s="33"/>
      <c r="Z1201" s="33"/>
      <c r="AA1201" s="33"/>
      <c r="AB1201" s="33"/>
      <c r="AC1201" s="33"/>
      <c r="AD1201" s="33"/>
      <c r="AE1201" s="33"/>
      <c r="AF1201" s="33"/>
      <c r="AG1201" s="33"/>
      <c r="AH1201" s="33"/>
      <c r="AI1201" s="33"/>
      <c r="AJ1201" s="33"/>
      <c r="AK1201" s="216"/>
      <c r="AL1201" s="33"/>
      <c r="AM1201" s="33"/>
      <c r="AN1201" s="33"/>
      <c r="AO1201" s="33"/>
      <c r="AP1201" s="33"/>
    </row>
    <row r="1202" spans="1:42" ht="15.75" customHeight="1">
      <c r="A1202" s="33"/>
      <c r="B1202" s="33"/>
      <c r="C1202" s="33"/>
      <c r="D1202" s="33"/>
      <c r="E1202" s="33"/>
      <c r="F1202" s="199"/>
      <c r="G1202" s="33"/>
      <c r="H1202" s="33"/>
      <c r="I1202" s="33"/>
      <c r="J1202" s="33"/>
      <c r="K1202" s="33"/>
      <c r="L1202" s="33"/>
      <c r="M1202" s="33"/>
      <c r="N1202" s="33"/>
      <c r="O1202" s="33"/>
      <c r="P1202" s="33"/>
      <c r="Q1202" s="33"/>
      <c r="R1202" s="33"/>
      <c r="S1202" s="33"/>
      <c r="T1202" s="33"/>
      <c r="U1202" s="33"/>
      <c r="V1202" s="33"/>
      <c r="W1202" s="33"/>
      <c r="X1202" s="33"/>
      <c r="Y1202" s="33"/>
      <c r="Z1202" s="33"/>
      <c r="AA1202" s="33"/>
      <c r="AB1202" s="33"/>
      <c r="AC1202" s="33"/>
      <c r="AD1202" s="33"/>
      <c r="AE1202" s="33"/>
      <c r="AF1202" s="33"/>
      <c r="AG1202" s="33"/>
      <c r="AH1202" s="33"/>
      <c r="AI1202" s="33"/>
      <c r="AJ1202" s="33"/>
      <c r="AK1202" s="216"/>
      <c r="AL1202" s="33"/>
      <c r="AM1202" s="33"/>
      <c r="AN1202" s="33"/>
      <c r="AO1202" s="33"/>
      <c r="AP1202" s="33"/>
    </row>
    <row r="1203" spans="1:42" ht="15.75" customHeight="1">
      <c r="A1203" s="33"/>
      <c r="B1203" s="33"/>
      <c r="C1203" s="33"/>
      <c r="D1203" s="33"/>
      <c r="E1203" s="33"/>
      <c r="F1203" s="199"/>
      <c r="G1203" s="33"/>
      <c r="H1203" s="33"/>
      <c r="I1203" s="33"/>
      <c r="J1203" s="33"/>
      <c r="K1203" s="33"/>
      <c r="L1203" s="33"/>
      <c r="M1203" s="33"/>
      <c r="N1203" s="33"/>
      <c r="O1203" s="33"/>
      <c r="P1203" s="33"/>
      <c r="Q1203" s="33"/>
      <c r="R1203" s="33"/>
      <c r="S1203" s="33"/>
      <c r="T1203" s="33"/>
      <c r="U1203" s="33"/>
      <c r="V1203" s="33"/>
      <c r="W1203" s="33"/>
      <c r="X1203" s="33"/>
      <c r="Y1203" s="33"/>
      <c r="Z1203" s="33"/>
      <c r="AA1203" s="33"/>
      <c r="AB1203" s="33"/>
      <c r="AC1203" s="33"/>
      <c r="AD1203" s="33"/>
      <c r="AE1203" s="33"/>
      <c r="AF1203" s="33"/>
      <c r="AG1203" s="33"/>
      <c r="AH1203" s="33"/>
      <c r="AI1203" s="33"/>
      <c r="AJ1203" s="33"/>
      <c r="AK1203" s="216"/>
      <c r="AL1203" s="33"/>
      <c r="AM1203" s="33"/>
      <c r="AN1203" s="33"/>
      <c r="AO1203" s="33"/>
      <c r="AP1203" s="33"/>
    </row>
    <row r="1204" spans="1:42" ht="15.75" customHeight="1">
      <c r="A1204" s="33"/>
      <c r="B1204" s="33"/>
      <c r="C1204" s="33"/>
      <c r="D1204" s="33"/>
      <c r="E1204" s="33"/>
      <c r="F1204" s="199"/>
      <c r="G1204" s="33"/>
      <c r="H1204" s="33"/>
      <c r="I1204" s="33"/>
      <c r="J1204" s="33"/>
      <c r="K1204" s="33"/>
      <c r="L1204" s="33"/>
      <c r="M1204" s="33"/>
      <c r="N1204" s="33"/>
      <c r="O1204" s="33"/>
      <c r="P1204" s="33"/>
      <c r="Q1204" s="33"/>
      <c r="R1204" s="33"/>
      <c r="S1204" s="33"/>
      <c r="T1204" s="33"/>
      <c r="U1204" s="33"/>
      <c r="V1204" s="33"/>
      <c r="W1204" s="33"/>
      <c r="X1204" s="33"/>
      <c r="Y1204" s="33"/>
      <c r="Z1204" s="33"/>
      <c r="AA1204" s="33"/>
      <c r="AB1204" s="33"/>
      <c r="AC1204" s="33"/>
      <c r="AD1204" s="33"/>
      <c r="AE1204" s="33"/>
      <c r="AF1204" s="33"/>
      <c r="AG1204" s="33"/>
      <c r="AH1204" s="33"/>
      <c r="AI1204" s="33"/>
      <c r="AJ1204" s="33"/>
      <c r="AK1204" s="216"/>
      <c r="AL1204" s="33"/>
      <c r="AM1204" s="33"/>
      <c r="AN1204" s="33"/>
      <c r="AO1204" s="33"/>
      <c r="AP1204" s="33"/>
    </row>
    <row r="1205" spans="1:42" ht="15.75" customHeight="1">
      <c r="A1205" s="33"/>
      <c r="B1205" s="33"/>
      <c r="C1205" s="33"/>
      <c r="D1205" s="33"/>
      <c r="E1205" s="33"/>
      <c r="F1205" s="199"/>
      <c r="G1205" s="33"/>
      <c r="H1205" s="33"/>
      <c r="I1205" s="33"/>
      <c r="J1205" s="33"/>
      <c r="K1205" s="33"/>
      <c r="L1205" s="33"/>
      <c r="M1205" s="33"/>
      <c r="N1205" s="33"/>
      <c r="O1205" s="33"/>
      <c r="P1205" s="33"/>
      <c r="Q1205" s="33"/>
      <c r="R1205" s="33"/>
      <c r="S1205" s="33"/>
      <c r="T1205" s="33"/>
      <c r="U1205" s="33"/>
      <c r="V1205" s="33"/>
      <c r="W1205" s="33"/>
      <c r="X1205" s="33"/>
      <c r="Y1205" s="33"/>
      <c r="Z1205" s="33"/>
      <c r="AA1205" s="33"/>
      <c r="AB1205" s="33"/>
      <c r="AC1205" s="33"/>
      <c r="AD1205" s="33"/>
      <c r="AE1205" s="33"/>
      <c r="AF1205" s="33"/>
      <c r="AG1205" s="33"/>
      <c r="AH1205" s="33"/>
      <c r="AI1205" s="33"/>
      <c r="AJ1205" s="33"/>
      <c r="AK1205" s="216"/>
      <c r="AL1205" s="33"/>
      <c r="AM1205" s="33"/>
      <c r="AN1205" s="33"/>
      <c r="AO1205" s="33"/>
      <c r="AP1205" s="33"/>
    </row>
    <row r="1206" spans="1:42" ht="15.75" customHeight="1">
      <c r="A1206" s="33"/>
      <c r="B1206" s="33"/>
      <c r="C1206" s="33"/>
      <c r="D1206" s="33"/>
      <c r="E1206" s="33"/>
      <c r="F1206" s="199"/>
      <c r="G1206" s="33"/>
      <c r="H1206" s="33"/>
      <c r="I1206" s="33"/>
      <c r="J1206" s="33"/>
      <c r="K1206" s="33"/>
      <c r="L1206" s="33"/>
      <c r="M1206" s="33"/>
      <c r="N1206" s="33"/>
      <c r="O1206" s="33"/>
      <c r="P1206" s="33"/>
      <c r="Q1206" s="33"/>
      <c r="R1206" s="33"/>
      <c r="S1206" s="33"/>
      <c r="T1206" s="33"/>
      <c r="U1206" s="33"/>
      <c r="V1206" s="33"/>
      <c r="W1206" s="33"/>
      <c r="X1206" s="33"/>
      <c r="Y1206" s="33"/>
      <c r="Z1206" s="33"/>
      <c r="AA1206" s="33"/>
      <c r="AB1206" s="33"/>
      <c r="AC1206" s="33"/>
      <c r="AD1206" s="33"/>
      <c r="AE1206" s="33"/>
      <c r="AF1206" s="33"/>
      <c r="AG1206" s="33"/>
      <c r="AH1206" s="33"/>
      <c r="AI1206" s="33"/>
      <c r="AJ1206" s="33"/>
      <c r="AK1206" s="216"/>
      <c r="AL1206" s="33"/>
      <c r="AM1206" s="33"/>
      <c r="AN1206" s="33"/>
      <c r="AO1206" s="33"/>
      <c r="AP1206" s="33"/>
    </row>
    <row r="1207" spans="1:42" ht="15.75" customHeight="1">
      <c r="A1207" s="33"/>
      <c r="B1207" s="33"/>
      <c r="C1207" s="33"/>
      <c r="D1207" s="33"/>
      <c r="E1207" s="33"/>
      <c r="F1207" s="199"/>
      <c r="G1207" s="33"/>
      <c r="H1207" s="33"/>
      <c r="I1207" s="33"/>
      <c r="J1207" s="33"/>
      <c r="K1207" s="33"/>
      <c r="L1207" s="33"/>
      <c r="M1207" s="33"/>
      <c r="N1207" s="33"/>
      <c r="O1207" s="33"/>
      <c r="P1207" s="33"/>
      <c r="Q1207" s="33"/>
      <c r="R1207" s="33"/>
      <c r="S1207" s="33"/>
      <c r="T1207" s="33"/>
      <c r="U1207" s="33"/>
      <c r="V1207" s="33"/>
      <c r="W1207" s="33"/>
      <c r="X1207" s="33"/>
      <c r="Y1207" s="33"/>
      <c r="Z1207" s="33"/>
      <c r="AA1207" s="33"/>
      <c r="AB1207" s="33"/>
      <c r="AC1207" s="33"/>
      <c r="AD1207" s="33"/>
      <c r="AE1207" s="33"/>
      <c r="AF1207" s="33"/>
      <c r="AG1207" s="33"/>
      <c r="AH1207" s="33"/>
      <c r="AI1207" s="33"/>
      <c r="AJ1207" s="33"/>
      <c r="AK1207" s="216"/>
      <c r="AL1207" s="33"/>
      <c r="AM1207" s="33"/>
      <c r="AN1207" s="33"/>
      <c r="AO1207" s="33"/>
      <c r="AP1207" s="33"/>
    </row>
    <row r="1208" spans="1:42" ht="15.75" customHeight="1">
      <c r="A1208" s="33"/>
      <c r="B1208" s="33"/>
      <c r="C1208" s="33"/>
      <c r="D1208" s="33"/>
      <c r="E1208" s="33"/>
      <c r="F1208" s="199"/>
      <c r="G1208" s="33"/>
      <c r="H1208" s="33"/>
      <c r="I1208" s="33"/>
      <c r="J1208" s="33"/>
      <c r="K1208" s="33"/>
      <c r="L1208" s="33"/>
      <c r="M1208" s="33"/>
      <c r="N1208" s="33"/>
      <c r="O1208" s="33"/>
      <c r="P1208" s="33"/>
      <c r="Q1208" s="33"/>
      <c r="R1208" s="33"/>
      <c r="S1208" s="33"/>
      <c r="T1208" s="33"/>
      <c r="U1208" s="33"/>
      <c r="V1208" s="33"/>
      <c r="W1208" s="33"/>
      <c r="X1208" s="33"/>
      <c r="Y1208" s="33"/>
      <c r="Z1208" s="33"/>
      <c r="AA1208" s="33"/>
      <c r="AB1208" s="33"/>
      <c r="AC1208" s="33"/>
      <c r="AD1208" s="33"/>
      <c r="AE1208" s="33"/>
      <c r="AF1208" s="33"/>
      <c r="AG1208" s="33"/>
      <c r="AH1208" s="33"/>
      <c r="AI1208" s="33"/>
      <c r="AJ1208" s="33"/>
      <c r="AK1208" s="216"/>
      <c r="AL1208" s="33"/>
      <c r="AM1208" s="33"/>
      <c r="AN1208" s="33"/>
      <c r="AO1208" s="33"/>
      <c r="AP1208" s="33"/>
    </row>
    <row r="1209" spans="1:42" ht="15.75" customHeight="1">
      <c r="A1209" s="33"/>
      <c r="B1209" s="33"/>
      <c r="C1209" s="33"/>
      <c r="D1209" s="33"/>
      <c r="E1209" s="33"/>
      <c r="F1209" s="199"/>
      <c r="G1209" s="33"/>
      <c r="H1209" s="33"/>
      <c r="I1209" s="33"/>
      <c r="J1209" s="33"/>
      <c r="K1209" s="33"/>
      <c r="L1209" s="33"/>
      <c r="M1209" s="33"/>
      <c r="N1209" s="33"/>
      <c r="O1209" s="33"/>
      <c r="P1209" s="33"/>
      <c r="Q1209" s="33"/>
      <c r="R1209" s="33"/>
      <c r="S1209" s="33"/>
      <c r="T1209" s="33"/>
      <c r="U1209" s="33"/>
      <c r="V1209" s="33"/>
      <c r="W1209" s="33"/>
      <c r="X1209" s="33"/>
      <c r="Y1209" s="33"/>
      <c r="Z1209" s="33"/>
      <c r="AA1209" s="33"/>
      <c r="AB1209" s="33"/>
      <c r="AC1209" s="33"/>
      <c r="AD1209" s="33"/>
      <c r="AE1209" s="33"/>
      <c r="AF1209" s="33"/>
      <c r="AG1209" s="33"/>
      <c r="AH1209" s="33"/>
      <c r="AI1209" s="33"/>
      <c r="AJ1209" s="33"/>
      <c r="AK1209" s="216"/>
      <c r="AL1209" s="33"/>
      <c r="AM1209" s="33"/>
      <c r="AN1209" s="33"/>
      <c r="AO1209" s="33"/>
      <c r="AP1209" s="33"/>
    </row>
    <row r="1210" spans="1:42" ht="15.75" customHeight="1">
      <c r="A1210" s="33"/>
      <c r="B1210" s="33"/>
      <c r="C1210" s="33"/>
      <c r="D1210" s="33"/>
      <c r="E1210" s="33"/>
      <c r="F1210" s="199"/>
      <c r="G1210" s="33"/>
      <c r="H1210" s="33"/>
      <c r="I1210" s="33"/>
      <c r="J1210" s="33"/>
      <c r="K1210" s="33"/>
      <c r="L1210" s="33"/>
      <c r="M1210" s="33"/>
      <c r="N1210" s="33"/>
      <c r="O1210" s="33"/>
      <c r="P1210" s="33"/>
      <c r="Q1210" s="33"/>
      <c r="R1210" s="33"/>
      <c r="S1210" s="33"/>
      <c r="T1210" s="33"/>
      <c r="U1210" s="33"/>
      <c r="V1210" s="33"/>
      <c r="W1210" s="33"/>
      <c r="X1210" s="33"/>
      <c r="Y1210" s="33"/>
      <c r="Z1210" s="33"/>
      <c r="AA1210" s="33"/>
      <c r="AB1210" s="33"/>
      <c r="AC1210" s="33"/>
      <c r="AD1210" s="33"/>
      <c r="AE1210" s="33"/>
      <c r="AF1210" s="33"/>
      <c r="AG1210" s="33"/>
      <c r="AH1210" s="33"/>
      <c r="AI1210" s="33"/>
      <c r="AJ1210" s="33"/>
      <c r="AK1210" s="216"/>
      <c r="AL1210" s="33"/>
      <c r="AM1210" s="33"/>
      <c r="AN1210" s="33"/>
      <c r="AO1210" s="33"/>
      <c r="AP1210" s="33"/>
    </row>
    <row r="1211" spans="1:42" ht="15.75" customHeight="1">
      <c r="A1211" s="33"/>
      <c r="B1211" s="33"/>
      <c r="C1211" s="33"/>
      <c r="D1211" s="33"/>
      <c r="E1211" s="33"/>
      <c r="F1211" s="199"/>
      <c r="G1211" s="33"/>
      <c r="H1211" s="33"/>
      <c r="I1211" s="33"/>
      <c r="J1211" s="33"/>
      <c r="K1211" s="33"/>
      <c r="L1211" s="33"/>
      <c r="M1211" s="33"/>
      <c r="N1211" s="33"/>
      <c r="O1211" s="33"/>
      <c r="P1211" s="33"/>
      <c r="Q1211" s="33"/>
      <c r="R1211" s="33"/>
      <c r="S1211" s="33"/>
      <c r="T1211" s="33"/>
      <c r="U1211" s="33"/>
      <c r="V1211" s="33"/>
      <c r="W1211" s="33"/>
      <c r="X1211" s="33"/>
      <c r="Y1211" s="33"/>
      <c r="Z1211" s="33"/>
      <c r="AA1211" s="33"/>
      <c r="AB1211" s="33"/>
      <c r="AC1211" s="33"/>
      <c r="AD1211" s="33"/>
      <c r="AE1211" s="33"/>
      <c r="AF1211" s="33"/>
      <c r="AG1211" s="33"/>
      <c r="AH1211" s="33"/>
      <c r="AI1211" s="33"/>
      <c r="AJ1211" s="33"/>
      <c r="AK1211" s="216"/>
      <c r="AL1211" s="33"/>
      <c r="AM1211" s="33"/>
      <c r="AN1211" s="33"/>
      <c r="AO1211" s="33"/>
      <c r="AP1211" s="33"/>
    </row>
    <row r="1212" spans="1:42" ht="15.75" customHeight="1">
      <c r="A1212" s="33"/>
      <c r="B1212" s="33"/>
      <c r="C1212" s="33"/>
      <c r="D1212" s="33"/>
      <c r="E1212" s="33"/>
      <c r="F1212" s="199"/>
      <c r="G1212" s="33"/>
      <c r="H1212" s="33"/>
      <c r="I1212" s="33"/>
      <c r="J1212" s="33"/>
      <c r="K1212" s="33"/>
      <c r="L1212" s="33"/>
      <c r="M1212" s="33"/>
      <c r="N1212" s="33"/>
      <c r="O1212" s="33"/>
      <c r="P1212" s="33"/>
      <c r="Q1212" s="33"/>
      <c r="R1212" s="33"/>
      <c r="S1212" s="33"/>
      <c r="T1212" s="33"/>
      <c r="U1212" s="33"/>
      <c r="V1212" s="33"/>
      <c r="W1212" s="33"/>
      <c r="X1212" s="33"/>
      <c r="Y1212" s="33"/>
      <c r="Z1212" s="33"/>
      <c r="AA1212" s="33"/>
      <c r="AB1212" s="33"/>
      <c r="AC1212" s="33"/>
      <c r="AD1212" s="33"/>
      <c r="AE1212" s="33"/>
      <c r="AF1212" s="33"/>
      <c r="AG1212" s="33"/>
      <c r="AH1212" s="33"/>
      <c r="AI1212" s="33"/>
      <c r="AJ1212" s="33"/>
      <c r="AK1212" s="216"/>
      <c r="AL1212" s="33"/>
      <c r="AM1212" s="33"/>
      <c r="AN1212" s="33"/>
      <c r="AO1212" s="33"/>
      <c r="AP1212" s="33"/>
    </row>
    <row r="1213" spans="1:42" ht="15.75" customHeight="1">
      <c r="A1213" s="33"/>
      <c r="B1213" s="33"/>
      <c r="C1213" s="33"/>
      <c r="D1213" s="33"/>
      <c r="E1213" s="33"/>
      <c r="F1213" s="199"/>
      <c r="G1213" s="33"/>
      <c r="H1213" s="33"/>
      <c r="I1213" s="33"/>
      <c r="J1213" s="33"/>
      <c r="K1213" s="33"/>
      <c r="L1213" s="33"/>
      <c r="M1213" s="33"/>
      <c r="N1213" s="33"/>
      <c r="O1213" s="33"/>
      <c r="P1213" s="33"/>
      <c r="Q1213" s="33"/>
      <c r="R1213" s="33"/>
      <c r="S1213" s="33"/>
      <c r="T1213" s="33"/>
      <c r="U1213" s="33"/>
      <c r="V1213" s="33"/>
      <c r="W1213" s="33"/>
      <c r="X1213" s="33"/>
      <c r="Y1213" s="33"/>
      <c r="Z1213" s="33"/>
      <c r="AA1213" s="33"/>
      <c r="AB1213" s="33"/>
      <c r="AC1213" s="33"/>
      <c r="AD1213" s="33"/>
      <c r="AE1213" s="33"/>
      <c r="AF1213" s="33"/>
      <c r="AG1213" s="33"/>
      <c r="AH1213" s="33"/>
      <c r="AI1213" s="33"/>
      <c r="AJ1213" s="33"/>
      <c r="AK1213" s="216"/>
      <c r="AL1213" s="33"/>
      <c r="AM1213" s="33"/>
      <c r="AN1213" s="33"/>
      <c r="AO1213" s="33"/>
      <c r="AP1213" s="33"/>
    </row>
    <row r="1214" spans="1:42" ht="15.75" customHeight="1">
      <c r="A1214" s="33"/>
      <c r="B1214" s="33"/>
      <c r="C1214" s="33"/>
      <c r="D1214" s="33"/>
      <c r="E1214" s="33"/>
      <c r="F1214" s="199"/>
      <c r="G1214" s="33"/>
      <c r="H1214" s="33"/>
      <c r="I1214" s="33"/>
      <c r="J1214" s="33"/>
      <c r="K1214" s="33"/>
      <c r="L1214" s="33"/>
      <c r="M1214" s="33"/>
      <c r="N1214" s="33"/>
      <c r="O1214" s="33"/>
      <c r="P1214" s="33"/>
      <c r="Q1214" s="33"/>
      <c r="R1214" s="33"/>
      <c r="S1214" s="33"/>
      <c r="T1214" s="33"/>
      <c r="U1214" s="33"/>
      <c r="V1214" s="33"/>
      <c r="W1214" s="33"/>
      <c r="X1214" s="33"/>
      <c r="Y1214" s="33"/>
      <c r="Z1214" s="33"/>
      <c r="AA1214" s="33"/>
      <c r="AB1214" s="33"/>
      <c r="AC1214" s="33"/>
      <c r="AD1214" s="33"/>
      <c r="AE1214" s="33"/>
      <c r="AF1214" s="33"/>
      <c r="AG1214" s="33"/>
      <c r="AH1214" s="33"/>
      <c r="AI1214" s="33"/>
      <c r="AJ1214" s="33"/>
      <c r="AK1214" s="216"/>
      <c r="AL1214" s="33"/>
      <c r="AM1214" s="33"/>
      <c r="AN1214" s="33"/>
      <c r="AO1214" s="33"/>
      <c r="AP1214" s="33"/>
    </row>
    <row r="1215" spans="1:42" ht="15.75" customHeight="1">
      <c r="A1215" s="33"/>
      <c r="B1215" s="33"/>
      <c r="C1215" s="33"/>
      <c r="D1215" s="33"/>
      <c r="E1215" s="33"/>
      <c r="F1215" s="199"/>
      <c r="G1215" s="33"/>
      <c r="H1215" s="33"/>
      <c r="I1215" s="33"/>
      <c r="J1215" s="33"/>
      <c r="K1215" s="33"/>
      <c r="L1215" s="33"/>
      <c r="M1215" s="33"/>
      <c r="N1215" s="33"/>
      <c r="O1215" s="33"/>
      <c r="P1215" s="33"/>
      <c r="Q1215" s="33"/>
      <c r="R1215" s="33"/>
      <c r="S1215" s="33"/>
      <c r="T1215" s="33"/>
      <c r="U1215" s="33"/>
      <c r="V1215" s="33"/>
      <c r="W1215" s="33"/>
      <c r="X1215" s="33"/>
      <c r="Y1215" s="33"/>
      <c r="Z1215" s="33"/>
      <c r="AA1215" s="33"/>
      <c r="AB1215" s="33"/>
      <c r="AC1215" s="33"/>
      <c r="AD1215" s="33"/>
      <c r="AE1215" s="33"/>
      <c r="AF1215" s="33"/>
      <c r="AG1215" s="33"/>
      <c r="AH1215" s="33"/>
      <c r="AI1215" s="33"/>
      <c r="AJ1215" s="33"/>
      <c r="AK1215" s="216"/>
      <c r="AL1215" s="33"/>
      <c r="AM1215" s="33"/>
      <c r="AN1215" s="33"/>
      <c r="AO1215" s="33"/>
      <c r="AP1215" s="33"/>
    </row>
    <row r="1216" spans="1:42" ht="15.75" customHeight="1">
      <c r="A1216" s="33"/>
      <c r="B1216" s="33"/>
      <c r="C1216" s="33"/>
      <c r="D1216" s="33"/>
      <c r="E1216" s="33"/>
      <c r="F1216" s="199"/>
      <c r="G1216" s="33"/>
      <c r="H1216" s="33"/>
      <c r="I1216" s="33"/>
      <c r="J1216" s="33"/>
      <c r="K1216" s="33"/>
      <c r="L1216" s="33"/>
      <c r="M1216" s="33"/>
      <c r="N1216" s="33"/>
      <c r="O1216" s="33"/>
      <c r="P1216" s="33"/>
      <c r="Q1216" s="33"/>
      <c r="R1216" s="33"/>
      <c r="S1216" s="33"/>
      <c r="T1216" s="33"/>
      <c r="U1216" s="33"/>
      <c r="V1216" s="33"/>
      <c r="W1216" s="33"/>
      <c r="X1216" s="33"/>
      <c r="Y1216" s="33"/>
      <c r="Z1216" s="33"/>
      <c r="AA1216" s="33"/>
      <c r="AB1216" s="33"/>
      <c r="AC1216" s="33"/>
      <c r="AD1216" s="33"/>
      <c r="AE1216" s="33"/>
      <c r="AF1216" s="33"/>
      <c r="AG1216" s="33"/>
      <c r="AH1216" s="33"/>
      <c r="AI1216" s="33"/>
      <c r="AJ1216" s="33"/>
      <c r="AK1216" s="216"/>
      <c r="AL1216" s="33"/>
      <c r="AM1216" s="33"/>
      <c r="AN1216" s="33"/>
      <c r="AO1216" s="33"/>
      <c r="AP1216" s="33"/>
    </row>
    <row r="1217" spans="1:42" ht="15.75" customHeight="1">
      <c r="A1217" s="33"/>
      <c r="B1217" s="33"/>
      <c r="C1217" s="33"/>
      <c r="D1217" s="33"/>
      <c r="E1217" s="33"/>
      <c r="F1217" s="199"/>
      <c r="G1217" s="33"/>
      <c r="H1217" s="33"/>
      <c r="I1217" s="33"/>
      <c r="J1217" s="33"/>
      <c r="K1217" s="33"/>
      <c r="L1217" s="33"/>
      <c r="M1217" s="33"/>
      <c r="N1217" s="33"/>
      <c r="O1217" s="33"/>
      <c r="P1217" s="33"/>
      <c r="Q1217" s="33"/>
      <c r="R1217" s="33"/>
      <c r="S1217" s="33"/>
      <c r="T1217" s="33"/>
      <c r="U1217" s="33"/>
      <c r="V1217" s="33"/>
      <c r="W1217" s="33"/>
      <c r="X1217" s="33"/>
      <c r="Y1217" s="33"/>
      <c r="Z1217" s="33"/>
      <c r="AA1217" s="33"/>
      <c r="AB1217" s="33"/>
      <c r="AC1217" s="33"/>
      <c r="AD1217" s="33"/>
      <c r="AE1217" s="33"/>
      <c r="AF1217" s="33"/>
      <c r="AG1217" s="33"/>
      <c r="AH1217" s="33"/>
      <c r="AI1217" s="33"/>
      <c r="AJ1217" s="33"/>
      <c r="AK1217" s="216"/>
      <c r="AL1217" s="33"/>
      <c r="AM1217" s="33"/>
      <c r="AN1217" s="33"/>
      <c r="AO1217" s="33"/>
      <c r="AP1217" s="33"/>
    </row>
    <row r="1218" spans="1:42" ht="15.75" customHeight="1">
      <c r="A1218" s="33"/>
      <c r="B1218" s="33"/>
      <c r="C1218" s="33"/>
      <c r="D1218" s="33"/>
      <c r="E1218" s="33"/>
      <c r="F1218" s="199"/>
      <c r="G1218" s="33"/>
      <c r="H1218" s="33"/>
      <c r="I1218" s="33"/>
      <c r="J1218" s="33"/>
      <c r="K1218" s="33"/>
      <c r="L1218" s="33"/>
      <c r="M1218" s="33"/>
      <c r="N1218" s="33"/>
      <c r="O1218" s="33"/>
      <c r="P1218" s="33"/>
      <c r="Q1218" s="33"/>
      <c r="R1218" s="33"/>
      <c r="S1218" s="33"/>
      <c r="T1218" s="33"/>
      <c r="U1218" s="33"/>
      <c r="V1218" s="33"/>
      <c r="W1218" s="33"/>
      <c r="X1218" s="33"/>
      <c r="Y1218" s="33"/>
      <c r="Z1218" s="33"/>
      <c r="AA1218" s="33"/>
      <c r="AB1218" s="33"/>
      <c r="AC1218" s="33"/>
      <c r="AD1218" s="33"/>
      <c r="AE1218" s="33"/>
      <c r="AF1218" s="33"/>
      <c r="AG1218" s="33"/>
      <c r="AH1218" s="33"/>
      <c r="AI1218" s="33"/>
      <c r="AJ1218" s="33"/>
      <c r="AK1218" s="216"/>
      <c r="AL1218" s="33"/>
      <c r="AM1218" s="33"/>
      <c r="AN1218" s="33"/>
      <c r="AO1218" s="33"/>
      <c r="AP1218" s="33"/>
    </row>
    <row r="1219" spans="1:42" ht="15.75" customHeight="1">
      <c r="A1219" s="33"/>
      <c r="B1219" s="33"/>
      <c r="C1219" s="33"/>
      <c r="D1219" s="33"/>
      <c r="E1219" s="33"/>
      <c r="F1219" s="199"/>
      <c r="G1219" s="33"/>
      <c r="H1219" s="33"/>
      <c r="I1219" s="33"/>
      <c r="J1219" s="33"/>
      <c r="K1219" s="33"/>
      <c r="L1219" s="33"/>
      <c r="M1219" s="33"/>
      <c r="N1219" s="33"/>
      <c r="O1219" s="33"/>
      <c r="P1219" s="33"/>
      <c r="Q1219" s="33"/>
      <c r="R1219" s="33"/>
      <c r="S1219" s="33"/>
      <c r="T1219" s="33"/>
      <c r="U1219" s="33"/>
      <c r="V1219" s="33"/>
      <c r="W1219" s="33"/>
      <c r="X1219" s="33"/>
      <c r="Y1219" s="33"/>
      <c r="Z1219" s="33"/>
      <c r="AA1219" s="33"/>
      <c r="AB1219" s="33"/>
      <c r="AC1219" s="33"/>
      <c r="AD1219" s="33"/>
      <c r="AE1219" s="33"/>
      <c r="AF1219" s="33"/>
      <c r="AG1219" s="33"/>
      <c r="AH1219" s="33"/>
      <c r="AI1219" s="33"/>
      <c r="AJ1219" s="33"/>
      <c r="AK1219" s="216"/>
      <c r="AL1219" s="33"/>
      <c r="AM1219" s="33"/>
      <c r="AN1219" s="33"/>
      <c r="AO1219" s="33"/>
      <c r="AP1219" s="33"/>
    </row>
    <row r="1220" spans="1:42" ht="15.75" customHeight="1">
      <c r="A1220" s="33"/>
      <c r="B1220" s="33"/>
      <c r="C1220" s="33"/>
      <c r="D1220" s="33"/>
      <c r="E1220" s="33"/>
      <c r="F1220" s="199"/>
      <c r="G1220" s="33"/>
      <c r="H1220" s="33"/>
      <c r="I1220" s="33"/>
      <c r="J1220" s="33"/>
      <c r="K1220" s="33"/>
      <c r="L1220" s="33"/>
      <c r="M1220" s="33"/>
      <c r="N1220" s="33"/>
      <c r="O1220" s="33"/>
      <c r="P1220" s="33"/>
      <c r="Q1220" s="33"/>
      <c r="R1220" s="33"/>
      <c r="S1220" s="33"/>
      <c r="T1220" s="33"/>
      <c r="U1220" s="33"/>
      <c r="V1220" s="33"/>
      <c r="W1220" s="33"/>
      <c r="X1220" s="33"/>
      <c r="Y1220" s="33"/>
      <c r="Z1220" s="33"/>
      <c r="AA1220" s="33"/>
      <c r="AB1220" s="33"/>
      <c r="AC1220" s="33"/>
      <c r="AD1220" s="33"/>
      <c r="AE1220" s="33"/>
      <c r="AF1220" s="33"/>
      <c r="AG1220" s="33"/>
      <c r="AH1220" s="33"/>
      <c r="AI1220" s="33"/>
      <c r="AJ1220" s="33"/>
      <c r="AK1220" s="216"/>
      <c r="AL1220" s="33"/>
      <c r="AM1220" s="33"/>
      <c r="AN1220" s="33"/>
      <c r="AO1220" s="33"/>
      <c r="AP1220" s="33"/>
    </row>
    <row r="1221" spans="1:42" ht="15.75" customHeight="1">
      <c r="A1221" s="33"/>
      <c r="B1221" s="33"/>
      <c r="C1221" s="33"/>
      <c r="D1221" s="33"/>
      <c r="E1221" s="33"/>
      <c r="F1221" s="199"/>
      <c r="G1221" s="33"/>
      <c r="H1221" s="33"/>
      <c r="I1221" s="33"/>
      <c r="J1221" s="33"/>
      <c r="K1221" s="33"/>
      <c r="L1221" s="33"/>
      <c r="M1221" s="33"/>
      <c r="N1221" s="33"/>
      <c r="O1221" s="33"/>
      <c r="P1221" s="33"/>
      <c r="Q1221" s="33"/>
      <c r="R1221" s="33"/>
      <c r="S1221" s="33"/>
      <c r="T1221" s="33"/>
      <c r="U1221" s="33"/>
      <c r="V1221" s="33"/>
      <c r="W1221" s="33"/>
      <c r="X1221" s="33"/>
      <c r="Y1221" s="33"/>
      <c r="Z1221" s="33"/>
      <c r="AA1221" s="33"/>
      <c r="AB1221" s="33"/>
      <c r="AC1221" s="33"/>
      <c r="AD1221" s="33"/>
      <c r="AE1221" s="33"/>
      <c r="AF1221" s="33"/>
      <c r="AG1221" s="33"/>
      <c r="AH1221" s="33"/>
      <c r="AI1221" s="33"/>
      <c r="AJ1221" s="33"/>
      <c r="AK1221" s="216"/>
      <c r="AL1221" s="33"/>
      <c r="AM1221" s="33"/>
      <c r="AN1221" s="33"/>
      <c r="AO1221" s="33"/>
      <c r="AP1221" s="33"/>
    </row>
    <row r="1222" spans="1:42" ht="15.75" customHeight="1">
      <c r="A1222" s="33"/>
      <c r="B1222" s="33"/>
      <c r="C1222" s="33"/>
      <c r="D1222" s="33"/>
      <c r="E1222" s="33"/>
      <c r="F1222" s="199"/>
      <c r="G1222" s="33"/>
      <c r="H1222" s="33"/>
      <c r="I1222" s="33"/>
      <c r="J1222" s="33"/>
      <c r="K1222" s="33"/>
      <c r="L1222" s="33"/>
      <c r="M1222" s="33"/>
      <c r="N1222" s="33"/>
      <c r="O1222" s="33"/>
      <c r="P1222" s="33"/>
      <c r="Q1222" s="33"/>
      <c r="R1222" s="33"/>
      <c r="S1222" s="33"/>
      <c r="T1222" s="33"/>
      <c r="U1222" s="33"/>
      <c r="V1222" s="33"/>
      <c r="W1222" s="33"/>
      <c r="X1222" s="33"/>
      <c r="Y1222" s="33"/>
      <c r="Z1222" s="33"/>
      <c r="AA1222" s="33"/>
      <c r="AB1222" s="33"/>
      <c r="AC1222" s="33"/>
      <c r="AD1222" s="33"/>
      <c r="AE1222" s="33"/>
      <c r="AF1222" s="33"/>
      <c r="AG1222" s="33"/>
      <c r="AH1222" s="33"/>
      <c r="AI1222" s="33"/>
      <c r="AJ1222" s="33"/>
      <c r="AK1222" s="216"/>
      <c r="AL1222" s="33"/>
      <c r="AM1222" s="33"/>
      <c r="AN1222" s="33"/>
      <c r="AO1222" s="33"/>
      <c r="AP1222" s="33"/>
    </row>
    <row r="1223" spans="1:42" ht="15.75" customHeight="1">
      <c r="A1223" s="33"/>
      <c r="B1223" s="33"/>
      <c r="C1223" s="33"/>
      <c r="D1223" s="33"/>
      <c r="E1223" s="33"/>
      <c r="F1223" s="199"/>
      <c r="G1223" s="33"/>
      <c r="H1223" s="33"/>
      <c r="I1223" s="33"/>
      <c r="J1223" s="33"/>
      <c r="K1223" s="33"/>
      <c r="L1223" s="33"/>
      <c r="M1223" s="33"/>
      <c r="N1223" s="33"/>
      <c r="O1223" s="33"/>
      <c r="P1223" s="33"/>
      <c r="Q1223" s="33"/>
      <c r="R1223" s="33"/>
      <c r="S1223" s="33"/>
      <c r="T1223" s="33"/>
      <c r="U1223" s="33"/>
      <c r="V1223" s="33"/>
      <c r="W1223" s="33"/>
      <c r="X1223" s="33"/>
      <c r="Y1223" s="33"/>
      <c r="Z1223" s="33"/>
      <c r="AA1223" s="33"/>
      <c r="AB1223" s="33"/>
      <c r="AC1223" s="33"/>
      <c r="AD1223" s="33"/>
      <c r="AE1223" s="33"/>
      <c r="AF1223" s="33"/>
      <c r="AG1223" s="33"/>
      <c r="AH1223" s="33"/>
      <c r="AI1223" s="33"/>
      <c r="AJ1223" s="33"/>
      <c r="AK1223" s="216"/>
      <c r="AL1223" s="33"/>
      <c r="AM1223" s="33"/>
      <c r="AN1223" s="33"/>
      <c r="AO1223" s="33"/>
      <c r="AP1223" s="33"/>
    </row>
    <row r="1224" spans="1:42" ht="15.75" customHeight="1">
      <c r="A1224" s="33"/>
      <c r="B1224" s="33"/>
      <c r="C1224" s="33"/>
      <c r="D1224" s="33"/>
      <c r="E1224" s="33"/>
      <c r="F1224" s="199"/>
      <c r="G1224" s="33"/>
      <c r="H1224" s="33"/>
      <c r="I1224" s="33"/>
      <c r="J1224" s="33"/>
      <c r="K1224" s="33"/>
      <c r="L1224" s="33"/>
      <c r="M1224" s="33"/>
      <c r="N1224" s="33"/>
      <c r="O1224" s="33"/>
      <c r="P1224" s="33"/>
      <c r="Q1224" s="33"/>
      <c r="R1224" s="33"/>
      <c r="S1224" s="33"/>
      <c r="T1224" s="33"/>
      <c r="U1224" s="33"/>
      <c r="V1224" s="33"/>
      <c r="W1224" s="33"/>
      <c r="X1224" s="33"/>
      <c r="Y1224" s="33"/>
      <c r="Z1224" s="33"/>
      <c r="AA1224" s="33"/>
      <c r="AB1224" s="33"/>
      <c r="AC1224" s="33"/>
      <c r="AD1224" s="33"/>
      <c r="AE1224" s="33"/>
      <c r="AF1224" s="33"/>
      <c r="AG1224" s="33"/>
      <c r="AH1224" s="33"/>
      <c r="AI1224" s="33"/>
      <c r="AJ1224" s="33"/>
      <c r="AK1224" s="216"/>
      <c r="AL1224" s="33"/>
      <c r="AM1224" s="33"/>
      <c r="AN1224" s="33"/>
      <c r="AO1224" s="33"/>
      <c r="AP1224" s="33"/>
    </row>
    <row r="1225" spans="1:42" ht="15.75" customHeight="1">
      <c r="A1225" s="33"/>
      <c r="B1225" s="33"/>
      <c r="C1225" s="33"/>
      <c r="D1225" s="33"/>
      <c r="E1225" s="33"/>
      <c r="F1225" s="199"/>
      <c r="G1225" s="33"/>
      <c r="H1225" s="33"/>
      <c r="I1225" s="33"/>
      <c r="J1225" s="33"/>
      <c r="K1225" s="33"/>
      <c r="L1225" s="33"/>
      <c r="M1225" s="33"/>
      <c r="N1225" s="33"/>
      <c r="O1225" s="33"/>
      <c r="P1225" s="33"/>
      <c r="Q1225" s="33"/>
      <c r="R1225" s="33"/>
      <c r="S1225" s="33"/>
      <c r="T1225" s="33"/>
      <c r="U1225" s="33"/>
      <c r="V1225" s="33"/>
      <c r="W1225" s="33"/>
      <c r="X1225" s="33"/>
      <c r="Y1225" s="33"/>
      <c r="Z1225" s="33"/>
      <c r="AA1225" s="33"/>
      <c r="AB1225" s="33"/>
      <c r="AC1225" s="33"/>
      <c r="AD1225" s="33"/>
      <c r="AE1225" s="33"/>
      <c r="AF1225" s="33"/>
      <c r="AG1225" s="33"/>
      <c r="AH1225" s="33"/>
      <c r="AI1225" s="33"/>
      <c r="AJ1225" s="33"/>
      <c r="AK1225" s="216"/>
      <c r="AL1225" s="33"/>
      <c r="AM1225" s="33"/>
      <c r="AN1225" s="33"/>
      <c r="AO1225" s="33"/>
      <c r="AP1225" s="33"/>
    </row>
    <row r="1226" spans="1:42" ht="15.75" customHeight="1">
      <c r="A1226" s="33"/>
      <c r="B1226" s="33"/>
      <c r="C1226" s="33"/>
      <c r="D1226" s="33"/>
      <c r="E1226" s="33"/>
      <c r="F1226" s="199"/>
      <c r="G1226" s="33"/>
      <c r="H1226" s="33"/>
      <c r="I1226" s="33"/>
      <c r="J1226" s="33"/>
      <c r="K1226" s="33"/>
      <c r="L1226" s="33"/>
      <c r="M1226" s="33"/>
      <c r="N1226" s="33"/>
      <c r="O1226" s="33"/>
      <c r="P1226" s="33"/>
      <c r="Q1226" s="33"/>
      <c r="R1226" s="33"/>
      <c r="S1226" s="33"/>
      <c r="T1226" s="33"/>
      <c r="U1226" s="33"/>
      <c r="V1226" s="33"/>
      <c r="W1226" s="33"/>
      <c r="X1226" s="33"/>
      <c r="Y1226" s="33"/>
      <c r="Z1226" s="33"/>
      <c r="AA1226" s="33"/>
      <c r="AB1226" s="33"/>
      <c r="AC1226" s="33"/>
      <c r="AD1226" s="33"/>
      <c r="AE1226" s="33"/>
      <c r="AF1226" s="33"/>
      <c r="AG1226" s="33"/>
      <c r="AH1226" s="33"/>
      <c r="AI1226" s="33"/>
      <c r="AJ1226" s="33"/>
      <c r="AK1226" s="216"/>
      <c r="AL1226" s="33"/>
      <c r="AM1226" s="33"/>
      <c r="AN1226" s="33"/>
      <c r="AO1226" s="33"/>
      <c r="AP1226" s="33"/>
    </row>
    <row r="1227" spans="1:42" ht="15.75" customHeight="1">
      <c r="A1227" s="33"/>
      <c r="B1227" s="33"/>
      <c r="C1227" s="33"/>
      <c r="D1227" s="33"/>
      <c r="E1227" s="33"/>
      <c r="F1227" s="199"/>
      <c r="G1227" s="33"/>
      <c r="H1227" s="33"/>
      <c r="I1227" s="33"/>
      <c r="J1227" s="33"/>
      <c r="K1227" s="33"/>
      <c r="L1227" s="33"/>
      <c r="M1227" s="33"/>
      <c r="N1227" s="33"/>
      <c r="O1227" s="33"/>
      <c r="P1227" s="33"/>
      <c r="Q1227" s="33"/>
      <c r="R1227" s="33"/>
      <c r="S1227" s="33"/>
      <c r="T1227" s="33"/>
      <c r="U1227" s="33"/>
      <c r="V1227" s="33"/>
      <c r="W1227" s="33"/>
      <c r="X1227" s="33"/>
      <c r="Y1227" s="33"/>
      <c r="Z1227" s="33"/>
      <c r="AA1227" s="33"/>
      <c r="AB1227" s="33"/>
      <c r="AC1227" s="33"/>
      <c r="AD1227" s="33"/>
      <c r="AE1227" s="33"/>
      <c r="AF1227" s="33"/>
      <c r="AG1227" s="33"/>
      <c r="AH1227" s="33"/>
      <c r="AI1227" s="33"/>
      <c r="AJ1227" s="33"/>
      <c r="AK1227" s="216"/>
      <c r="AL1227" s="33"/>
      <c r="AM1227" s="33"/>
      <c r="AN1227" s="33"/>
      <c r="AO1227" s="33"/>
      <c r="AP1227" s="33"/>
    </row>
    <row r="1228" spans="1:42" ht="15.75" customHeight="1">
      <c r="A1228" s="33"/>
      <c r="B1228" s="33"/>
      <c r="C1228" s="33"/>
      <c r="D1228" s="33"/>
      <c r="E1228" s="33"/>
      <c r="F1228" s="199"/>
      <c r="G1228" s="33"/>
      <c r="H1228" s="33"/>
      <c r="I1228" s="33"/>
      <c r="J1228" s="33"/>
      <c r="K1228" s="33"/>
      <c r="L1228" s="33"/>
      <c r="M1228" s="33"/>
      <c r="N1228" s="33"/>
      <c r="O1228" s="33"/>
      <c r="P1228" s="33"/>
      <c r="Q1228" s="33"/>
      <c r="R1228" s="33"/>
      <c r="S1228" s="33"/>
      <c r="T1228" s="33"/>
      <c r="U1228" s="33"/>
      <c r="V1228" s="33"/>
      <c r="W1228" s="33"/>
      <c r="X1228" s="33"/>
      <c r="Y1228" s="33"/>
      <c r="Z1228" s="33"/>
      <c r="AA1228" s="33"/>
      <c r="AB1228" s="33"/>
      <c r="AC1228" s="33"/>
      <c r="AD1228" s="33"/>
      <c r="AE1228" s="33"/>
      <c r="AF1228" s="33"/>
      <c r="AG1228" s="33"/>
      <c r="AH1228" s="33"/>
      <c r="AI1228" s="33"/>
      <c r="AJ1228" s="33"/>
      <c r="AK1228" s="216"/>
      <c r="AL1228" s="33"/>
      <c r="AM1228" s="33"/>
      <c r="AN1228" s="33"/>
      <c r="AO1228" s="33"/>
      <c r="AP1228" s="33"/>
    </row>
    <row r="1229" spans="1:42" ht="15.75" customHeight="1">
      <c r="A1229" s="33"/>
      <c r="B1229" s="33"/>
      <c r="C1229" s="33"/>
      <c r="D1229" s="33"/>
      <c r="E1229" s="33"/>
      <c r="F1229" s="199"/>
      <c r="G1229" s="33"/>
      <c r="H1229" s="33"/>
      <c r="I1229" s="33"/>
      <c r="J1229" s="33"/>
      <c r="K1229" s="33"/>
      <c r="L1229" s="33"/>
      <c r="M1229" s="33"/>
      <c r="N1229" s="33"/>
      <c r="O1229" s="33"/>
      <c r="P1229" s="33"/>
      <c r="Q1229" s="33"/>
      <c r="R1229" s="33"/>
      <c r="S1229" s="33"/>
      <c r="T1229" s="33"/>
      <c r="U1229" s="33"/>
      <c r="V1229" s="33"/>
      <c r="W1229" s="33"/>
      <c r="X1229" s="33"/>
      <c r="Y1229" s="33"/>
      <c r="Z1229" s="33"/>
      <c r="AA1229" s="33"/>
      <c r="AB1229" s="33"/>
      <c r="AC1229" s="33"/>
      <c r="AD1229" s="33"/>
      <c r="AE1229" s="33"/>
      <c r="AF1229" s="33"/>
      <c r="AG1229" s="33"/>
      <c r="AH1229" s="33"/>
      <c r="AI1229" s="33"/>
      <c r="AJ1229" s="33"/>
      <c r="AK1229" s="216"/>
      <c r="AL1229" s="33"/>
      <c r="AM1229" s="33"/>
      <c r="AN1229" s="33"/>
      <c r="AO1229" s="33"/>
      <c r="AP1229" s="33"/>
    </row>
    <row r="1230" spans="1:42" ht="15.75" customHeight="1">
      <c r="A1230" s="33"/>
      <c r="B1230" s="33"/>
      <c r="C1230" s="33"/>
      <c r="D1230" s="33"/>
      <c r="E1230" s="33"/>
      <c r="F1230" s="199"/>
      <c r="G1230" s="33"/>
      <c r="H1230" s="33"/>
      <c r="I1230" s="33"/>
      <c r="J1230" s="33"/>
      <c r="K1230" s="33"/>
      <c r="L1230" s="33"/>
      <c r="M1230" s="33"/>
      <c r="N1230" s="33"/>
      <c r="O1230" s="33"/>
      <c r="P1230" s="33"/>
      <c r="Q1230" s="33"/>
      <c r="R1230" s="33"/>
      <c r="S1230" s="33"/>
      <c r="T1230" s="33"/>
      <c r="U1230" s="33"/>
      <c r="V1230" s="33"/>
      <c r="W1230" s="33"/>
      <c r="X1230" s="33"/>
      <c r="Y1230" s="33"/>
      <c r="Z1230" s="33"/>
      <c r="AA1230" s="33"/>
      <c r="AB1230" s="33"/>
      <c r="AC1230" s="33"/>
      <c r="AD1230" s="33"/>
      <c r="AE1230" s="33"/>
      <c r="AF1230" s="33"/>
      <c r="AG1230" s="33"/>
      <c r="AH1230" s="33"/>
      <c r="AI1230" s="33"/>
      <c r="AJ1230" s="33"/>
      <c r="AK1230" s="216"/>
      <c r="AL1230" s="33"/>
      <c r="AM1230" s="33"/>
      <c r="AN1230" s="33"/>
      <c r="AO1230" s="33"/>
      <c r="AP1230" s="33"/>
    </row>
    <row r="1231" spans="1:42" ht="15.75" customHeight="1">
      <c r="A1231" s="33"/>
      <c r="B1231" s="33"/>
      <c r="C1231" s="33"/>
      <c r="D1231" s="33"/>
      <c r="E1231" s="33"/>
      <c r="F1231" s="199"/>
      <c r="G1231" s="33"/>
      <c r="H1231" s="33"/>
      <c r="I1231" s="33"/>
      <c r="J1231" s="33"/>
      <c r="K1231" s="33"/>
      <c r="L1231" s="33"/>
      <c r="M1231" s="33"/>
      <c r="N1231" s="33"/>
      <c r="O1231" s="33"/>
      <c r="P1231" s="33"/>
      <c r="Q1231" s="33"/>
      <c r="R1231" s="33"/>
      <c r="S1231" s="33"/>
      <c r="T1231" s="33"/>
      <c r="U1231" s="33"/>
      <c r="V1231" s="33"/>
      <c r="W1231" s="33"/>
      <c r="X1231" s="33"/>
      <c r="Y1231" s="33"/>
      <c r="Z1231" s="33"/>
      <c r="AA1231" s="33"/>
      <c r="AB1231" s="33"/>
      <c r="AC1231" s="33"/>
      <c r="AD1231" s="33"/>
      <c r="AE1231" s="33"/>
      <c r="AF1231" s="33"/>
      <c r="AG1231" s="33"/>
      <c r="AH1231" s="33"/>
      <c r="AI1231" s="33"/>
      <c r="AJ1231" s="33"/>
      <c r="AK1231" s="216"/>
      <c r="AL1231" s="33"/>
      <c r="AM1231" s="33"/>
      <c r="AN1231" s="33"/>
      <c r="AO1231" s="33"/>
      <c r="AP1231" s="33"/>
    </row>
    <row r="1232" spans="1:42" ht="15.75" customHeight="1">
      <c r="A1232" s="33"/>
      <c r="B1232" s="33"/>
      <c r="C1232" s="33"/>
      <c r="D1232" s="33"/>
      <c r="E1232" s="33"/>
      <c r="F1232" s="199"/>
      <c r="G1232" s="33"/>
      <c r="H1232" s="33"/>
      <c r="I1232" s="33"/>
      <c r="J1232" s="33"/>
      <c r="K1232" s="33"/>
      <c r="L1232" s="33"/>
      <c r="M1232" s="33"/>
      <c r="N1232" s="33"/>
      <c r="O1232" s="33"/>
      <c r="P1232" s="33"/>
      <c r="Q1232" s="33"/>
      <c r="R1232" s="33"/>
      <c r="S1232" s="33"/>
      <c r="T1232" s="33"/>
      <c r="U1232" s="33"/>
      <c r="V1232" s="33"/>
      <c r="W1232" s="33"/>
      <c r="X1232" s="33"/>
      <c r="Y1232" s="33"/>
      <c r="Z1232" s="33"/>
      <c r="AA1232" s="33"/>
      <c r="AB1232" s="33"/>
      <c r="AC1232" s="33"/>
      <c r="AD1232" s="33"/>
      <c r="AE1232" s="33"/>
      <c r="AF1232" s="33"/>
      <c r="AG1232" s="33"/>
      <c r="AH1232" s="33"/>
      <c r="AI1232" s="33"/>
      <c r="AJ1232" s="33"/>
      <c r="AK1232" s="216"/>
      <c r="AL1232" s="33"/>
      <c r="AM1232" s="33"/>
      <c r="AN1232" s="33"/>
      <c r="AO1232" s="33"/>
      <c r="AP1232" s="33"/>
    </row>
    <row r="1233" spans="1:42" ht="15.75" customHeight="1">
      <c r="A1233" s="33"/>
      <c r="B1233" s="33"/>
      <c r="C1233" s="33"/>
      <c r="D1233" s="33"/>
      <c r="E1233" s="33"/>
      <c r="F1233" s="199"/>
      <c r="G1233" s="33"/>
      <c r="H1233" s="33"/>
      <c r="I1233" s="33"/>
      <c r="J1233" s="33"/>
      <c r="K1233" s="33"/>
      <c r="L1233" s="33"/>
      <c r="M1233" s="33"/>
      <c r="N1233" s="33"/>
      <c r="O1233" s="33"/>
      <c r="P1233" s="33"/>
      <c r="Q1233" s="33"/>
      <c r="R1233" s="33"/>
      <c r="S1233" s="33"/>
      <c r="T1233" s="33"/>
      <c r="U1233" s="33"/>
      <c r="V1233" s="33"/>
      <c r="W1233" s="33"/>
      <c r="X1233" s="33"/>
      <c r="Y1233" s="33"/>
      <c r="Z1233" s="33"/>
      <c r="AA1233" s="33"/>
      <c r="AB1233" s="33"/>
      <c r="AC1233" s="33"/>
      <c r="AD1233" s="33"/>
      <c r="AE1233" s="33"/>
      <c r="AF1233" s="33"/>
      <c r="AG1233" s="33"/>
      <c r="AH1233" s="33"/>
      <c r="AI1233" s="33"/>
      <c r="AJ1233" s="33"/>
      <c r="AK1233" s="216"/>
      <c r="AL1233" s="33"/>
      <c r="AM1233" s="33"/>
      <c r="AN1233" s="33"/>
      <c r="AO1233" s="33"/>
      <c r="AP1233" s="33"/>
    </row>
    <row r="1234" spans="1:42" ht="15.75" customHeight="1">
      <c r="A1234" s="33"/>
      <c r="B1234" s="33"/>
      <c r="C1234" s="33"/>
      <c r="D1234" s="33"/>
      <c r="E1234" s="33"/>
      <c r="F1234" s="199"/>
      <c r="G1234" s="33"/>
      <c r="H1234" s="33"/>
      <c r="I1234" s="33"/>
      <c r="J1234" s="33"/>
      <c r="K1234" s="33"/>
      <c r="L1234" s="33"/>
      <c r="M1234" s="33"/>
      <c r="N1234" s="33"/>
      <c r="O1234" s="33"/>
      <c r="P1234" s="33"/>
      <c r="Q1234" s="33"/>
      <c r="R1234" s="33"/>
      <c r="S1234" s="33"/>
      <c r="T1234" s="33"/>
      <c r="U1234" s="33"/>
      <c r="V1234" s="33"/>
      <c r="W1234" s="33"/>
      <c r="X1234" s="33"/>
      <c r="Y1234" s="33"/>
      <c r="Z1234" s="33"/>
      <c r="AA1234" s="33"/>
      <c r="AB1234" s="33"/>
      <c r="AC1234" s="33"/>
      <c r="AD1234" s="33"/>
      <c r="AE1234" s="33"/>
      <c r="AF1234" s="33"/>
      <c r="AG1234" s="33"/>
      <c r="AH1234" s="33"/>
      <c r="AI1234" s="33"/>
      <c r="AJ1234" s="33"/>
      <c r="AK1234" s="216"/>
      <c r="AL1234" s="33"/>
      <c r="AM1234" s="33"/>
      <c r="AN1234" s="33"/>
      <c r="AO1234" s="33"/>
      <c r="AP1234" s="33"/>
    </row>
    <row r="1235" spans="1:42" ht="15.75" customHeight="1">
      <c r="A1235" s="33"/>
      <c r="B1235" s="33"/>
      <c r="C1235" s="33"/>
      <c r="D1235" s="33"/>
      <c r="E1235" s="33"/>
      <c r="F1235" s="199"/>
      <c r="G1235" s="33"/>
      <c r="H1235" s="33"/>
      <c r="I1235" s="33"/>
      <c r="J1235" s="33"/>
      <c r="K1235" s="33"/>
      <c r="L1235" s="33"/>
      <c r="M1235" s="33"/>
      <c r="N1235" s="33"/>
      <c r="O1235" s="33"/>
      <c r="P1235" s="33"/>
      <c r="Q1235" s="33"/>
      <c r="R1235" s="33"/>
      <c r="S1235" s="33"/>
      <c r="T1235" s="33"/>
      <c r="U1235" s="33"/>
      <c r="V1235" s="33"/>
      <c r="W1235" s="33"/>
      <c r="X1235" s="33"/>
      <c r="Y1235" s="33"/>
      <c r="Z1235" s="33"/>
      <c r="AA1235" s="33"/>
      <c r="AB1235" s="33"/>
      <c r="AC1235" s="33"/>
      <c r="AD1235" s="33"/>
      <c r="AE1235" s="33"/>
      <c r="AF1235" s="33"/>
      <c r="AG1235" s="33"/>
      <c r="AH1235" s="33"/>
      <c r="AI1235" s="33"/>
      <c r="AJ1235" s="33"/>
      <c r="AK1235" s="216"/>
      <c r="AL1235" s="33"/>
      <c r="AM1235" s="33"/>
      <c r="AN1235" s="33"/>
      <c r="AO1235" s="33"/>
      <c r="AP1235" s="33"/>
    </row>
    <row r="1236" spans="1:42" ht="15.75" customHeight="1">
      <c r="A1236" s="33"/>
      <c r="B1236" s="33"/>
      <c r="C1236" s="33"/>
      <c r="D1236" s="33"/>
      <c r="E1236" s="33"/>
      <c r="F1236" s="199"/>
      <c r="G1236" s="33"/>
      <c r="H1236" s="33"/>
      <c r="I1236" s="33"/>
      <c r="J1236" s="33"/>
      <c r="K1236" s="33"/>
      <c r="L1236" s="33"/>
      <c r="M1236" s="33"/>
      <c r="N1236" s="33"/>
      <c r="O1236" s="33"/>
      <c r="P1236" s="33"/>
      <c r="Q1236" s="33"/>
      <c r="R1236" s="33"/>
      <c r="S1236" s="33"/>
      <c r="T1236" s="33"/>
      <c r="U1236" s="33"/>
      <c r="V1236" s="33"/>
      <c r="W1236" s="33"/>
      <c r="X1236" s="33"/>
      <c r="Y1236" s="33"/>
      <c r="Z1236" s="33"/>
      <c r="AA1236" s="33"/>
      <c r="AB1236" s="33"/>
      <c r="AC1236" s="33"/>
      <c r="AD1236" s="33"/>
      <c r="AE1236" s="33"/>
      <c r="AF1236" s="33"/>
      <c r="AG1236" s="33"/>
      <c r="AH1236" s="33"/>
      <c r="AI1236" s="33"/>
      <c r="AJ1236" s="33"/>
      <c r="AK1236" s="216"/>
      <c r="AL1236" s="33"/>
      <c r="AM1236" s="33"/>
      <c r="AN1236" s="33"/>
      <c r="AO1236" s="33"/>
      <c r="AP1236" s="33"/>
    </row>
    <row r="1237" spans="1:42" ht="15.75" customHeight="1">
      <c r="A1237" s="33"/>
      <c r="B1237" s="33"/>
      <c r="C1237" s="33"/>
      <c r="D1237" s="33"/>
      <c r="E1237" s="33"/>
      <c r="F1237" s="199"/>
      <c r="G1237" s="33"/>
      <c r="H1237" s="33"/>
      <c r="I1237" s="33"/>
      <c r="J1237" s="33"/>
      <c r="K1237" s="33"/>
      <c r="L1237" s="33"/>
      <c r="M1237" s="33"/>
      <c r="N1237" s="33"/>
      <c r="O1237" s="33"/>
      <c r="P1237" s="33"/>
      <c r="Q1237" s="33"/>
      <c r="R1237" s="33"/>
      <c r="S1237" s="33"/>
      <c r="T1237" s="33"/>
      <c r="U1237" s="33"/>
      <c r="V1237" s="33"/>
      <c r="W1237" s="33"/>
      <c r="X1237" s="33"/>
      <c r="Y1237" s="33"/>
      <c r="Z1237" s="33"/>
      <c r="AA1237" s="33"/>
      <c r="AB1237" s="33"/>
      <c r="AC1237" s="33"/>
      <c r="AD1237" s="33"/>
      <c r="AE1237" s="33"/>
      <c r="AF1237" s="33"/>
      <c r="AG1237" s="33"/>
      <c r="AH1237" s="33"/>
      <c r="AI1237" s="33"/>
      <c r="AJ1237" s="33"/>
      <c r="AK1237" s="216"/>
      <c r="AL1237" s="33"/>
      <c r="AM1237" s="33"/>
      <c r="AN1237" s="33"/>
      <c r="AO1237" s="33"/>
      <c r="AP1237" s="33"/>
    </row>
    <row r="1238" spans="1:42" ht="15.75" customHeight="1">
      <c r="A1238" s="33"/>
      <c r="B1238" s="33"/>
      <c r="C1238" s="33"/>
      <c r="D1238" s="33"/>
      <c r="E1238" s="33"/>
      <c r="F1238" s="199"/>
      <c r="G1238" s="33"/>
      <c r="H1238" s="33"/>
      <c r="I1238" s="33"/>
      <c r="J1238" s="33"/>
      <c r="K1238" s="33"/>
      <c r="L1238" s="33"/>
      <c r="M1238" s="33"/>
      <c r="N1238" s="33"/>
      <c r="O1238" s="33"/>
      <c r="P1238" s="33"/>
      <c r="Q1238" s="33"/>
      <c r="R1238" s="33"/>
      <c r="S1238" s="33"/>
      <c r="T1238" s="33"/>
      <c r="U1238" s="33"/>
      <c r="V1238" s="33"/>
      <c r="W1238" s="33"/>
      <c r="X1238" s="33"/>
      <c r="Y1238" s="33"/>
      <c r="Z1238" s="33"/>
      <c r="AA1238" s="33"/>
      <c r="AB1238" s="33"/>
      <c r="AC1238" s="33"/>
      <c r="AD1238" s="33"/>
      <c r="AE1238" s="33"/>
      <c r="AF1238" s="33"/>
      <c r="AG1238" s="33"/>
      <c r="AH1238" s="33"/>
      <c r="AI1238" s="33"/>
      <c r="AJ1238" s="33"/>
      <c r="AK1238" s="216"/>
      <c r="AL1238" s="33"/>
      <c r="AM1238" s="33"/>
      <c r="AN1238" s="33"/>
      <c r="AO1238" s="33"/>
      <c r="AP1238" s="33"/>
    </row>
    <row r="1239" spans="1:42" ht="15.75" customHeight="1">
      <c r="A1239" s="33"/>
      <c r="B1239" s="33"/>
      <c r="C1239" s="33"/>
      <c r="D1239" s="33"/>
      <c r="E1239" s="33"/>
      <c r="F1239" s="199"/>
      <c r="G1239" s="33"/>
      <c r="H1239" s="33"/>
      <c r="I1239" s="33"/>
      <c r="J1239" s="33"/>
      <c r="K1239" s="33"/>
      <c r="L1239" s="33"/>
      <c r="M1239" s="33"/>
      <c r="N1239" s="33"/>
      <c r="O1239" s="33"/>
      <c r="P1239" s="33"/>
      <c r="Q1239" s="33"/>
      <c r="R1239" s="33"/>
      <c r="S1239" s="33"/>
      <c r="T1239" s="33"/>
      <c r="U1239" s="33"/>
      <c r="V1239" s="33"/>
      <c r="W1239" s="33"/>
      <c r="X1239" s="33"/>
      <c r="Y1239" s="33"/>
      <c r="Z1239" s="33"/>
      <c r="AA1239" s="33"/>
      <c r="AB1239" s="33"/>
      <c r="AC1239" s="33"/>
      <c r="AD1239" s="33"/>
      <c r="AE1239" s="33"/>
      <c r="AF1239" s="33"/>
      <c r="AG1239" s="33"/>
      <c r="AH1239" s="33"/>
      <c r="AI1239" s="33"/>
      <c r="AJ1239" s="33"/>
      <c r="AK1239" s="216"/>
      <c r="AL1239" s="33"/>
      <c r="AM1239" s="33"/>
      <c r="AN1239" s="33"/>
      <c r="AO1239" s="33"/>
      <c r="AP1239" s="33"/>
    </row>
    <row r="1240" spans="1:42" ht="15.75" customHeight="1">
      <c r="A1240" s="33"/>
      <c r="B1240" s="33"/>
      <c r="C1240" s="33"/>
      <c r="D1240" s="33"/>
      <c r="E1240" s="33"/>
      <c r="F1240" s="199"/>
      <c r="G1240" s="33"/>
      <c r="H1240" s="33"/>
      <c r="I1240" s="33"/>
      <c r="J1240" s="33"/>
      <c r="K1240" s="33"/>
      <c r="L1240" s="33"/>
      <c r="M1240" s="33"/>
      <c r="N1240" s="33"/>
      <c r="O1240" s="33"/>
      <c r="P1240" s="33"/>
      <c r="Q1240" s="33"/>
      <c r="R1240" s="33"/>
      <c r="S1240" s="33"/>
      <c r="T1240" s="33"/>
      <c r="U1240" s="33"/>
      <c r="V1240" s="33"/>
      <c r="W1240" s="33"/>
      <c r="X1240" s="33"/>
      <c r="Y1240" s="33"/>
      <c r="Z1240" s="33"/>
      <c r="AA1240" s="33"/>
      <c r="AB1240" s="33"/>
      <c r="AC1240" s="33"/>
      <c r="AD1240" s="33"/>
      <c r="AE1240" s="33"/>
      <c r="AF1240" s="33"/>
      <c r="AG1240" s="33"/>
      <c r="AH1240" s="33"/>
      <c r="AI1240" s="33"/>
      <c r="AJ1240" s="33"/>
      <c r="AK1240" s="216"/>
      <c r="AL1240" s="33"/>
      <c r="AM1240" s="33"/>
      <c r="AN1240" s="33"/>
      <c r="AO1240" s="33"/>
      <c r="AP1240" s="33"/>
    </row>
    <row r="1241" spans="1:42" ht="15.75" customHeight="1">
      <c r="A1241" s="33"/>
      <c r="B1241" s="33"/>
      <c r="C1241" s="33"/>
      <c r="D1241" s="33"/>
      <c r="E1241" s="33"/>
      <c r="F1241" s="199"/>
      <c r="G1241" s="33"/>
      <c r="H1241" s="33"/>
      <c r="I1241" s="33"/>
      <c r="J1241" s="33"/>
      <c r="K1241" s="33"/>
      <c r="L1241" s="33"/>
      <c r="M1241" s="33"/>
      <c r="N1241" s="33"/>
      <c r="O1241" s="33"/>
      <c r="P1241" s="33"/>
      <c r="Q1241" s="33"/>
      <c r="R1241" s="33"/>
      <c r="S1241" s="33"/>
      <c r="T1241" s="33"/>
      <c r="U1241" s="33"/>
      <c r="V1241" s="33"/>
      <c r="W1241" s="33"/>
      <c r="X1241" s="33"/>
      <c r="Y1241" s="33"/>
      <c r="Z1241" s="33"/>
      <c r="AA1241" s="33"/>
      <c r="AB1241" s="33"/>
      <c r="AC1241" s="33"/>
      <c r="AD1241" s="33"/>
      <c r="AE1241" s="33"/>
      <c r="AF1241" s="33"/>
      <c r="AG1241" s="33"/>
      <c r="AH1241" s="33"/>
      <c r="AI1241" s="33"/>
      <c r="AJ1241" s="33"/>
      <c r="AK1241" s="216"/>
      <c r="AL1241" s="33"/>
      <c r="AM1241" s="33"/>
      <c r="AN1241" s="33"/>
      <c r="AO1241" s="33"/>
      <c r="AP1241" s="33"/>
    </row>
    <row r="1242" spans="1:42" ht="15.75" customHeight="1">
      <c r="A1242" s="33"/>
      <c r="B1242" s="33"/>
      <c r="C1242" s="33"/>
      <c r="D1242" s="33"/>
      <c r="E1242" s="33"/>
      <c r="F1242" s="199"/>
      <c r="G1242" s="33"/>
      <c r="H1242" s="33"/>
      <c r="I1242" s="33"/>
      <c r="J1242" s="33"/>
      <c r="K1242" s="33"/>
      <c r="L1242" s="33"/>
      <c r="M1242" s="33"/>
      <c r="N1242" s="33"/>
      <c r="O1242" s="33"/>
      <c r="P1242" s="33"/>
      <c r="Q1242" s="33"/>
      <c r="R1242" s="33"/>
      <c r="S1242" s="33"/>
      <c r="T1242" s="33"/>
      <c r="U1242" s="33"/>
      <c r="V1242" s="33"/>
      <c r="W1242" s="33"/>
      <c r="X1242" s="33"/>
      <c r="Y1242" s="33"/>
      <c r="Z1242" s="33"/>
      <c r="AA1242" s="33"/>
      <c r="AB1242" s="33"/>
      <c r="AC1242" s="33"/>
      <c r="AD1242" s="33"/>
      <c r="AE1242" s="33"/>
      <c r="AF1242" s="33"/>
      <c r="AG1242" s="33"/>
      <c r="AH1242" s="33"/>
      <c r="AI1242" s="33"/>
      <c r="AJ1242" s="33"/>
      <c r="AK1242" s="216"/>
      <c r="AL1242" s="33"/>
      <c r="AM1242" s="33"/>
      <c r="AN1242" s="33"/>
      <c r="AO1242" s="33"/>
      <c r="AP1242" s="33"/>
    </row>
    <row r="1243" spans="1:42" ht="15.75" customHeight="1">
      <c r="A1243" s="33"/>
      <c r="B1243" s="33"/>
      <c r="C1243" s="33"/>
      <c r="D1243" s="33"/>
      <c r="E1243" s="33"/>
      <c r="F1243" s="199"/>
      <c r="G1243" s="33"/>
      <c r="H1243" s="33"/>
      <c r="I1243" s="33"/>
      <c r="J1243" s="33"/>
      <c r="K1243" s="33"/>
      <c r="L1243" s="33"/>
      <c r="M1243" s="33"/>
      <c r="N1243" s="33"/>
      <c r="O1243" s="33"/>
      <c r="P1243" s="33"/>
      <c r="Q1243" s="33"/>
      <c r="R1243" s="33"/>
      <c r="S1243" s="33"/>
      <c r="T1243" s="33"/>
      <c r="U1243" s="33"/>
      <c r="V1243" s="33"/>
      <c r="W1243" s="33"/>
      <c r="X1243" s="33"/>
      <c r="Y1243" s="33"/>
      <c r="Z1243" s="33"/>
      <c r="AA1243" s="33"/>
      <c r="AB1243" s="33"/>
      <c r="AC1243" s="33"/>
      <c r="AD1243" s="33"/>
      <c r="AE1243" s="33"/>
      <c r="AF1243" s="33"/>
      <c r="AG1243" s="33"/>
      <c r="AH1243" s="33"/>
      <c r="AI1243" s="33"/>
      <c r="AJ1243" s="33"/>
      <c r="AK1243" s="216"/>
      <c r="AL1243" s="33"/>
      <c r="AM1243" s="33"/>
      <c r="AN1243" s="33"/>
      <c r="AO1243" s="33"/>
      <c r="AP1243" s="33"/>
    </row>
    <row r="1244" spans="1:42" ht="15.75" customHeight="1">
      <c r="A1244" s="33"/>
      <c r="B1244" s="33"/>
      <c r="C1244" s="33"/>
      <c r="D1244" s="33"/>
      <c r="E1244" s="33"/>
      <c r="F1244" s="199"/>
      <c r="G1244" s="33"/>
      <c r="H1244" s="33"/>
      <c r="I1244" s="33"/>
      <c r="J1244" s="33"/>
      <c r="K1244" s="33"/>
      <c r="L1244" s="33"/>
      <c r="M1244" s="33"/>
      <c r="N1244" s="33"/>
      <c r="O1244" s="33"/>
      <c r="P1244" s="33"/>
      <c r="Q1244" s="33"/>
      <c r="R1244" s="33"/>
      <c r="S1244" s="33"/>
      <c r="T1244" s="33"/>
      <c r="U1244" s="33"/>
      <c r="V1244" s="33"/>
      <c r="W1244" s="33"/>
      <c r="X1244" s="33"/>
      <c r="Y1244" s="33"/>
      <c r="Z1244" s="33"/>
      <c r="AA1244" s="33"/>
      <c r="AB1244" s="33"/>
      <c r="AC1244" s="33"/>
      <c r="AD1244" s="33"/>
      <c r="AE1244" s="33"/>
      <c r="AF1244" s="33"/>
      <c r="AG1244" s="33"/>
      <c r="AH1244" s="33"/>
      <c r="AI1244" s="33"/>
      <c r="AJ1244" s="33"/>
      <c r="AK1244" s="216"/>
      <c r="AL1244" s="33"/>
      <c r="AM1244" s="33"/>
      <c r="AN1244" s="33"/>
      <c r="AO1244" s="33"/>
      <c r="AP1244" s="33"/>
    </row>
    <row r="1245" spans="1:42" ht="15.75" customHeight="1">
      <c r="A1245" s="33"/>
      <c r="B1245" s="33"/>
      <c r="C1245" s="33"/>
      <c r="D1245" s="33"/>
      <c r="E1245" s="33"/>
      <c r="F1245" s="199"/>
      <c r="G1245" s="33"/>
      <c r="H1245" s="33"/>
      <c r="I1245" s="33"/>
      <c r="J1245" s="33"/>
      <c r="K1245" s="33"/>
      <c r="L1245" s="33"/>
      <c r="M1245" s="33"/>
      <c r="N1245" s="33"/>
      <c r="O1245" s="33"/>
      <c r="P1245" s="33"/>
      <c r="Q1245" s="33"/>
      <c r="R1245" s="33"/>
      <c r="S1245" s="33"/>
      <c r="T1245" s="33"/>
      <c r="U1245" s="33"/>
      <c r="V1245" s="33"/>
      <c r="W1245" s="33"/>
      <c r="X1245" s="33"/>
      <c r="Y1245" s="33"/>
      <c r="Z1245" s="33"/>
      <c r="AA1245" s="33"/>
      <c r="AB1245" s="33"/>
      <c r="AC1245" s="33"/>
      <c r="AD1245" s="33"/>
      <c r="AE1245" s="33"/>
      <c r="AF1245" s="33"/>
      <c r="AG1245" s="33"/>
      <c r="AH1245" s="33"/>
      <c r="AI1245" s="33"/>
      <c r="AJ1245" s="33"/>
      <c r="AK1245" s="216"/>
      <c r="AL1245" s="33"/>
      <c r="AM1245" s="33"/>
      <c r="AN1245" s="33"/>
      <c r="AO1245" s="33"/>
      <c r="AP1245" s="33"/>
    </row>
    <row r="1246" spans="1:42" ht="15.75" customHeight="1">
      <c r="A1246" s="33"/>
      <c r="B1246" s="33"/>
      <c r="C1246" s="33"/>
      <c r="D1246" s="33"/>
      <c r="E1246" s="33"/>
      <c r="F1246" s="199"/>
      <c r="G1246" s="33"/>
      <c r="H1246" s="33"/>
      <c r="I1246" s="33"/>
      <c r="J1246" s="33"/>
      <c r="K1246" s="33"/>
      <c r="L1246" s="33"/>
      <c r="M1246" s="33"/>
      <c r="N1246" s="33"/>
      <c r="O1246" s="33"/>
      <c r="P1246" s="33"/>
      <c r="Q1246" s="33"/>
      <c r="R1246" s="33"/>
      <c r="S1246" s="33"/>
      <c r="T1246" s="33"/>
      <c r="U1246" s="33"/>
      <c r="V1246" s="33"/>
      <c r="W1246" s="33"/>
      <c r="X1246" s="33"/>
      <c r="Y1246" s="33"/>
      <c r="Z1246" s="33"/>
      <c r="AA1246" s="33"/>
      <c r="AB1246" s="33"/>
      <c r="AC1246" s="33"/>
      <c r="AD1246" s="33"/>
      <c r="AE1246" s="33"/>
      <c r="AF1246" s="33"/>
      <c r="AG1246" s="33"/>
      <c r="AH1246" s="33"/>
      <c r="AI1246" s="33"/>
      <c r="AJ1246" s="33"/>
      <c r="AK1246" s="216"/>
      <c r="AL1246" s="33"/>
      <c r="AM1246" s="33"/>
      <c r="AN1246" s="33"/>
      <c r="AO1246" s="33"/>
      <c r="AP1246" s="33"/>
    </row>
    <row r="1247" spans="1:42" ht="15.75" customHeight="1">
      <c r="A1247" s="33"/>
      <c r="B1247" s="33"/>
      <c r="C1247" s="33"/>
      <c r="D1247" s="33"/>
      <c r="E1247" s="33"/>
      <c r="F1247" s="199"/>
      <c r="G1247" s="33"/>
      <c r="H1247" s="33"/>
      <c r="I1247" s="33"/>
      <c r="J1247" s="33"/>
      <c r="K1247" s="33"/>
      <c r="L1247" s="33"/>
      <c r="M1247" s="33"/>
      <c r="N1247" s="33"/>
      <c r="O1247" s="33"/>
      <c r="P1247" s="33"/>
      <c r="Q1247" s="33"/>
      <c r="R1247" s="33"/>
      <c r="S1247" s="33"/>
      <c r="T1247" s="33"/>
      <c r="U1247" s="33"/>
      <c r="V1247" s="33"/>
      <c r="W1247" s="33"/>
      <c r="X1247" s="33"/>
      <c r="Y1247" s="33"/>
      <c r="Z1247" s="33"/>
      <c r="AA1247" s="33"/>
      <c r="AB1247" s="33"/>
      <c r="AC1247" s="33"/>
      <c r="AD1247" s="33"/>
      <c r="AE1247" s="33"/>
      <c r="AF1247" s="33"/>
      <c r="AG1247" s="33"/>
      <c r="AH1247" s="33"/>
      <c r="AI1247" s="33"/>
      <c r="AJ1247" s="33"/>
      <c r="AK1247" s="216"/>
      <c r="AL1247" s="33"/>
      <c r="AM1247" s="33"/>
      <c r="AN1247" s="33"/>
      <c r="AO1247" s="33"/>
      <c r="AP1247" s="33"/>
    </row>
    <row r="1248" spans="1:42" ht="15.75" customHeight="1">
      <c r="A1248" s="33"/>
      <c r="B1248" s="33"/>
      <c r="C1248" s="33"/>
      <c r="D1248" s="33"/>
      <c r="E1248" s="33"/>
      <c r="F1248" s="199"/>
      <c r="G1248" s="33"/>
      <c r="H1248" s="33"/>
      <c r="I1248" s="33"/>
      <c r="J1248" s="33"/>
      <c r="K1248" s="33"/>
      <c r="L1248" s="33"/>
      <c r="M1248" s="33"/>
      <c r="N1248" s="33"/>
      <c r="O1248" s="33"/>
      <c r="P1248" s="33"/>
      <c r="Q1248" s="33"/>
      <c r="R1248" s="33"/>
      <c r="S1248" s="33"/>
      <c r="T1248" s="33"/>
      <c r="U1248" s="33"/>
      <c r="V1248" s="33"/>
      <c r="W1248" s="33"/>
      <c r="X1248" s="33"/>
      <c r="Y1248" s="33"/>
      <c r="Z1248" s="33"/>
      <c r="AA1248" s="33"/>
      <c r="AB1248" s="33"/>
      <c r="AC1248" s="33"/>
      <c r="AD1248" s="33"/>
      <c r="AE1248" s="33"/>
      <c r="AF1248" s="33"/>
      <c r="AG1248" s="33"/>
      <c r="AH1248" s="33"/>
      <c r="AI1248" s="33"/>
      <c r="AJ1248" s="33"/>
      <c r="AK1248" s="216"/>
      <c r="AL1248" s="33"/>
      <c r="AM1248" s="33"/>
      <c r="AN1248" s="33"/>
      <c r="AO1248" s="33"/>
      <c r="AP1248" s="33"/>
    </row>
    <row r="1249" spans="1:42" ht="15.75" customHeight="1">
      <c r="A1249" s="33"/>
      <c r="B1249" s="33"/>
      <c r="C1249" s="33"/>
      <c r="D1249" s="33"/>
      <c r="E1249" s="33"/>
      <c r="F1249" s="199"/>
      <c r="G1249" s="33"/>
      <c r="H1249" s="33"/>
      <c r="I1249" s="33"/>
      <c r="J1249" s="33"/>
      <c r="K1249" s="33"/>
      <c r="L1249" s="33"/>
      <c r="M1249" s="33"/>
      <c r="N1249" s="33"/>
      <c r="O1249" s="33"/>
      <c r="P1249" s="33"/>
      <c r="Q1249" s="33"/>
      <c r="R1249" s="33"/>
      <c r="S1249" s="33"/>
      <c r="T1249" s="33"/>
      <c r="U1249" s="33"/>
      <c r="V1249" s="33"/>
      <c r="W1249" s="33"/>
      <c r="X1249" s="33"/>
      <c r="Y1249" s="33"/>
      <c r="Z1249" s="33"/>
      <c r="AA1249" s="33"/>
      <c r="AB1249" s="33"/>
      <c r="AC1249" s="33"/>
      <c r="AD1249" s="33"/>
      <c r="AE1249" s="33"/>
      <c r="AF1249" s="33"/>
      <c r="AG1249" s="33"/>
      <c r="AH1249" s="33"/>
      <c r="AI1249" s="33"/>
      <c r="AJ1249" s="33"/>
      <c r="AK1249" s="216"/>
      <c r="AL1249" s="33"/>
      <c r="AM1249" s="33"/>
      <c r="AN1249" s="33"/>
      <c r="AO1249" s="33"/>
      <c r="AP1249" s="33"/>
    </row>
    <row r="1250" spans="1:42" ht="15.75" customHeight="1">
      <c r="A1250" s="33"/>
      <c r="B1250" s="33"/>
      <c r="C1250" s="33"/>
      <c r="D1250" s="33"/>
      <c r="E1250" s="33"/>
      <c r="F1250" s="199"/>
      <c r="G1250" s="33"/>
      <c r="H1250" s="33"/>
      <c r="I1250" s="33"/>
      <c r="J1250" s="33"/>
      <c r="K1250" s="33"/>
      <c r="L1250" s="33"/>
      <c r="M1250" s="33"/>
      <c r="N1250" s="33"/>
      <c r="O1250" s="33"/>
      <c r="P1250" s="33"/>
      <c r="Q1250" s="33"/>
      <c r="R1250" s="33"/>
      <c r="S1250" s="33"/>
      <c r="T1250" s="33"/>
      <c r="U1250" s="33"/>
      <c r="V1250" s="33"/>
      <c r="W1250" s="33"/>
      <c r="X1250" s="33"/>
      <c r="Y1250" s="33"/>
      <c r="Z1250" s="33"/>
      <c r="AA1250" s="33"/>
      <c r="AB1250" s="33"/>
      <c r="AC1250" s="33"/>
      <c r="AD1250" s="33"/>
      <c r="AE1250" s="33"/>
      <c r="AF1250" s="33"/>
      <c r="AG1250" s="33"/>
      <c r="AH1250" s="33"/>
      <c r="AI1250" s="33"/>
      <c r="AJ1250" s="33"/>
      <c r="AK1250" s="216"/>
      <c r="AL1250" s="33"/>
      <c r="AM1250" s="33"/>
      <c r="AN1250" s="33"/>
      <c r="AO1250" s="33"/>
      <c r="AP1250" s="33"/>
    </row>
    <row r="1251" spans="1:42" ht="15.75" customHeight="1">
      <c r="A1251" s="33"/>
      <c r="B1251" s="33"/>
      <c r="C1251" s="33"/>
      <c r="D1251" s="33"/>
      <c r="E1251" s="33"/>
      <c r="F1251" s="199"/>
      <c r="G1251" s="33"/>
      <c r="H1251" s="33"/>
      <c r="I1251" s="33"/>
      <c r="J1251" s="33"/>
      <c r="K1251" s="33"/>
      <c r="L1251" s="33"/>
      <c r="M1251" s="33"/>
      <c r="N1251" s="33"/>
      <c r="O1251" s="33"/>
      <c r="P1251" s="33"/>
      <c r="Q1251" s="33"/>
      <c r="R1251" s="33"/>
      <c r="S1251" s="33"/>
      <c r="T1251" s="33"/>
      <c r="U1251" s="33"/>
      <c r="V1251" s="33"/>
      <c r="W1251" s="33"/>
      <c r="X1251" s="33"/>
      <c r="Y1251" s="33"/>
      <c r="Z1251" s="33"/>
      <c r="AA1251" s="33"/>
      <c r="AB1251" s="33"/>
      <c r="AC1251" s="33"/>
      <c r="AD1251" s="33"/>
      <c r="AE1251" s="33"/>
      <c r="AF1251" s="33"/>
      <c r="AG1251" s="33"/>
      <c r="AH1251" s="33"/>
      <c r="AI1251" s="33"/>
      <c r="AJ1251" s="33"/>
      <c r="AK1251" s="216"/>
      <c r="AL1251" s="33"/>
      <c r="AM1251" s="33"/>
      <c r="AN1251" s="33"/>
      <c r="AO1251" s="33"/>
      <c r="AP1251" s="33"/>
    </row>
    <row r="1252" spans="1:42" ht="15.75" customHeight="1">
      <c r="A1252" s="33"/>
      <c r="B1252" s="33"/>
      <c r="C1252" s="33"/>
      <c r="D1252" s="33"/>
      <c r="E1252" s="33"/>
      <c r="F1252" s="199"/>
      <c r="G1252" s="33"/>
      <c r="H1252" s="33"/>
      <c r="I1252" s="33"/>
      <c r="J1252" s="33"/>
      <c r="K1252" s="33"/>
      <c r="L1252" s="33"/>
      <c r="M1252" s="33"/>
      <c r="N1252" s="33"/>
      <c r="O1252" s="33"/>
      <c r="P1252" s="33"/>
      <c r="Q1252" s="33"/>
      <c r="R1252" s="33"/>
      <c r="S1252" s="33"/>
      <c r="T1252" s="33"/>
      <c r="U1252" s="33"/>
      <c r="V1252" s="33"/>
      <c r="W1252" s="33"/>
      <c r="X1252" s="33"/>
      <c r="Y1252" s="33"/>
      <c r="Z1252" s="33"/>
      <c r="AA1252" s="33"/>
      <c r="AB1252" s="33"/>
      <c r="AC1252" s="33"/>
      <c r="AD1252" s="33"/>
      <c r="AE1252" s="33"/>
      <c r="AF1252" s="33"/>
      <c r="AG1252" s="33"/>
      <c r="AH1252" s="33"/>
      <c r="AI1252" s="33"/>
      <c r="AJ1252" s="33"/>
      <c r="AK1252" s="216"/>
      <c r="AL1252" s="33"/>
      <c r="AM1252" s="33"/>
      <c r="AN1252" s="33"/>
      <c r="AO1252" s="33"/>
      <c r="AP1252" s="33"/>
    </row>
    <row r="1253" spans="1:42" ht="15.75" customHeight="1">
      <c r="A1253" s="33"/>
      <c r="B1253" s="33"/>
      <c r="C1253" s="33"/>
      <c r="D1253" s="33"/>
      <c r="E1253" s="33"/>
      <c r="F1253" s="199"/>
      <c r="G1253" s="33"/>
      <c r="H1253" s="33"/>
      <c r="I1253" s="33"/>
      <c r="J1253" s="33"/>
      <c r="K1253" s="33"/>
      <c r="L1253" s="33"/>
      <c r="M1253" s="33"/>
      <c r="N1253" s="33"/>
      <c r="O1253" s="33"/>
      <c r="P1253" s="33"/>
      <c r="Q1253" s="33"/>
      <c r="R1253" s="33"/>
      <c r="S1253" s="33"/>
      <c r="T1253" s="33"/>
      <c r="U1253" s="33"/>
      <c r="V1253" s="33"/>
      <c r="W1253" s="33"/>
      <c r="X1253" s="33"/>
      <c r="Y1253" s="33"/>
      <c r="Z1253" s="33"/>
      <c r="AA1253" s="33"/>
      <c r="AB1253" s="33"/>
      <c r="AC1253" s="33"/>
      <c r="AD1253" s="33"/>
      <c r="AE1253" s="33"/>
      <c r="AF1253" s="33"/>
      <c r="AG1253" s="33"/>
      <c r="AH1253" s="33"/>
      <c r="AI1253" s="33"/>
      <c r="AJ1253" s="33"/>
      <c r="AK1253" s="216"/>
      <c r="AL1253" s="33"/>
      <c r="AM1253" s="33"/>
      <c r="AN1253" s="33"/>
      <c r="AO1253" s="33"/>
      <c r="AP1253" s="33"/>
    </row>
    <row r="1254" spans="1:42" ht="15.75" customHeight="1">
      <c r="A1254" s="33"/>
      <c r="B1254" s="33"/>
      <c r="C1254" s="33"/>
      <c r="D1254" s="33"/>
      <c r="E1254" s="33"/>
      <c r="F1254" s="199"/>
      <c r="G1254" s="33"/>
      <c r="H1254" s="33"/>
      <c r="I1254" s="33"/>
      <c r="J1254" s="33"/>
      <c r="K1254" s="33"/>
      <c r="L1254" s="33"/>
      <c r="M1254" s="33"/>
      <c r="N1254" s="33"/>
      <c r="O1254" s="33"/>
      <c r="P1254" s="33"/>
      <c r="Q1254" s="33"/>
      <c r="R1254" s="33"/>
      <c r="S1254" s="33"/>
      <c r="T1254" s="33"/>
      <c r="U1254" s="33"/>
      <c r="V1254" s="33"/>
      <c r="W1254" s="33"/>
      <c r="X1254" s="33"/>
      <c r="Y1254" s="33"/>
      <c r="Z1254" s="33"/>
      <c r="AA1254" s="33"/>
      <c r="AB1254" s="33"/>
      <c r="AC1254" s="33"/>
      <c r="AD1254" s="33"/>
      <c r="AE1254" s="33"/>
      <c r="AF1254" s="33"/>
      <c r="AG1254" s="33"/>
      <c r="AH1254" s="33"/>
      <c r="AI1254" s="33"/>
      <c r="AJ1254" s="33"/>
      <c r="AK1254" s="216"/>
      <c r="AL1254" s="33"/>
      <c r="AM1254" s="33"/>
      <c r="AN1254" s="33"/>
      <c r="AO1254" s="33"/>
      <c r="AP1254" s="33"/>
    </row>
    <row r="1255" spans="1:42" ht="15.75" customHeight="1">
      <c r="A1255" s="33"/>
      <c r="B1255" s="33"/>
      <c r="C1255" s="33"/>
      <c r="D1255" s="33"/>
      <c r="E1255" s="33"/>
      <c r="F1255" s="199"/>
      <c r="G1255" s="33"/>
      <c r="H1255" s="33"/>
      <c r="I1255" s="33"/>
      <c r="J1255" s="33"/>
      <c r="K1255" s="33"/>
      <c r="L1255" s="33"/>
      <c r="M1255" s="33"/>
      <c r="N1255" s="33"/>
      <c r="O1255" s="33"/>
      <c r="P1255" s="33"/>
      <c r="Q1255" s="33"/>
      <c r="R1255" s="33"/>
      <c r="S1255" s="33"/>
      <c r="T1255" s="33"/>
      <c r="U1255" s="33"/>
      <c r="V1255" s="33"/>
      <c r="W1255" s="33"/>
      <c r="X1255" s="33"/>
      <c r="Y1255" s="33"/>
      <c r="Z1255" s="33"/>
      <c r="AA1255" s="33"/>
      <c r="AB1255" s="33"/>
      <c r="AC1255" s="33"/>
      <c r="AD1255" s="33"/>
      <c r="AE1255" s="33"/>
      <c r="AF1255" s="33"/>
      <c r="AG1255" s="33"/>
      <c r="AH1255" s="33"/>
      <c r="AI1255" s="33"/>
      <c r="AJ1255" s="33"/>
      <c r="AK1255" s="216"/>
      <c r="AL1255" s="33"/>
      <c r="AM1255" s="33"/>
      <c r="AN1255" s="33"/>
      <c r="AO1255" s="33"/>
      <c r="AP1255" s="33"/>
    </row>
    <row r="1256" spans="1:42" ht="15.75" customHeight="1">
      <c r="A1256" s="33"/>
      <c r="B1256" s="33"/>
      <c r="C1256" s="33"/>
      <c r="D1256" s="33"/>
      <c r="E1256" s="33"/>
      <c r="F1256" s="199"/>
      <c r="G1256" s="33"/>
      <c r="H1256" s="33"/>
      <c r="I1256" s="33"/>
      <c r="J1256" s="33"/>
      <c r="K1256" s="33"/>
      <c r="L1256" s="33"/>
      <c r="M1256" s="33"/>
      <c r="N1256" s="33"/>
      <c r="O1256" s="33"/>
      <c r="P1256" s="33"/>
      <c r="Q1256" s="33"/>
      <c r="R1256" s="33"/>
      <c r="S1256" s="33"/>
      <c r="T1256" s="33"/>
      <c r="U1256" s="33"/>
      <c r="V1256" s="33"/>
      <c r="W1256" s="33"/>
      <c r="X1256" s="33"/>
      <c r="Y1256" s="33"/>
      <c r="Z1256" s="33"/>
      <c r="AA1256" s="33"/>
      <c r="AB1256" s="33"/>
      <c r="AC1256" s="33"/>
      <c r="AD1256" s="33"/>
      <c r="AE1256" s="33"/>
      <c r="AF1256" s="33"/>
      <c r="AG1256" s="33"/>
      <c r="AH1256" s="33"/>
      <c r="AI1256" s="33"/>
      <c r="AJ1256" s="33"/>
      <c r="AK1256" s="216"/>
      <c r="AL1256" s="33"/>
      <c r="AM1256" s="33"/>
      <c r="AN1256" s="33"/>
      <c r="AO1256" s="33"/>
      <c r="AP1256" s="33"/>
    </row>
    <row r="1257" spans="1:42" ht="15.75" customHeight="1">
      <c r="A1257" s="33"/>
      <c r="B1257" s="33"/>
      <c r="C1257" s="33"/>
      <c r="D1257" s="33"/>
      <c r="E1257" s="33"/>
      <c r="F1257" s="199"/>
      <c r="G1257" s="33"/>
      <c r="H1257" s="33"/>
      <c r="I1257" s="33"/>
      <c r="J1257" s="33"/>
      <c r="K1257" s="33"/>
      <c r="L1257" s="33"/>
      <c r="M1257" s="33"/>
      <c r="N1257" s="33"/>
      <c r="O1257" s="33"/>
      <c r="P1257" s="33"/>
      <c r="Q1257" s="33"/>
      <c r="R1257" s="33"/>
      <c r="S1257" s="33"/>
      <c r="T1257" s="33"/>
      <c r="U1257" s="33"/>
      <c r="V1257" s="33"/>
      <c r="W1257" s="33"/>
      <c r="X1257" s="33"/>
      <c r="Y1257" s="33"/>
      <c r="Z1257" s="33"/>
      <c r="AA1257" s="33"/>
      <c r="AB1257" s="33"/>
      <c r="AC1257" s="33"/>
      <c r="AD1257" s="33"/>
      <c r="AE1257" s="33"/>
      <c r="AF1257" s="33"/>
      <c r="AG1257" s="33"/>
      <c r="AH1257" s="33"/>
      <c r="AI1257" s="33"/>
      <c r="AJ1257" s="33"/>
      <c r="AK1257" s="216"/>
      <c r="AL1257" s="33"/>
      <c r="AM1257" s="33"/>
      <c r="AN1257" s="33"/>
      <c r="AO1257" s="33"/>
      <c r="AP1257" s="33"/>
    </row>
    <row r="1258" spans="1:42" ht="15.75" customHeight="1">
      <c r="A1258" s="33"/>
      <c r="B1258" s="33"/>
      <c r="C1258" s="33"/>
      <c r="D1258" s="33"/>
      <c r="E1258" s="33"/>
      <c r="F1258" s="199"/>
      <c r="G1258" s="33"/>
      <c r="H1258" s="33"/>
      <c r="I1258" s="33"/>
      <c r="J1258" s="33"/>
      <c r="K1258" s="33"/>
      <c r="L1258" s="33"/>
      <c r="M1258" s="33"/>
      <c r="N1258" s="33"/>
      <c r="O1258" s="33"/>
      <c r="P1258" s="33"/>
      <c r="Q1258" s="33"/>
      <c r="R1258" s="33"/>
      <c r="S1258" s="33"/>
      <c r="T1258" s="33"/>
      <c r="U1258" s="33"/>
      <c r="V1258" s="33"/>
      <c r="W1258" s="33"/>
      <c r="X1258" s="33"/>
      <c r="Y1258" s="33"/>
      <c r="Z1258" s="33"/>
      <c r="AA1258" s="33"/>
      <c r="AB1258" s="33"/>
      <c r="AC1258" s="33"/>
      <c r="AD1258" s="33"/>
      <c r="AE1258" s="33"/>
      <c r="AF1258" s="33"/>
      <c r="AG1258" s="33"/>
      <c r="AH1258" s="33"/>
      <c r="AI1258" s="33"/>
      <c r="AJ1258" s="33"/>
      <c r="AK1258" s="216"/>
      <c r="AL1258" s="33"/>
      <c r="AM1258" s="33"/>
      <c r="AN1258" s="33"/>
      <c r="AO1258" s="33"/>
      <c r="AP1258" s="33"/>
    </row>
    <row r="1259" spans="1:42" ht="15.75" customHeight="1">
      <c r="A1259" s="33"/>
      <c r="B1259" s="33"/>
      <c r="C1259" s="33"/>
      <c r="D1259" s="33"/>
      <c r="E1259" s="33"/>
      <c r="F1259" s="199"/>
      <c r="G1259" s="33"/>
      <c r="H1259" s="33"/>
      <c r="I1259" s="33"/>
      <c r="J1259" s="33"/>
      <c r="K1259" s="33"/>
      <c r="L1259" s="33"/>
      <c r="M1259" s="33"/>
      <c r="N1259" s="33"/>
      <c r="O1259" s="33"/>
      <c r="P1259" s="33"/>
      <c r="Q1259" s="33"/>
      <c r="R1259" s="33"/>
      <c r="S1259" s="33"/>
      <c r="T1259" s="33"/>
      <c r="U1259" s="33"/>
      <c r="V1259" s="33"/>
      <c r="W1259" s="33"/>
      <c r="X1259" s="33"/>
      <c r="Y1259" s="33"/>
      <c r="Z1259" s="33"/>
      <c r="AA1259" s="33"/>
      <c r="AB1259" s="33"/>
      <c r="AC1259" s="33"/>
      <c r="AD1259" s="33"/>
      <c r="AE1259" s="33"/>
      <c r="AF1259" s="33"/>
      <c r="AG1259" s="33"/>
      <c r="AH1259" s="33"/>
      <c r="AI1259" s="33"/>
      <c r="AJ1259" s="33"/>
      <c r="AK1259" s="216"/>
      <c r="AL1259" s="33"/>
      <c r="AM1259" s="33"/>
      <c r="AN1259" s="33"/>
      <c r="AO1259" s="33"/>
      <c r="AP1259" s="33"/>
    </row>
    <row r="1260" spans="1:42" ht="15.75" customHeight="1">
      <c r="A1260" s="33"/>
      <c r="B1260" s="33"/>
      <c r="C1260" s="33"/>
      <c r="D1260" s="33"/>
      <c r="E1260" s="33"/>
      <c r="F1260" s="199"/>
      <c r="G1260" s="33"/>
      <c r="H1260" s="33"/>
      <c r="I1260" s="33"/>
      <c r="J1260" s="33"/>
      <c r="K1260" s="33"/>
      <c r="L1260" s="33"/>
      <c r="M1260" s="33"/>
      <c r="N1260" s="33"/>
      <c r="O1260" s="33"/>
      <c r="P1260" s="33"/>
      <c r="Q1260" s="33"/>
      <c r="R1260" s="33"/>
      <c r="S1260" s="33"/>
      <c r="T1260" s="33"/>
      <c r="U1260" s="33"/>
      <c r="V1260" s="33"/>
      <c r="W1260" s="33"/>
      <c r="X1260" s="33"/>
      <c r="Y1260" s="33"/>
      <c r="Z1260" s="33"/>
      <c r="AA1260" s="33"/>
      <c r="AB1260" s="33"/>
      <c r="AC1260" s="33"/>
      <c r="AD1260" s="33"/>
      <c r="AE1260" s="33"/>
      <c r="AF1260" s="33"/>
      <c r="AG1260" s="33"/>
      <c r="AH1260" s="33"/>
      <c r="AI1260" s="33"/>
      <c r="AJ1260" s="33"/>
      <c r="AK1260" s="216"/>
      <c r="AL1260" s="33"/>
      <c r="AM1260" s="33"/>
      <c r="AN1260" s="33"/>
      <c r="AO1260" s="33"/>
      <c r="AP1260" s="33"/>
    </row>
    <row r="1261" spans="1:42" ht="15.75" customHeight="1">
      <c r="A1261" s="33"/>
      <c r="B1261" s="33"/>
      <c r="C1261" s="33"/>
      <c r="D1261" s="33"/>
      <c r="E1261" s="33"/>
      <c r="F1261" s="199"/>
      <c r="G1261" s="33"/>
      <c r="H1261" s="33"/>
      <c r="I1261" s="33"/>
      <c r="J1261" s="33"/>
      <c r="K1261" s="33"/>
      <c r="L1261" s="33"/>
      <c r="M1261" s="33"/>
      <c r="N1261" s="33"/>
      <c r="O1261" s="33"/>
      <c r="P1261" s="33"/>
      <c r="Q1261" s="33"/>
      <c r="R1261" s="33"/>
      <c r="S1261" s="33"/>
      <c r="T1261" s="33"/>
      <c r="U1261" s="33"/>
      <c r="V1261" s="33"/>
      <c r="W1261" s="33"/>
      <c r="X1261" s="33"/>
      <c r="Y1261" s="33"/>
      <c r="Z1261" s="33"/>
      <c r="AA1261" s="33"/>
      <c r="AB1261" s="33"/>
      <c r="AC1261" s="33"/>
      <c r="AD1261" s="33"/>
      <c r="AE1261" s="33"/>
      <c r="AF1261" s="33"/>
      <c r="AG1261" s="33"/>
      <c r="AH1261" s="33"/>
      <c r="AI1261" s="33"/>
      <c r="AJ1261" s="33"/>
      <c r="AK1261" s="216"/>
      <c r="AL1261" s="33"/>
      <c r="AM1261" s="33"/>
      <c r="AN1261" s="33"/>
      <c r="AO1261" s="33"/>
      <c r="AP1261" s="33"/>
    </row>
    <row r="1262" spans="1:42" ht="15.75" customHeight="1">
      <c r="A1262" s="33"/>
      <c r="B1262" s="33"/>
      <c r="C1262" s="33"/>
      <c r="D1262" s="33"/>
      <c r="E1262" s="33"/>
      <c r="F1262" s="199"/>
      <c r="G1262" s="33"/>
      <c r="H1262" s="33"/>
      <c r="I1262" s="33"/>
      <c r="J1262" s="33"/>
      <c r="K1262" s="33"/>
      <c r="L1262" s="33"/>
      <c r="M1262" s="33"/>
      <c r="N1262" s="33"/>
      <c r="O1262" s="33"/>
      <c r="P1262" s="33"/>
      <c r="Q1262" s="33"/>
      <c r="R1262" s="33"/>
      <c r="S1262" s="33"/>
      <c r="T1262" s="33"/>
      <c r="U1262" s="33"/>
      <c r="V1262" s="33"/>
      <c r="W1262" s="33"/>
      <c r="X1262" s="33"/>
      <c r="Y1262" s="33"/>
      <c r="Z1262" s="33"/>
      <c r="AA1262" s="33"/>
      <c r="AB1262" s="33"/>
      <c r="AC1262" s="33"/>
      <c r="AD1262" s="33"/>
      <c r="AE1262" s="33"/>
      <c r="AF1262" s="33"/>
      <c r="AG1262" s="33"/>
      <c r="AH1262" s="33"/>
      <c r="AI1262" s="33"/>
      <c r="AJ1262" s="33"/>
      <c r="AK1262" s="216"/>
      <c r="AL1262" s="33"/>
      <c r="AM1262" s="33"/>
      <c r="AN1262" s="33"/>
      <c r="AO1262" s="33"/>
      <c r="AP1262" s="33"/>
    </row>
    <row r="1263" spans="1:42" ht="15.75" customHeight="1">
      <c r="A1263" s="33"/>
      <c r="B1263" s="33"/>
      <c r="C1263" s="33"/>
      <c r="D1263" s="33"/>
      <c r="E1263" s="33"/>
      <c r="F1263" s="199"/>
      <c r="G1263" s="33"/>
      <c r="H1263" s="33"/>
      <c r="I1263" s="33"/>
      <c r="J1263" s="33"/>
      <c r="K1263" s="33"/>
      <c r="L1263" s="33"/>
      <c r="M1263" s="33"/>
      <c r="N1263" s="33"/>
      <c r="O1263" s="33"/>
      <c r="P1263" s="33"/>
      <c r="Q1263" s="33"/>
      <c r="R1263" s="33"/>
      <c r="S1263" s="33"/>
      <c r="T1263" s="33"/>
      <c r="U1263" s="33"/>
      <c r="V1263" s="33"/>
      <c r="W1263" s="33"/>
      <c r="X1263" s="33"/>
      <c r="Y1263" s="33"/>
      <c r="Z1263" s="33"/>
      <c r="AA1263" s="33"/>
      <c r="AB1263" s="33"/>
      <c r="AC1263" s="33"/>
      <c r="AD1263" s="33"/>
      <c r="AE1263" s="33"/>
      <c r="AF1263" s="33"/>
      <c r="AG1263" s="33"/>
      <c r="AH1263" s="33"/>
      <c r="AI1263" s="33"/>
      <c r="AJ1263" s="33"/>
      <c r="AK1263" s="216"/>
      <c r="AL1263" s="33"/>
      <c r="AM1263" s="33"/>
      <c r="AN1263" s="33"/>
      <c r="AO1263" s="33"/>
      <c r="AP1263" s="33"/>
    </row>
    <row r="1264" spans="1:42" ht="15.75" customHeight="1">
      <c r="A1264" s="33"/>
      <c r="B1264" s="33"/>
      <c r="C1264" s="33"/>
      <c r="D1264" s="33"/>
      <c r="E1264" s="33"/>
      <c r="F1264" s="199"/>
      <c r="G1264" s="33"/>
      <c r="H1264" s="33"/>
      <c r="I1264" s="33"/>
      <c r="J1264" s="33"/>
      <c r="K1264" s="33"/>
      <c r="L1264" s="33"/>
      <c r="M1264" s="33"/>
      <c r="N1264" s="33"/>
      <c r="O1264" s="33"/>
      <c r="P1264" s="33"/>
      <c r="Q1264" s="33"/>
      <c r="R1264" s="33"/>
      <c r="S1264" s="33"/>
      <c r="T1264" s="33"/>
      <c r="U1264" s="33"/>
      <c r="V1264" s="33"/>
      <c r="W1264" s="33"/>
      <c r="X1264" s="33"/>
      <c r="Y1264" s="33"/>
      <c r="Z1264" s="33"/>
      <c r="AA1264" s="33"/>
      <c r="AB1264" s="33"/>
      <c r="AC1264" s="33"/>
      <c r="AD1264" s="33"/>
      <c r="AE1264" s="33"/>
      <c r="AF1264" s="33"/>
      <c r="AG1264" s="33"/>
      <c r="AH1264" s="33"/>
      <c r="AI1264" s="33"/>
      <c r="AJ1264" s="33"/>
      <c r="AK1264" s="216"/>
      <c r="AL1264" s="33"/>
      <c r="AM1264" s="33"/>
      <c r="AN1264" s="33"/>
      <c r="AO1264" s="33"/>
      <c r="AP1264" s="33"/>
    </row>
    <row r="1265" spans="1:42" ht="15.75" customHeight="1">
      <c r="A1265" s="33"/>
      <c r="B1265" s="33"/>
      <c r="C1265" s="33"/>
      <c r="D1265" s="33"/>
      <c r="E1265" s="33"/>
      <c r="F1265" s="199"/>
      <c r="G1265" s="33"/>
      <c r="H1265" s="33"/>
      <c r="I1265" s="33"/>
      <c r="J1265" s="33"/>
      <c r="K1265" s="33"/>
      <c r="L1265" s="33"/>
      <c r="M1265" s="33"/>
      <c r="N1265" s="33"/>
      <c r="O1265" s="33"/>
      <c r="P1265" s="33"/>
      <c r="Q1265" s="33"/>
      <c r="R1265" s="33"/>
      <c r="S1265" s="33"/>
      <c r="T1265" s="33"/>
      <c r="U1265" s="33"/>
      <c r="V1265" s="33"/>
      <c r="W1265" s="33"/>
      <c r="X1265" s="33"/>
      <c r="Y1265" s="33"/>
      <c r="Z1265" s="33"/>
      <c r="AA1265" s="33"/>
      <c r="AB1265" s="33"/>
      <c r="AC1265" s="33"/>
      <c r="AD1265" s="33"/>
      <c r="AE1265" s="33"/>
      <c r="AF1265" s="33"/>
      <c r="AG1265" s="33"/>
      <c r="AH1265" s="33"/>
      <c r="AI1265" s="33"/>
      <c r="AJ1265" s="33"/>
      <c r="AK1265" s="216"/>
      <c r="AL1265" s="33"/>
      <c r="AM1265" s="33"/>
      <c r="AN1265" s="33"/>
      <c r="AO1265" s="33"/>
      <c r="AP1265" s="33"/>
    </row>
    <row r="1266" spans="1:42" ht="15.75" customHeight="1">
      <c r="A1266" s="33"/>
      <c r="B1266" s="33"/>
      <c r="C1266" s="33"/>
      <c r="D1266" s="33"/>
      <c r="E1266" s="33"/>
      <c r="F1266" s="199"/>
      <c r="G1266" s="33"/>
      <c r="H1266" s="33"/>
      <c r="I1266" s="33"/>
      <c r="J1266" s="33"/>
      <c r="K1266" s="33"/>
      <c r="L1266" s="33"/>
      <c r="M1266" s="33"/>
      <c r="N1266" s="33"/>
      <c r="O1266" s="33"/>
      <c r="P1266" s="33"/>
      <c r="Q1266" s="33"/>
      <c r="R1266" s="33"/>
      <c r="S1266" s="33"/>
      <c r="T1266" s="33"/>
      <c r="U1266" s="33"/>
      <c r="V1266" s="33"/>
      <c r="W1266" s="33"/>
      <c r="X1266" s="33"/>
      <c r="Y1266" s="33"/>
      <c r="Z1266" s="33"/>
      <c r="AA1266" s="33"/>
      <c r="AB1266" s="33"/>
      <c r="AC1266" s="33"/>
      <c r="AD1266" s="33"/>
      <c r="AE1266" s="33"/>
      <c r="AF1266" s="33"/>
      <c r="AG1266" s="33"/>
      <c r="AH1266" s="33"/>
      <c r="AI1266" s="33"/>
      <c r="AJ1266" s="33"/>
      <c r="AK1266" s="216"/>
      <c r="AL1266" s="33"/>
      <c r="AM1266" s="33"/>
      <c r="AN1266" s="33"/>
      <c r="AO1266" s="33"/>
      <c r="AP1266" s="33"/>
    </row>
    <row r="1267" spans="1:42" ht="15.75" customHeight="1">
      <c r="A1267" s="33"/>
      <c r="B1267" s="33"/>
      <c r="C1267" s="33"/>
      <c r="D1267" s="33"/>
      <c r="E1267" s="33"/>
      <c r="F1267" s="199"/>
      <c r="G1267" s="33"/>
      <c r="H1267" s="33"/>
      <c r="I1267" s="33"/>
      <c r="J1267" s="33"/>
      <c r="K1267" s="33"/>
      <c r="L1267" s="33"/>
      <c r="M1267" s="33"/>
      <c r="N1267" s="33"/>
      <c r="O1267" s="33"/>
      <c r="P1267" s="33"/>
      <c r="Q1267" s="33"/>
      <c r="R1267" s="33"/>
      <c r="S1267" s="33"/>
      <c r="T1267" s="33"/>
      <c r="U1267" s="33"/>
      <c r="V1267" s="33"/>
      <c r="W1267" s="33"/>
      <c r="X1267" s="33"/>
      <c r="Y1267" s="33"/>
      <c r="Z1267" s="33"/>
      <c r="AA1267" s="33"/>
      <c r="AB1267" s="33"/>
      <c r="AC1267" s="33"/>
      <c r="AD1267" s="33"/>
      <c r="AE1267" s="33"/>
      <c r="AF1267" s="33"/>
      <c r="AG1267" s="33"/>
      <c r="AH1267" s="33"/>
      <c r="AI1267" s="33"/>
      <c r="AJ1267" s="33"/>
      <c r="AK1267" s="216"/>
      <c r="AL1267" s="33"/>
      <c r="AM1267" s="33"/>
      <c r="AN1267" s="33"/>
      <c r="AO1267" s="33"/>
      <c r="AP1267" s="33"/>
    </row>
    <row r="1268" spans="1:42" ht="15.75" customHeight="1">
      <c r="A1268" s="33"/>
      <c r="B1268" s="33"/>
      <c r="C1268" s="33"/>
      <c r="D1268" s="33"/>
      <c r="E1268" s="33"/>
      <c r="F1268" s="199"/>
      <c r="G1268" s="33"/>
      <c r="H1268" s="33"/>
      <c r="I1268" s="33"/>
      <c r="J1268" s="33"/>
      <c r="K1268" s="33"/>
      <c r="L1268" s="33"/>
      <c r="M1268" s="33"/>
      <c r="N1268" s="33"/>
      <c r="O1268" s="33"/>
      <c r="P1268" s="33"/>
      <c r="Q1268" s="33"/>
      <c r="R1268" s="33"/>
      <c r="S1268" s="33"/>
      <c r="T1268" s="33"/>
      <c r="U1268" s="33"/>
      <c r="V1268" s="33"/>
      <c r="W1268" s="33"/>
      <c r="X1268" s="33"/>
      <c r="Y1268" s="33"/>
      <c r="Z1268" s="33"/>
      <c r="AA1268" s="33"/>
      <c r="AB1268" s="33"/>
      <c r="AC1268" s="33"/>
      <c r="AD1268" s="33"/>
      <c r="AE1268" s="33"/>
      <c r="AF1268" s="33"/>
      <c r="AG1268" s="33"/>
      <c r="AH1268" s="33"/>
      <c r="AI1268" s="33"/>
      <c r="AJ1268" s="33"/>
      <c r="AK1268" s="216"/>
      <c r="AL1268" s="33"/>
      <c r="AM1268" s="33"/>
      <c r="AN1268" s="33"/>
      <c r="AO1268" s="33"/>
      <c r="AP1268" s="33"/>
    </row>
    <row r="1269" spans="1:42" ht="15.75" customHeight="1">
      <c r="A1269" s="33"/>
      <c r="B1269" s="33"/>
      <c r="C1269" s="33"/>
      <c r="D1269" s="33"/>
      <c r="E1269" s="33"/>
      <c r="F1269" s="199"/>
      <c r="G1269" s="33"/>
      <c r="H1269" s="33"/>
      <c r="I1269" s="33"/>
      <c r="J1269" s="33"/>
      <c r="K1269" s="33"/>
      <c r="L1269" s="33"/>
      <c r="M1269" s="33"/>
      <c r="N1269" s="33"/>
      <c r="O1269" s="33"/>
      <c r="P1269" s="33"/>
      <c r="Q1269" s="33"/>
      <c r="R1269" s="33"/>
      <c r="S1269" s="33"/>
      <c r="T1269" s="33"/>
      <c r="U1269" s="33"/>
      <c r="V1269" s="33"/>
      <c r="W1269" s="33"/>
      <c r="X1269" s="33"/>
      <c r="Y1269" s="33"/>
      <c r="Z1269" s="33"/>
      <c r="AA1269" s="33"/>
      <c r="AB1269" s="33"/>
      <c r="AC1269" s="33"/>
      <c r="AD1269" s="33"/>
      <c r="AE1269" s="33"/>
      <c r="AF1269" s="33"/>
      <c r="AG1269" s="33"/>
      <c r="AH1269" s="33"/>
      <c r="AI1269" s="33"/>
      <c r="AJ1269" s="33"/>
      <c r="AK1269" s="216"/>
      <c r="AL1269" s="33"/>
      <c r="AM1269" s="33"/>
      <c r="AN1269" s="33"/>
      <c r="AO1269" s="33"/>
      <c r="AP1269" s="33"/>
    </row>
    <row r="1270" spans="1:42" ht="15.75" customHeight="1">
      <c r="A1270" s="33"/>
      <c r="B1270" s="33"/>
      <c r="C1270" s="33"/>
      <c r="D1270" s="33"/>
      <c r="E1270" s="33"/>
      <c r="F1270" s="199"/>
      <c r="G1270" s="33"/>
      <c r="H1270" s="33"/>
      <c r="I1270" s="33"/>
      <c r="J1270" s="33"/>
      <c r="K1270" s="33"/>
      <c r="L1270" s="33"/>
      <c r="M1270" s="33"/>
      <c r="N1270" s="33"/>
      <c r="O1270" s="33"/>
      <c r="P1270" s="33"/>
      <c r="Q1270" s="33"/>
      <c r="R1270" s="33"/>
      <c r="S1270" s="33"/>
      <c r="T1270" s="33"/>
      <c r="U1270" s="33"/>
      <c r="V1270" s="33"/>
      <c r="W1270" s="33"/>
      <c r="X1270" s="33"/>
      <c r="Y1270" s="33"/>
      <c r="Z1270" s="33"/>
      <c r="AA1270" s="33"/>
      <c r="AB1270" s="33"/>
      <c r="AC1270" s="33"/>
      <c r="AD1270" s="33"/>
      <c r="AE1270" s="33"/>
      <c r="AF1270" s="33"/>
      <c r="AG1270" s="33"/>
      <c r="AH1270" s="33"/>
      <c r="AI1270" s="33"/>
      <c r="AJ1270" s="33"/>
      <c r="AK1270" s="216"/>
      <c r="AL1270" s="33"/>
      <c r="AM1270" s="33"/>
      <c r="AN1270" s="33"/>
      <c r="AO1270" s="33"/>
      <c r="AP1270" s="33"/>
    </row>
    <row r="1271" spans="1:42" ht="15.75" customHeight="1">
      <c r="A1271" s="33"/>
      <c r="B1271" s="33"/>
      <c r="C1271" s="33"/>
      <c r="D1271" s="33"/>
      <c r="E1271" s="33"/>
      <c r="F1271" s="199"/>
      <c r="G1271" s="33"/>
      <c r="H1271" s="33"/>
      <c r="I1271" s="33"/>
      <c r="J1271" s="33"/>
      <c r="K1271" s="33"/>
      <c r="L1271" s="33"/>
      <c r="M1271" s="33"/>
      <c r="N1271" s="33"/>
      <c r="O1271" s="33"/>
      <c r="P1271" s="33"/>
      <c r="Q1271" s="33"/>
      <c r="R1271" s="33"/>
      <c r="S1271" s="33"/>
      <c r="T1271" s="33"/>
      <c r="U1271" s="33"/>
      <c r="V1271" s="33"/>
      <c r="W1271" s="33"/>
      <c r="X1271" s="33"/>
      <c r="Y1271" s="33"/>
      <c r="Z1271" s="33"/>
      <c r="AA1271" s="33"/>
      <c r="AB1271" s="33"/>
      <c r="AC1271" s="33"/>
      <c r="AD1271" s="33"/>
      <c r="AE1271" s="33"/>
      <c r="AF1271" s="33"/>
      <c r="AG1271" s="33"/>
      <c r="AH1271" s="33"/>
      <c r="AI1271" s="33"/>
      <c r="AJ1271" s="33"/>
      <c r="AK1271" s="216"/>
      <c r="AL1271" s="33"/>
      <c r="AM1271" s="33"/>
      <c r="AN1271" s="33"/>
      <c r="AO1271" s="33"/>
      <c r="AP1271" s="33"/>
    </row>
    <row r="1272" spans="1:42" ht="15.75" customHeight="1">
      <c r="A1272" s="33"/>
      <c r="B1272" s="33"/>
      <c r="C1272" s="33"/>
      <c r="D1272" s="33"/>
      <c r="E1272" s="33"/>
      <c r="F1272" s="199"/>
      <c r="G1272" s="33"/>
      <c r="H1272" s="33"/>
      <c r="I1272" s="33"/>
      <c r="J1272" s="33"/>
      <c r="K1272" s="33"/>
      <c r="L1272" s="33"/>
      <c r="M1272" s="33"/>
      <c r="N1272" s="33"/>
      <c r="O1272" s="33"/>
      <c r="P1272" s="33"/>
      <c r="Q1272" s="33"/>
      <c r="R1272" s="33"/>
      <c r="S1272" s="33"/>
      <c r="T1272" s="33"/>
      <c r="U1272" s="33"/>
      <c r="V1272" s="33"/>
      <c r="W1272" s="33"/>
      <c r="X1272" s="33"/>
      <c r="Y1272" s="33"/>
      <c r="Z1272" s="33"/>
      <c r="AA1272" s="33"/>
      <c r="AB1272" s="33"/>
      <c r="AC1272" s="33"/>
      <c r="AD1272" s="33"/>
      <c r="AE1272" s="33"/>
      <c r="AF1272" s="33"/>
      <c r="AG1272" s="33"/>
      <c r="AH1272" s="33"/>
      <c r="AI1272" s="33"/>
      <c r="AJ1272" s="33"/>
      <c r="AK1272" s="216"/>
      <c r="AL1272" s="33"/>
      <c r="AM1272" s="33"/>
      <c r="AN1272" s="33"/>
      <c r="AO1272" s="33"/>
      <c r="AP1272" s="33"/>
    </row>
    <row r="1273" spans="1:42" ht="15.75" customHeight="1">
      <c r="A1273" s="33"/>
      <c r="B1273" s="33"/>
      <c r="C1273" s="33"/>
      <c r="D1273" s="33"/>
      <c r="E1273" s="33"/>
      <c r="F1273" s="199"/>
      <c r="G1273" s="33"/>
      <c r="H1273" s="33"/>
      <c r="I1273" s="33"/>
      <c r="J1273" s="33"/>
      <c r="K1273" s="33"/>
      <c r="L1273" s="33"/>
      <c r="M1273" s="33"/>
      <c r="N1273" s="33"/>
      <c r="O1273" s="33"/>
      <c r="P1273" s="33"/>
      <c r="Q1273" s="33"/>
      <c r="R1273" s="33"/>
      <c r="S1273" s="33"/>
      <c r="T1273" s="33"/>
      <c r="U1273" s="33"/>
      <c r="V1273" s="33"/>
      <c r="W1273" s="33"/>
      <c r="X1273" s="33"/>
      <c r="Y1273" s="33"/>
      <c r="Z1273" s="33"/>
      <c r="AA1273" s="33"/>
      <c r="AB1273" s="33"/>
      <c r="AC1273" s="33"/>
      <c r="AD1273" s="33"/>
      <c r="AE1273" s="33"/>
      <c r="AF1273" s="33"/>
      <c r="AG1273" s="33"/>
      <c r="AH1273" s="33"/>
      <c r="AI1273" s="33"/>
      <c r="AJ1273" s="33"/>
      <c r="AK1273" s="216"/>
      <c r="AL1273" s="33"/>
      <c r="AM1273" s="33"/>
      <c r="AN1273" s="33"/>
      <c r="AO1273" s="33"/>
      <c r="AP1273" s="33"/>
    </row>
    <row r="1274" spans="1:42" ht="15.75" customHeight="1">
      <c r="A1274" s="33"/>
      <c r="B1274" s="33"/>
      <c r="C1274" s="33"/>
      <c r="D1274" s="33"/>
      <c r="E1274" s="33"/>
      <c r="F1274" s="199"/>
      <c r="G1274" s="33"/>
      <c r="H1274" s="33"/>
      <c r="I1274" s="33"/>
      <c r="J1274" s="33"/>
      <c r="K1274" s="33"/>
      <c r="L1274" s="33"/>
      <c r="M1274" s="33"/>
      <c r="N1274" s="33"/>
      <c r="O1274" s="33"/>
      <c r="P1274" s="33"/>
      <c r="Q1274" s="33"/>
      <c r="R1274" s="33"/>
      <c r="S1274" s="33"/>
      <c r="T1274" s="33"/>
      <c r="U1274" s="33"/>
      <c r="V1274" s="33"/>
      <c r="W1274" s="33"/>
      <c r="X1274" s="33"/>
      <c r="Y1274" s="33"/>
      <c r="Z1274" s="33"/>
      <c r="AA1274" s="33"/>
      <c r="AB1274" s="33"/>
      <c r="AC1274" s="33"/>
      <c r="AD1274" s="33"/>
      <c r="AE1274" s="33"/>
      <c r="AF1274" s="33"/>
      <c r="AG1274" s="33"/>
      <c r="AH1274" s="33"/>
      <c r="AI1274" s="33"/>
      <c r="AJ1274" s="33"/>
      <c r="AK1274" s="216"/>
      <c r="AL1274" s="33"/>
      <c r="AM1274" s="33"/>
      <c r="AN1274" s="33"/>
      <c r="AO1274" s="33"/>
      <c r="AP1274" s="33"/>
    </row>
    <row r="1275" spans="1:42" ht="15.75" customHeight="1">
      <c r="A1275" s="33"/>
      <c r="B1275" s="33"/>
      <c r="C1275" s="33"/>
      <c r="D1275" s="33"/>
      <c r="E1275" s="33"/>
      <c r="F1275" s="199"/>
      <c r="G1275" s="33"/>
      <c r="H1275" s="33"/>
      <c r="I1275" s="33"/>
      <c r="J1275" s="33"/>
      <c r="K1275" s="33"/>
      <c r="L1275" s="33"/>
      <c r="M1275" s="33"/>
      <c r="N1275" s="33"/>
      <c r="O1275" s="33"/>
      <c r="P1275" s="33"/>
      <c r="Q1275" s="33"/>
      <c r="R1275" s="33"/>
      <c r="S1275" s="33"/>
      <c r="T1275" s="33"/>
      <c r="U1275" s="33"/>
      <c r="V1275" s="33"/>
      <c r="W1275" s="33"/>
      <c r="X1275" s="33"/>
      <c r="Y1275" s="33"/>
      <c r="Z1275" s="33"/>
      <c r="AA1275" s="33"/>
      <c r="AB1275" s="33"/>
      <c r="AC1275" s="33"/>
      <c r="AD1275" s="33"/>
      <c r="AE1275" s="33"/>
      <c r="AF1275" s="33"/>
      <c r="AG1275" s="33"/>
      <c r="AH1275" s="33"/>
      <c r="AI1275" s="33"/>
      <c r="AJ1275" s="33"/>
      <c r="AK1275" s="216"/>
      <c r="AL1275" s="33"/>
      <c r="AM1275" s="33"/>
      <c r="AN1275" s="33"/>
      <c r="AO1275" s="33"/>
      <c r="AP1275" s="33"/>
    </row>
    <row r="1276" spans="1:42" ht="15.75" customHeight="1">
      <c r="A1276" s="33"/>
      <c r="B1276" s="33"/>
      <c r="C1276" s="33"/>
      <c r="D1276" s="33"/>
      <c r="E1276" s="33"/>
      <c r="F1276" s="199"/>
      <c r="G1276" s="33"/>
      <c r="H1276" s="33"/>
      <c r="I1276" s="33"/>
      <c r="J1276" s="33"/>
      <c r="K1276" s="33"/>
      <c r="L1276" s="33"/>
      <c r="M1276" s="33"/>
      <c r="N1276" s="33"/>
      <c r="O1276" s="33"/>
      <c r="P1276" s="33"/>
      <c r="Q1276" s="33"/>
      <c r="R1276" s="33"/>
      <c r="S1276" s="33"/>
      <c r="T1276" s="33"/>
      <c r="U1276" s="33"/>
      <c r="V1276" s="33"/>
      <c r="W1276" s="33"/>
      <c r="X1276" s="33"/>
      <c r="Y1276" s="33"/>
      <c r="Z1276" s="33"/>
      <c r="AA1276" s="33"/>
      <c r="AB1276" s="33"/>
      <c r="AC1276" s="33"/>
      <c r="AD1276" s="33"/>
      <c r="AE1276" s="33"/>
      <c r="AF1276" s="33"/>
      <c r="AG1276" s="33"/>
      <c r="AH1276" s="33"/>
      <c r="AI1276" s="33"/>
      <c r="AJ1276" s="33"/>
      <c r="AK1276" s="216"/>
      <c r="AL1276" s="33"/>
      <c r="AM1276" s="33"/>
      <c r="AN1276" s="33"/>
      <c r="AO1276" s="33"/>
      <c r="AP1276" s="33"/>
    </row>
    <row r="1277" spans="1:42" ht="15.75" customHeight="1">
      <c r="A1277" s="33"/>
      <c r="B1277" s="33"/>
      <c r="C1277" s="33"/>
      <c r="D1277" s="33"/>
      <c r="E1277" s="33"/>
      <c r="F1277" s="199"/>
      <c r="G1277" s="33"/>
      <c r="H1277" s="33"/>
      <c r="I1277" s="33"/>
      <c r="J1277" s="33"/>
      <c r="K1277" s="33"/>
      <c r="L1277" s="33"/>
      <c r="M1277" s="33"/>
      <c r="N1277" s="33"/>
      <c r="O1277" s="33"/>
      <c r="P1277" s="33"/>
      <c r="Q1277" s="33"/>
      <c r="R1277" s="33"/>
      <c r="S1277" s="33"/>
      <c r="T1277" s="33"/>
      <c r="U1277" s="33"/>
      <c r="V1277" s="33"/>
      <c r="W1277" s="33"/>
      <c r="X1277" s="33"/>
      <c r="Y1277" s="33"/>
      <c r="Z1277" s="33"/>
      <c r="AA1277" s="33"/>
      <c r="AB1277" s="33"/>
      <c r="AC1277" s="33"/>
      <c r="AD1277" s="33"/>
      <c r="AE1277" s="33"/>
      <c r="AF1277" s="33"/>
      <c r="AG1277" s="33"/>
      <c r="AH1277" s="33"/>
      <c r="AI1277" s="33"/>
      <c r="AJ1277" s="33"/>
      <c r="AK1277" s="216"/>
      <c r="AL1277" s="33"/>
      <c r="AM1277" s="33"/>
      <c r="AN1277" s="33"/>
      <c r="AO1277" s="33"/>
      <c r="AP1277" s="33"/>
    </row>
    <row r="1278" spans="1:42" ht="15.75" customHeight="1">
      <c r="A1278" s="33"/>
      <c r="B1278" s="33"/>
      <c r="C1278" s="33"/>
      <c r="D1278" s="33"/>
      <c r="E1278" s="33"/>
      <c r="F1278" s="199"/>
      <c r="G1278" s="33"/>
      <c r="H1278" s="33"/>
      <c r="I1278" s="33"/>
      <c r="J1278" s="33"/>
      <c r="K1278" s="33"/>
      <c r="L1278" s="33"/>
      <c r="M1278" s="33"/>
      <c r="N1278" s="33"/>
      <c r="O1278" s="33"/>
      <c r="P1278" s="33"/>
      <c r="Q1278" s="33"/>
      <c r="R1278" s="33"/>
      <c r="S1278" s="33"/>
      <c r="T1278" s="33"/>
      <c r="U1278" s="33"/>
      <c r="V1278" s="33"/>
      <c r="W1278" s="33"/>
      <c r="X1278" s="33"/>
      <c r="Y1278" s="33"/>
      <c r="Z1278" s="33"/>
      <c r="AA1278" s="33"/>
      <c r="AB1278" s="33"/>
      <c r="AC1278" s="33"/>
      <c r="AD1278" s="33"/>
      <c r="AE1278" s="33"/>
      <c r="AF1278" s="33"/>
      <c r="AG1278" s="33"/>
      <c r="AH1278" s="33"/>
      <c r="AI1278" s="33"/>
      <c r="AJ1278" s="33"/>
      <c r="AK1278" s="216"/>
      <c r="AL1278" s="33"/>
      <c r="AM1278" s="33"/>
      <c r="AN1278" s="33"/>
      <c r="AO1278" s="33"/>
      <c r="AP1278" s="33"/>
    </row>
    <row r="1279" spans="1:42" ht="15.75" customHeight="1">
      <c r="A1279" s="33"/>
      <c r="B1279" s="33"/>
      <c r="C1279" s="33"/>
      <c r="D1279" s="33"/>
      <c r="E1279" s="33"/>
      <c r="F1279" s="199"/>
      <c r="G1279" s="33"/>
      <c r="H1279" s="33"/>
      <c r="I1279" s="33"/>
      <c r="J1279" s="33"/>
      <c r="K1279" s="33"/>
      <c r="L1279" s="33"/>
      <c r="M1279" s="33"/>
      <c r="N1279" s="33"/>
      <c r="O1279" s="33"/>
      <c r="P1279" s="33"/>
      <c r="Q1279" s="33"/>
      <c r="R1279" s="33"/>
      <c r="S1279" s="33"/>
      <c r="T1279" s="33"/>
      <c r="U1279" s="33"/>
      <c r="V1279" s="33"/>
      <c r="W1279" s="33"/>
      <c r="X1279" s="33"/>
      <c r="Y1279" s="33"/>
      <c r="Z1279" s="33"/>
      <c r="AA1279" s="33"/>
      <c r="AB1279" s="33"/>
      <c r="AC1279" s="33"/>
      <c r="AD1279" s="33"/>
      <c r="AE1279" s="33"/>
      <c r="AF1279" s="33"/>
      <c r="AG1279" s="33"/>
      <c r="AH1279" s="33"/>
      <c r="AI1279" s="33"/>
      <c r="AJ1279" s="33"/>
      <c r="AK1279" s="216"/>
      <c r="AL1279" s="33"/>
      <c r="AM1279" s="33"/>
      <c r="AN1279" s="33"/>
      <c r="AO1279" s="33"/>
      <c r="AP1279" s="33"/>
    </row>
    <row r="1280" spans="1:42" ht="15.75" customHeight="1">
      <c r="A1280" s="33"/>
      <c r="B1280" s="33"/>
      <c r="C1280" s="33"/>
      <c r="D1280" s="33"/>
      <c r="E1280" s="33"/>
      <c r="F1280" s="199"/>
      <c r="G1280" s="33"/>
      <c r="H1280" s="33"/>
      <c r="I1280" s="33"/>
      <c r="J1280" s="33"/>
      <c r="K1280" s="33"/>
      <c r="L1280" s="33"/>
      <c r="M1280" s="33"/>
      <c r="N1280" s="33"/>
      <c r="O1280" s="33"/>
      <c r="P1280" s="33"/>
      <c r="Q1280" s="33"/>
      <c r="R1280" s="33"/>
      <c r="S1280" s="33"/>
      <c r="T1280" s="33"/>
      <c r="U1280" s="33"/>
      <c r="V1280" s="33"/>
      <c r="W1280" s="33"/>
      <c r="X1280" s="33"/>
      <c r="Y1280" s="33"/>
      <c r="Z1280" s="33"/>
      <c r="AA1280" s="33"/>
      <c r="AB1280" s="33"/>
      <c r="AC1280" s="33"/>
      <c r="AD1280" s="33"/>
      <c r="AE1280" s="33"/>
      <c r="AF1280" s="33"/>
      <c r="AG1280" s="33"/>
      <c r="AH1280" s="33"/>
      <c r="AI1280" s="33"/>
      <c r="AJ1280" s="33"/>
      <c r="AK1280" s="216"/>
      <c r="AL1280" s="33"/>
      <c r="AM1280" s="33"/>
      <c r="AN1280" s="33"/>
      <c r="AO1280" s="33"/>
      <c r="AP1280" s="33"/>
    </row>
    <row r="1281" spans="1:42" ht="15.75" customHeight="1">
      <c r="A1281" s="33"/>
      <c r="B1281" s="33"/>
      <c r="C1281" s="33"/>
      <c r="D1281" s="33"/>
      <c r="E1281" s="33"/>
      <c r="F1281" s="199"/>
      <c r="G1281" s="33"/>
      <c r="H1281" s="33"/>
      <c r="I1281" s="33"/>
      <c r="J1281" s="33"/>
      <c r="K1281" s="33"/>
      <c r="L1281" s="33"/>
      <c r="M1281" s="33"/>
      <c r="N1281" s="33"/>
      <c r="O1281" s="33"/>
      <c r="P1281" s="33"/>
      <c r="Q1281" s="33"/>
      <c r="R1281" s="33"/>
      <c r="S1281" s="33"/>
      <c r="T1281" s="33"/>
      <c r="U1281" s="33"/>
      <c r="V1281" s="33"/>
      <c r="W1281" s="33"/>
      <c r="X1281" s="33"/>
      <c r="Y1281" s="33"/>
      <c r="Z1281" s="33"/>
      <c r="AA1281" s="33"/>
      <c r="AB1281" s="33"/>
      <c r="AC1281" s="33"/>
      <c r="AD1281" s="33"/>
      <c r="AE1281" s="33"/>
      <c r="AF1281" s="33"/>
      <c r="AG1281" s="33"/>
      <c r="AH1281" s="33"/>
      <c r="AI1281" s="33"/>
      <c r="AJ1281" s="33"/>
      <c r="AK1281" s="216"/>
      <c r="AL1281" s="33"/>
      <c r="AM1281" s="33"/>
      <c r="AN1281" s="33"/>
      <c r="AO1281" s="33"/>
      <c r="AP1281" s="33"/>
    </row>
    <row r="1282" spans="1:42" ht="15.75" customHeight="1">
      <c r="A1282" s="33"/>
      <c r="B1282" s="33"/>
      <c r="C1282" s="33"/>
      <c r="D1282" s="33"/>
      <c r="E1282" s="33"/>
      <c r="F1282" s="199"/>
      <c r="G1282" s="33"/>
      <c r="H1282" s="33"/>
      <c r="I1282" s="33"/>
      <c r="J1282" s="33"/>
      <c r="K1282" s="33"/>
      <c r="L1282" s="33"/>
      <c r="M1282" s="33"/>
      <c r="N1282" s="33"/>
      <c r="O1282" s="33"/>
      <c r="P1282" s="33"/>
      <c r="Q1282" s="33"/>
      <c r="R1282" s="33"/>
      <c r="S1282" s="33"/>
      <c r="T1282" s="33"/>
      <c r="U1282" s="33"/>
      <c r="V1282" s="33"/>
      <c r="W1282" s="33"/>
      <c r="X1282" s="33"/>
      <c r="Y1282" s="33"/>
      <c r="Z1282" s="33"/>
      <c r="AA1282" s="33"/>
      <c r="AB1282" s="33"/>
      <c r="AC1282" s="33"/>
      <c r="AD1282" s="33"/>
      <c r="AE1282" s="33"/>
      <c r="AF1282" s="33"/>
      <c r="AG1282" s="33"/>
      <c r="AH1282" s="33"/>
      <c r="AI1282" s="33"/>
      <c r="AJ1282" s="33"/>
      <c r="AK1282" s="216"/>
      <c r="AL1282" s="33"/>
      <c r="AM1282" s="33"/>
      <c r="AN1282" s="33"/>
      <c r="AO1282" s="33"/>
      <c r="AP1282" s="33"/>
    </row>
    <row r="1283" spans="1:42" ht="15.75" customHeight="1">
      <c r="A1283" s="33"/>
      <c r="B1283" s="33"/>
      <c r="C1283" s="33"/>
      <c r="D1283" s="33"/>
      <c r="E1283" s="33"/>
      <c r="F1283" s="199"/>
      <c r="G1283" s="33"/>
      <c r="H1283" s="33"/>
      <c r="I1283" s="33"/>
      <c r="J1283" s="33"/>
      <c r="K1283" s="33"/>
      <c r="L1283" s="33"/>
      <c r="M1283" s="33"/>
      <c r="N1283" s="33"/>
      <c r="O1283" s="33"/>
      <c r="P1283" s="33"/>
      <c r="Q1283" s="33"/>
      <c r="R1283" s="33"/>
      <c r="S1283" s="33"/>
      <c r="T1283" s="33"/>
      <c r="U1283" s="33"/>
      <c r="V1283" s="33"/>
      <c r="W1283" s="33"/>
      <c r="X1283" s="33"/>
      <c r="Y1283" s="33"/>
      <c r="Z1283" s="33"/>
      <c r="AA1283" s="33"/>
      <c r="AB1283" s="33"/>
      <c r="AC1283" s="33"/>
      <c r="AD1283" s="33"/>
      <c r="AE1283" s="33"/>
      <c r="AF1283" s="33"/>
      <c r="AG1283" s="33"/>
      <c r="AH1283" s="33"/>
      <c r="AI1283" s="33"/>
      <c r="AJ1283" s="33"/>
      <c r="AK1283" s="216"/>
      <c r="AL1283" s="33"/>
      <c r="AM1283" s="33"/>
      <c r="AN1283" s="33"/>
      <c r="AO1283" s="33"/>
      <c r="AP1283" s="33"/>
    </row>
    <row r="1284" spans="1:42" ht="15.75" customHeight="1">
      <c r="A1284" s="33"/>
      <c r="B1284" s="33"/>
      <c r="C1284" s="33"/>
      <c r="D1284" s="33"/>
      <c r="E1284" s="33"/>
      <c r="F1284" s="199"/>
      <c r="G1284" s="33"/>
      <c r="H1284" s="33"/>
      <c r="I1284" s="33"/>
      <c r="J1284" s="33"/>
      <c r="K1284" s="33"/>
      <c r="L1284" s="33"/>
      <c r="M1284" s="33"/>
      <c r="N1284" s="33"/>
      <c r="O1284" s="33"/>
      <c r="P1284" s="33"/>
      <c r="Q1284" s="33"/>
      <c r="R1284" s="33"/>
      <c r="S1284" s="33"/>
      <c r="T1284" s="33"/>
      <c r="U1284" s="33"/>
      <c r="V1284" s="33"/>
      <c r="W1284" s="33"/>
      <c r="X1284" s="33"/>
      <c r="Y1284" s="33"/>
      <c r="Z1284" s="33"/>
      <c r="AA1284" s="33"/>
      <c r="AB1284" s="33"/>
      <c r="AC1284" s="33"/>
      <c r="AD1284" s="33"/>
      <c r="AE1284" s="33"/>
      <c r="AF1284" s="33"/>
      <c r="AG1284" s="33"/>
      <c r="AH1284" s="33"/>
      <c r="AI1284" s="33"/>
      <c r="AJ1284" s="33"/>
      <c r="AK1284" s="216"/>
      <c r="AL1284" s="33"/>
      <c r="AM1284" s="33"/>
      <c r="AN1284" s="33"/>
      <c r="AO1284" s="33"/>
      <c r="AP1284" s="33"/>
    </row>
    <row r="1285" spans="1:42" ht="15.75" customHeight="1">
      <c r="A1285" s="33"/>
      <c r="B1285" s="33"/>
      <c r="C1285" s="33"/>
      <c r="D1285" s="33"/>
      <c r="E1285" s="33"/>
      <c r="F1285" s="199"/>
      <c r="G1285" s="33"/>
      <c r="H1285" s="33"/>
      <c r="I1285" s="33"/>
      <c r="J1285" s="33"/>
      <c r="K1285" s="33"/>
      <c r="L1285" s="33"/>
      <c r="M1285" s="33"/>
      <c r="N1285" s="33"/>
      <c r="O1285" s="33"/>
      <c r="P1285" s="33"/>
      <c r="Q1285" s="33"/>
      <c r="R1285" s="33"/>
      <c r="S1285" s="33"/>
      <c r="T1285" s="33"/>
      <c r="U1285" s="33"/>
      <c r="V1285" s="33"/>
      <c r="W1285" s="33"/>
      <c r="X1285" s="33"/>
      <c r="Y1285" s="33"/>
      <c r="Z1285" s="33"/>
      <c r="AA1285" s="33"/>
      <c r="AB1285" s="33"/>
      <c r="AC1285" s="33"/>
      <c r="AD1285" s="33"/>
      <c r="AE1285" s="33"/>
      <c r="AF1285" s="33"/>
      <c r="AG1285" s="33"/>
      <c r="AH1285" s="33"/>
      <c r="AI1285" s="33"/>
      <c r="AJ1285" s="33"/>
      <c r="AK1285" s="216"/>
      <c r="AL1285" s="33"/>
      <c r="AM1285" s="33"/>
      <c r="AN1285" s="33"/>
      <c r="AO1285" s="33"/>
      <c r="AP1285" s="33"/>
    </row>
    <row r="1286" spans="1:42" ht="15.75" customHeight="1">
      <c r="A1286" s="33"/>
      <c r="B1286" s="33"/>
      <c r="C1286" s="33"/>
      <c r="D1286" s="33"/>
      <c r="E1286" s="33"/>
      <c r="F1286" s="199"/>
      <c r="G1286" s="33"/>
      <c r="H1286" s="33"/>
      <c r="I1286" s="33"/>
      <c r="J1286" s="33"/>
      <c r="K1286" s="33"/>
      <c r="L1286" s="33"/>
      <c r="M1286" s="33"/>
      <c r="N1286" s="33"/>
      <c r="O1286" s="33"/>
      <c r="P1286" s="33"/>
      <c r="Q1286" s="33"/>
      <c r="R1286" s="33"/>
      <c r="S1286" s="33"/>
      <c r="T1286" s="33"/>
      <c r="U1286" s="33"/>
      <c r="V1286" s="33"/>
      <c r="W1286" s="33"/>
      <c r="X1286" s="33"/>
      <c r="Y1286" s="33"/>
      <c r="Z1286" s="33"/>
      <c r="AA1286" s="33"/>
      <c r="AB1286" s="33"/>
      <c r="AC1286" s="33"/>
      <c r="AD1286" s="33"/>
      <c r="AE1286" s="33"/>
      <c r="AF1286" s="33"/>
      <c r="AG1286" s="33"/>
      <c r="AH1286" s="33"/>
      <c r="AI1286" s="33"/>
      <c r="AJ1286" s="33"/>
      <c r="AK1286" s="216"/>
      <c r="AL1286" s="33"/>
      <c r="AM1286" s="33"/>
      <c r="AN1286" s="33"/>
      <c r="AO1286" s="33"/>
      <c r="AP1286" s="33"/>
    </row>
    <row r="1287" spans="1:42" ht="15.75" customHeight="1">
      <c r="A1287" s="33"/>
      <c r="B1287" s="33"/>
      <c r="C1287" s="33"/>
      <c r="D1287" s="33"/>
      <c r="E1287" s="33"/>
      <c r="F1287" s="199"/>
      <c r="G1287" s="33"/>
      <c r="H1287" s="33"/>
      <c r="I1287" s="33"/>
      <c r="J1287" s="33"/>
      <c r="K1287" s="33"/>
      <c r="L1287" s="33"/>
      <c r="M1287" s="33"/>
      <c r="N1287" s="33"/>
      <c r="O1287" s="33"/>
      <c r="P1287" s="33"/>
      <c r="Q1287" s="33"/>
      <c r="R1287" s="33"/>
      <c r="S1287" s="33"/>
      <c r="T1287" s="33"/>
      <c r="U1287" s="33"/>
      <c r="V1287" s="33"/>
      <c r="W1287" s="33"/>
      <c r="X1287" s="33"/>
      <c r="Y1287" s="33"/>
      <c r="Z1287" s="33"/>
      <c r="AA1287" s="33"/>
      <c r="AB1287" s="33"/>
      <c r="AC1287" s="33"/>
      <c r="AD1287" s="33"/>
      <c r="AE1287" s="33"/>
      <c r="AF1287" s="33"/>
      <c r="AG1287" s="33"/>
      <c r="AH1287" s="33"/>
      <c r="AI1287" s="33"/>
      <c r="AJ1287" s="33"/>
      <c r="AK1287" s="216"/>
      <c r="AL1287" s="33"/>
      <c r="AM1287" s="33"/>
      <c r="AN1287" s="33"/>
      <c r="AO1287" s="33"/>
      <c r="AP1287" s="33"/>
    </row>
    <row r="1288" spans="1:42" ht="15.75" customHeight="1">
      <c r="A1288" s="33"/>
      <c r="B1288" s="33"/>
      <c r="C1288" s="33"/>
      <c r="D1288" s="33"/>
      <c r="E1288" s="33"/>
      <c r="F1288" s="199"/>
      <c r="G1288" s="33"/>
      <c r="H1288" s="33"/>
      <c r="I1288" s="33"/>
      <c r="J1288" s="33"/>
      <c r="K1288" s="33"/>
      <c r="L1288" s="33"/>
      <c r="M1288" s="33"/>
      <c r="N1288" s="33"/>
      <c r="O1288" s="33"/>
      <c r="P1288" s="33"/>
      <c r="Q1288" s="33"/>
      <c r="R1288" s="33"/>
      <c r="S1288" s="33"/>
      <c r="T1288" s="33"/>
      <c r="U1288" s="33"/>
      <c r="V1288" s="33"/>
      <c r="W1288" s="33"/>
      <c r="X1288" s="33"/>
      <c r="Y1288" s="33"/>
      <c r="Z1288" s="33"/>
      <c r="AA1288" s="33"/>
      <c r="AB1288" s="33"/>
      <c r="AC1288" s="33"/>
      <c r="AD1288" s="33"/>
      <c r="AE1288" s="33"/>
      <c r="AF1288" s="33"/>
      <c r="AG1288" s="33"/>
      <c r="AH1288" s="33"/>
      <c r="AI1288" s="33"/>
      <c r="AJ1288" s="33"/>
      <c r="AK1288" s="216"/>
      <c r="AL1288" s="33"/>
      <c r="AM1288" s="33"/>
      <c r="AN1288" s="33"/>
      <c r="AO1288" s="33"/>
      <c r="AP1288" s="33"/>
    </row>
    <row r="1289" spans="1:42" ht="15.75" customHeight="1">
      <c r="A1289" s="33"/>
      <c r="B1289" s="33"/>
      <c r="C1289" s="33"/>
      <c r="D1289" s="33"/>
      <c r="E1289" s="33"/>
      <c r="F1289" s="199"/>
      <c r="G1289" s="33"/>
      <c r="H1289" s="33"/>
      <c r="I1289" s="33"/>
      <c r="J1289" s="33"/>
      <c r="K1289" s="33"/>
      <c r="L1289" s="33"/>
      <c r="M1289" s="33"/>
      <c r="N1289" s="33"/>
      <c r="O1289" s="33"/>
      <c r="P1289" s="33"/>
      <c r="Q1289" s="33"/>
      <c r="R1289" s="33"/>
      <c r="S1289" s="33"/>
      <c r="T1289" s="33"/>
      <c r="U1289" s="33"/>
      <c r="V1289" s="33"/>
      <c r="W1289" s="33"/>
      <c r="X1289" s="33"/>
      <c r="Y1289" s="33"/>
      <c r="Z1289" s="33"/>
      <c r="AA1289" s="33"/>
      <c r="AB1289" s="33"/>
      <c r="AC1289" s="33"/>
      <c r="AD1289" s="33"/>
      <c r="AE1289" s="33"/>
      <c r="AF1289" s="33"/>
      <c r="AG1289" s="33"/>
      <c r="AH1289" s="33"/>
      <c r="AI1289" s="33"/>
      <c r="AJ1289" s="33"/>
      <c r="AK1289" s="216"/>
      <c r="AL1289" s="33"/>
      <c r="AM1289" s="33"/>
      <c r="AN1289" s="33"/>
      <c r="AO1289" s="33"/>
      <c r="AP1289" s="33"/>
    </row>
    <row r="1290" spans="1:42" ht="15.75" customHeight="1">
      <c r="A1290" s="33"/>
      <c r="B1290" s="33"/>
      <c r="C1290" s="33"/>
      <c r="D1290" s="33"/>
      <c r="E1290" s="33"/>
      <c r="F1290" s="199"/>
      <c r="G1290" s="33"/>
      <c r="H1290" s="33"/>
      <c r="I1290" s="33"/>
      <c r="J1290" s="33"/>
      <c r="K1290" s="33"/>
      <c r="L1290" s="33"/>
      <c r="M1290" s="33"/>
      <c r="N1290" s="33"/>
      <c r="O1290" s="33"/>
      <c r="P1290" s="33"/>
      <c r="Q1290" s="33"/>
      <c r="R1290" s="33"/>
      <c r="S1290" s="33"/>
      <c r="T1290" s="33"/>
      <c r="U1290" s="33"/>
      <c r="V1290" s="33"/>
      <c r="W1290" s="33"/>
      <c r="X1290" s="33"/>
      <c r="Y1290" s="33"/>
      <c r="Z1290" s="33"/>
      <c r="AA1290" s="33"/>
      <c r="AB1290" s="33"/>
      <c r="AC1290" s="33"/>
      <c r="AD1290" s="33"/>
      <c r="AE1290" s="33"/>
      <c r="AF1290" s="33"/>
      <c r="AG1290" s="33"/>
      <c r="AH1290" s="33"/>
      <c r="AI1290" s="33"/>
      <c r="AJ1290" s="33"/>
      <c r="AK1290" s="216"/>
      <c r="AL1290" s="33"/>
      <c r="AM1290" s="33"/>
      <c r="AN1290" s="33"/>
      <c r="AO1290" s="33"/>
      <c r="AP1290" s="33"/>
    </row>
    <row r="1291" spans="1:42" ht="15.75" customHeight="1">
      <c r="A1291" s="33"/>
      <c r="B1291" s="33"/>
      <c r="C1291" s="33"/>
      <c r="D1291" s="33"/>
      <c r="E1291" s="33"/>
      <c r="F1291" s="199"/>
      <c r="G1291" s="33"/>
      <c r="H1291" s="33"/>
      <c r="I1291" s="33"/>
      <c r="J1291" s="33"/>
      <c r="K1291" s="33"/>
      <c r="L1291" s="33"/>
      <c r="M1291" s="33"/>
      <c r="N1291" s="33"/>
      <c r="O1291" s="33"/>
      <c r="P1291" s="33"/>
      <c r="Q1291" s="33"/>
      <c r="R1291" s="33"/>
      <c r="S1291" s="33"/>
      <c r="T1291" s="33"/>
      <c r="U1291" s="33"/>
      <c r="V1291" s="33"/>
      <c r="W1291" s="33"/>
      <c r="X1291" s="33"/>
      <c r="Y1291" s="33"/>
      <c r="Z1291" s="33"/>
      <c r="AA1291" s="33"/>
      <c r="AB1291" s="33"/>
      <c r="AC1291" s="33"/>
      <c r="AD1291" s="33"/>
      <c r="AE1291" s="33"/>
      <c r="AF1291" s="33"/>
      <c r="AG1291" s="33"/>
      <c r="AH1291" s="33"/>
      <c r="AI1291" s="33"/>
      <c r="AJ1291" s="33"/>
      <c r="AK1291" s="216"/>
      <c r="AL1291" s="33"/>
      <c r="AM1291" s="33"/>
      <c r="AN1291" s="33"/>
      <c r="AO1291" s="33"/>
      <c r="AP1291" s="33"/>
    </row>
    <row r="1292" spans="1:42" ht="15.75" customHeight="1">
      <c r="A1292" s="33"/>
      <c r="B1292" s="33"/>
      <c r="C1292" s="33"/>
      <c r="D1292" s="33"/>
      <c r="E1292" s="33"/>
      <c r="F1292" s="199"/>
      <c r="G1292" s="33"/>
      <c r="H1292" s="33"/>
      <c r="I1292" s="33"/>
      <c r="J1292" s="33"/>
      <c r="K1292" s="33"/>
      <c r="L1292" s="33"/>
      <c r="M1292" s="33"/>
      <c r="N1292" s="33"/>
      <c r="O1292" s="33"/>
      <c r="P1292" s="33"/>
      <c r="Q1292" s="33"/>
      <c r="R1292" s="33"/>
      <c r="S1292" s="33"/>
      <c r="T1292" s="33"/>
      <c r="U1292" s="33"/>
      <c r="V1292" s="33"/>
      <c r="W1292" s="33"/>
      <c r="X1292" s="33"/>
      <c r="Y1292" s="33"/>
      <c r="Z1292" s="33"/>
      <c r="AA1292" s="33"/>
      <c r="AB1292" s="33"/>
      <c r="AC1292" s="33"/>
      <c r="AD1292" s="33"/>
      <c r="AE1292" s="33"/>
      <c r="AF1292" s="33"/>
      <c r="AG1292" s="33"/>
      <c r="AH1292" s="33"/>
      <c r="AI1292" s="33"/>
      <c r="AJ1292" s="33"/>
      <c r="AK1292" s="216"/>
      <c r="AL1292" s="33"/>
      <c r="AM1292" s="33"/>
      <c r="AN1292" s="33"/>
      <c r="AO1292" s="33"/>
      <c r="AP1292" s="33"/>
    </row>
    <row r="1293" spans="1:42" ht="15.75" customHeight="1">
      <c r="A1293" s="33"/>
      <c r="B1293" s="33"/>
      <c r="C1293" s="33"/>
      <c r="D1293" s="33"/>
      <c r="E1293" s="33"/>
      <c r="F1293" s="199"/>
      <c r="G1293" s="33"/>
      <c r="H1293" s="33"/>
      <c r="I1293" s="33"/>
      <c r="J1293" s="33"/>
      <c r="K1293" s="33"/>
      <c r="L1293" s="33"/>
      <c r="M1293" s="33"/>
      <c r="N1293" s="33"/>
      <c r="O1293" s="33"/>
      <c r="P1293" s="33"/>
      <c r="Q1293" s="33"/>
      <c r="R1293" s="33"/>
      <c r="S1293" s="33"/>
      <c r="T1293" s="33"/>
      <c r="U1293" s="33"/>
      <c r="V1293" s="33"/>
      <c r="W1293" s="33"/>
      <c r="X1293" s="33"/>
      <c r="Y1293" s="33"/>
      <c r="Z1293" s="33"/>
      <c r="AA1293" s="33"/>
      <c r="AB1293" s="33"/>
      <c r="AC1293" s="33"/>
      <c r="AD1293" s="33"/>
      <c r="AE1293" s="33"/>
      <c r="AF1293" s="33"/>
      <c r="AG1293" s="33"/>
      <c r="AH1293" s="33"/>
      <c r="AI1293" s="33"/>
      <c r="AJ1293" s="33"/>
      <c r="AK1293" s="216"/>
      <c r="AL1293" s="33"/>
      <c r="AM1293" s="33"/>
      <c r="AN1293" s="33"/>
      <c r="AO1293" s="33"/>
      <c r="AP1293" s="33"/>
    </row>
    <row r="1294" spans="1:42" ht="15.75" customHeight="1">
      <c r="A1294" s="33"/>
      <c r="B1294" s="33"/>
      <c r="C1294" s="33"/>
      <c r="D1294" s="33"/>
      <c r="E1294" s="33"/>
      <c r="F1294" s="199"/>
      <c r="G1294" s="33"/>
      <c r="H1294" s="33"/>
      <c r="I1294" s="33"/>
      <c r="J1294" s="33"/>
      <c r="K1294" s="33"/>
      <c r="L1294" s="33"/>
      <c r="M1294" s="33"/>
      <c r="N1294" s="33"/>
      <c r="O1294" s="33"/>
      <c r="P1294" s="33"/>
      <c r="Q1294" s="33"/>
      <c r="R1294" s="33"/>
      <c r="S1294" s="33"/>
      <c r="T1294" s="33"/>
      <c r="U1294" s="33"/>
      <c r="V1294" s="33"/>
      <c r="W1294" s="33"/>
      <c r="X1294" s="33"/>
      <c r="Y1294" s="33"/>
      <c r="Z1294" s="33"/>
      <c r="AA1294" s="33"/>
      <c r="AB1294" s="33"/>
      <c r="AC1294" s="33"/>
      <c r="AD1294" s="33"/>
      <c r="AE1294" s="33"/>
      <c r="AF1294" s="33"/>
      <c r="AG1294" s="33"/>
      <c r="AH1294" s="33"/>
      <c r="AI1294" s="33"/>
      <c r="AJ1294" s="33"/>
      <c r="AK1294" s="216"/>
      <c r="AL1294" s="33"/>
      <c r="AM1294" s="33"/>
      <c r="AN1294" s="33"/>
      <c r="AO1294" s="33"/>
      <c r="AP1294" s="33"/>
    </row>
    <row r="1295" spans="1:42" ht="15.75" customHeight="1">
      <c r="A1295" s="33"/>
      <c r="B1295" s="33"/>
      <c r="C1295" s="33"/>
      <c r="D1295" s="33"/>
      <c r="E1295" s="33"/>
      <c r="F1295" s="199"/>
      <c r="G1295" s="33"/>
      <c r="H1295" s="33"/>
      <c r="I1295" s="33"/>
      <c r="J1295" s="33"/>
      <c r="K1295" s="33"/>
      <c r="L1295" s="33"/>
      <c r="M1295" s="33"/>
      <c r="N1295" s="33"/>
      <c r="O1295" s="33"/>
      <c r="P1295" s="33"/>
      <c r="Q1295" s="33"/>
      <c r="R1295" s="33"/>
      <c r="S1295" s="33"/>
      <c r="T1295" s="33"/>
      <c r="U1295" s="33"/>
      <c r="V1295" s="33"/>
      <c r="W1295" s="33"/>
      <c r="X1295" s="33"/>
      <c r="Y1295" s="33"/>
      <c r="Z1295" s="33"/>
      <c r="AA1295" s="33"/>
      <c r="AB1295" s="33"/>
      <c r="AC1295" s="33"/>
      <c r="AD1295" s="33"/>
      <c r="AE1295" s="33"/>
      <c r="AF1295" s="33"/>
      <c r="AG1295" s="33"/>
      <c r="AH1295" s="33"/>
      <c r="AI1295" s="33"/>
      <c r="AJ1295" s="33"/>
      <c r="AK1295" s="216"/>
      <c r="AL1295" s="33"/>
      <c r="AM1295" s="33"/>
      <c r="AN1295" s="33"/>
      <c r="AO1295" s="33"/>
      <c r="AP1295" s="33"/>
    </row>
    <row r="1296" spans="1:42" ht="15.75" customHeight="1">
      <c r="A1296" s="33"/>
      <c r="B1296" s="33"/>
      <c r="C1296" s="33"/>
      <c r="D1296" s="33"/>
      <c r="E1296" s="33"/>
      <c r="F1296" s="199"/>
      <c r="G1296" s="33"/>
      <c r="H1296" s="33"/>
      <c r="I1296" s="33"/>
      <c r="J1296" s="33"/>
      <c r="K1296" s="33"/>
      <c r="L1296" s="33"/>
      <c r="M1296" s="33"/>
      <c r="N1296" s="33"/>
      <c r="O1296" s="33"/>
      <c r="P1296" s="33"/>
      <c r="Q1296" s="33"/>
      <c r="R1296" s="33"/>
      <c r="S1296" s="33"/>
      <c r="T1296" s="33"/>
      <c r="U1296" s="33"/>
      <c r="V1296" s="33"/>
      <c r="W1296" s="33"/>
      <c r="X1296" s="33"/>
      <c r="Y1296" s="33"/>
      <c r="Z1296" s="33"/>
      <c r="AA1296" s="33"/>
      <c r="AB1296" s="33"/>
      <c r="AC1296" s="33"/>
      <c r="AD1296" s="33"/>
      <c r="AE1296" s="33"/>
      <c r="AF1296" s="33"/>
      <c r="AG1296" s="33"/>
      <c r="AH1296" s="33"/>
      <c r="AI1296" s="33"/>
      <c r="AJ1296" s="33"/>
      <c r="AK1296" s="216"/>
      <c r="AL1296" s="33"/>
      <c r="AM1296" s="33"/>
      <c r="AN1296" s="33"/>
      <c r="AO1296" s="33"/>
      <c r="AP1296" s="33"/>
    </row>
    <row r="1297" spans="1:42" ht="15.75" customHeight="1">
      <c r="A1297" s="33"/>
      <c r="B1297" s="33"/>
      <c r="C1297" s="33"/>
      <c r="D1297" s="33"/>
      <c r="E1297" s="33"/>
      <c r="F1297" s="199"/>
      <c r="G1297" s="33"/>
      <c r="H1297" s="33"/>
      <c r="I1297" s="33"/>
      <c r="J1297" s="33"/>
      <c r="K1297" s="33"/>
      <c r="L1297" s="33"/>
      <c r="M1297" s="33"/>
      <c r="N1297" s="33"/>
      <c r="O1297" s="33"/>
      <c r="P1297" s="33"/>
      <c r="Q1297" s="33"/>
      <c r="R1297" s="33"/>
      <c r="S1297" s="33"/>
      <c r="T1297" s="33"/>
      <c r="U1297" s="33"/>
      <c r="V1297" s="33"/>
      <c r="W1297" s="33"/>
      <c r="X1297" s="33"/>
      <c r="Y1297" s="33"/>
      <c r="Z1297" s="33"/>
      <c r="AA1297" s="33"/>
      <c r="AB1297" s="33"/>
      <c r="AC1297" s="33"/>
      <c r="AD1297" s="33"/>
      <c r="AE1297" s="33"/>
      <c r="AF1297" s="33"/>
      <c r="AG1297" s="33"/>
      <c r="AH1297" s="33"/>
      <c r="AI1297" s="33"/>
      <c r="AJ1297" s="33"/>
      <c r="AK1297" s="216"/>
      <c r="AL1297" s="33"/>
      <c r="AM1297" s="33"/>
      <c r="AN1297" s="33"/>
      <c r="AO1297" s="33"/>
      <c r="AP1297" s="33"/>
    </row>
    <row r="1298" spans="1:42" ht="15.75" customHeight="1">
      <c r="A1298" s="33"/>
      <c r="B1298" s="33"/>
      <c r="C1298" s="33"/>
      <c r="D1298" s="33"/>
      <c r="E1298" s="33"/>
      <c r="F1298" s="199"/>
      <c r="G1298" s="33"/>
      <c r="H1298" s="33"/>
      <c r="I1298" s="33"/>
      <c r="J1298" s="33"/>
      <c r="K1298" s="33"/>
      <c r="L1298" s="33"/>
      <c r="M1298" s="33"/>
      <c r="N1298" s="33"/>
      <c r="O1298" s="33"/>
      <c r="P1298" s="33"/>
      <c r="Q1298" s="33"/>
      <c r="R1298" s="33"/>
      <c r="S1298" s="33"/>
      <c r="T1298" s="33"/>
      <c r="U1298" s="33"/>
      <c r="V1298" s="33"/>
      <c r="W1298" s="33"/>
      <c r="X1298" s="33"/>
      <c r="Y1298" s="33"/>
      <c r="Z1298" s="33"/>
      <c r="AA1298" s="33"/>
      <c r="AB1298" s="33"/>
      <c r="AC1298" s="33"/>
      <c r="AD1298" s="33"/>
      <c r="AE1298" s="33"/>
      <c r="AF1298" s="33"/>
      <c r="AG1298" s="33"/>
      <c r="AH1298" s="33"/>
      <c r="AI1298" s="33"/>
      <c r="AJ1298" s="33"/>
      <c r="AK1298" s="216"/>
      <c r="AL1298" s="33"/>
      <c r="AM1298" s="33"/>
      <c r="AN1298" s="33"/>
      <c r="AO1298" s="33"/>
      <c r="AP1298" s="33"/>
    </row>
    <row r="1299" spans="1:42" ht="15.75" customHeight="1">
      <c r="A1299" s="33"/>
      <c r="B1299" s="33"/>
      <c r="C1299" s="33"/>
      <c r="D1299" s="33"/>
      <c r="E1299" s="33"/>
      <c r="F1299" s="199"/>
      <c r="G1299" s="33"/>
      <c r="H1299" s="33"/>
      <c r="I1299" s="33"/>
      <c r="J1299" s="33"/>
      <c r="K1299" s="33"/>
      <c r="L1299" s="33"/>
      <c r="M1299" s="33"/>
      <c r="N1299" s="33"/>
      <c r="O1299" s="33"/>
      <c r="P1299" s="33"/>
      <c r="Q1299" s="33"/>
      <c r="R1299" s="33"/>
      <c r="S1299" s="33"/>
      <c r="T1299" s="33"/>
      <c r="U1299" s="33"/>
      <c r="V1299" s="33"/>
      <c r="W1299" s="33"/>
      <c r="X1299" s="33"/>
      <c r="Y1299" s="33"/>
      <c r="Z1299" s="33"/>
      <c r="AA1299" s="33"/>
      <c r="AB1299" s="33"/>
      <c r="AC1299" s="33"/>
      <c r="AD1299" s="33"/>
      <c r="AE1299" s="33"/>
      <c r="AF1299" s="33"/>
      <c r="AG1299" s="33"/>
      <c r="AH1299" s="33"/>
      <c r="AI1299" s="33"/>
      <c r="AJ1299" s="33"/>
      <c r="AK1299" s="216"/>
      <c r="AL1299" s="33"/>
      <c r="AM1299" s="33"/>
      <c r="AN1299" s="33"/>
      <c r="AO1299" s="33"/>
      <c r="AP1299" s="33"/>
    </row>
    <row r="1300" spans="1:42" ht="15.75" customHeight="1">
      <c r="A1300" s="33"/>
      <c r="B1300" s="33"/>
      <c r="C1300" s="33"/>
      <c r="D1300" s="33"/>
      <c r="E1300" s="33"/>
      <c r="F1300" s="199"/>
      <c r="G1300" s="33"/>
      <c r="H1300" s="33"/>
      <c r="I1300" s="33"/>
      <c r="J1300" s="33"/>
      <c r="K1300" s="33"/>
      <c r="L1300" s="33"/>
      <c r="M1300" s="33"/>
      <c r="N1300" s="33"/>
      <c r="O1300" s="33"/>
      <c r="P1300" s="33"/>
      <c r="Q1300" s="33"/>
      <c r="R1300" s="33"/>
      <c r="S1300" s="33"/>
      <c r="T1300" s="33"/>
      <c r="U1300" s="33"/>
      <c r="V1300" s="33"/>
      <c r="W1300" s="33"/>
      <c r="X1300" s="33"/>
      <c r="Y1300" s="33"/>
      <c r="Z1300" s="33"/>
      <c r="AA1300" s="33"/>
      <c r="AB1300" s="33"/>
      <c r="AC1300" s="33"/>
      <c r="AD1300" s="33"/>
      <c r="AE1300" s="33"/>
      <c r="AF1300" s="33"/>
      <c r="AG1300" s="33"/>
      <c r="AH1300" s="33"/>
      <c r="AI1300" s="33"/>
      <c r="AJ1300" s="33"/>
      <c r="AK1300" s="216"/>
      <c r="AL1300" s="33"/>
      <c r="AM1300" s="33"/>
      <c r="AN1300" s="33"/>
      <c r="AO1300" s="33"/>
      <c r="AP1300" s="33"/>
    </row>
    <row r="1301" spans="1:42" ht="15.75" customHeight="1">
      <c r="A1301" s="33"/>
      <c r="B1301" s="33"/>
      <c r="C1301" s="33"/>
      <c r="D1301" s="33"/>
      <c r="E1301" s="33"/>
      <c r="F1301" s="199"/>
      <c r="G1301" s="33"/>
      <c r="H1301" s="33"/>
      <c r="I1301" s="33"/>
      <c r="J1301" s="33"/>
      <c r="K1301" s="33"/>
      <c r="L1301" s="33"/>
      <c r="M1301" s="33"/>
      <c r="N1301" s="33"/>
      <c r="O1301" s="33"/>
      <c r="P1301" s="33"/>
      <c r="Q1301" s="33"/>
      <c r="R1301" s="33"/>
      <c r="S1301" s="33"/>
      <c r="T1301" s="33"/>
      <c r="U1301" s="33"/>
      <c r="V1301" s="33"/>
      <c r="W1301" s="33"/>
      <c r="X1301" s="33"/>
      <c r="Y1301" s="33"/>
      <c r="Z1301" s="33"/>
      <c r="AA1301" s="33"/>
      <c r="AB1301" s="33"/>
      <c r="AC1301" s="33"/>
      <c r="AD1301" s="33"/>
      <c r="AE1301" s="33"/>
      <c r="AF1301" s="33"/>
      <c r="AG1301" s="33"/>
      <c r="AH1301" s="33"/>
      <c r="AI1301" s="33"/>
      <c r="AJ1301" s="33"/>
      <c r="AK1301" s="216"/>
      <c r="AL1301" s="33"/>
      <c r="AM1301" s="33"/>
      <c r="AN1301" s="33"/>
      <c r="AO1301" s="33"/>
      <c r="AP1301" s="33"/>
    </row>
    <row r="1302" spans="1:42" ht="15.75" customHeight="1">
      <c r="A1302" s="33"/>
      <c r="B1302" s="33"/>
      <c r="C1302" s="33"/>
      <c r="D1302" s="33"/>
      <c r="E1302" s="33"/>
      <c r="F1302" s="199"/>
      <c r="G1302" s="33"/>
      <c r="H1302" s="33"/>
      <c r="I1302" s="33"/>
      <c r="J1302" s="33"/>
      <c r="K1302" s="33"/>
      <c r="L1302" s="33"/>
      <c r="M1302" s="33"/>
      <c r="N1302" s="33"/>
      <c r="O1302" s="33"/>
      <c r="P1302" s="33"/>
      <c r="Q1302" s="33"/>
      <c r="R1302" s="33"/>
      <c r="S1302" s="33"/>
      <c r="T1302" s="33"/>
      <c r="U1302" s="33"/>
      <c r="V1302" s="33"/>
      <c r="W1302" s="33"/>
      <c r="X1302" s="33"/>
      <c r="Y1302" s="33"/>
      <c r="Z1302" s="33"/>
      <c r="AA1302" s="33"/>
      <c r="AB1302" s="33"/>
      <c r="AC1302" s="33"/>
      <c r="AD1302" s="33"/>
      <c r="AE1302" s="33"/>
      <c r="AF1302" s="33"/>
      <c r="AG1302" s="33"/>
      <c r="AH1302" s="33"/>
      <c r="AI1302" s="33"/>
      <c r="AJ1302" s="33"/>
      <c r="AK1302" s="216"/>
      <c r="AL1302" s="33"/>
      <c r="AM1302" s="33"/>
      <c r="AN1302" s="33"/>
      <c r="AO1302" s="33"/>
      <c r="AP1302" s="33"/>
    </row>
    <row r="1303" spans="1:42" ht="15.75" customHeight="1">
      <c r="A1303" s="33"/>
      <c r="B1303" s="33"/>
      <c r="C1303" s="33"/>
      <c r="D1303" s="33"/>
      <c r="E1303" s="33"/>
      <c r="F1303" s="199"/>
      <c r="G1303" s="33"/>
      <c r="H1303" s="33"/>
      <c r="I1303" s="33"/>
      <c r="J1303" s="33"/>
      <c r="K1303" s="33"/>
      <c r="L1303" s="33"/>
      <c r="M1303" s="33"/>
      <c r="N1303" s="33"/>
      <c r="O1303" s="33"/>
      <c r="P1303" s="33"/>
      <c r="Q1303" s="33"/>
      <c r="R1303" s="33"/>
      <c r="S1303" s="33"/>
      <c r="T1303" s="33"/>
      <c r="U1303" s="33"/>
      <c r="V1303" s="33"/>
      <c r="W1303" s="33"/>
      <c r="X1303" s="33"/>
      <c r="Y1303" s="33"/>
      <c r="Z1303" s="33"/>
      <c r="AA1303" s="33"/>
      <c r="AB1303" s="33"/>
      <c r="AC1303" s="33"/>
      <c r="AD1303" s="33"/>
      <c r="AE1303" s="33"/>
      <c r="AF1303" s="33"/>
      <c r="AG1303" s="33"/>
      <c r="AH1303" s="33"/>
      <c r="AI1303" s="33"/>
      <c r="AJ1303" s="33"/>
      <c r="AK1303" s="216"/>
      <c r="AL1303" s="33"/>
      <c r="AM1303" s="33"/>
      <c r="AN1303" s="33"/>
      <c r="AO1303" s="33"/>
      <c r="AP1303" s="33"/>
    </row>
    <row r="1304" spans="1:42" ht="15.75" customHeight="1">
      <c r="A1304" s="33"/>
      <c r="B1304" s="33"/>
      <c r="C1304" s="33"/>
      <c r="D1304" s="33"/>
      <c r="E1304" s="33"/>
      <c r="F1304" s="199"/>
      <c r="G1304" s="33"/>
      <c r="H1304" s="33"/>
      <c r="I1304" s="33"/>
      <c r="J1304" s="33"/>
      <c r="K1304" s="33"/>
      <c r="L1304" s="33"/>
      <c r="M1304" s="33"/>
      <c r="N1304" s="33"/>
      <c r="O1304" s="33"/>
      <c r="P1304" s="33"/>
      <c r="Q1304" s="33"/>
      <c r="R1304" s="33"/>
      <c r="S1304" s="33"/>
      <c r="T1304" s="33"/>
      <c r="U1304" s="33"/>
      <c r="V1304" s="33"/>
      <c r="W1304" s="33"/>
      <c r="X1304" s="33"/>
      <c r="Y1304" s="33"/>
      <c r="Z1304" s="33"/>
      <c r="AA1304" s="33"/>
      <c r="AB1304" s="33"/>
      <c r="AC1304" s="33"/>
      <c r="AD1304" s="33"/>
      <c r="AE1304" s="33"/>
      <c r="AF1304" s="33"/>
      <c r="AG1304" s="33"/>
      <c r="AH1304" s="33"/>
      <c r="AI1304" s="33"/>
      <c r="AJ1304" s="33"/>
      <c r="AK1304" s="216"/>
      <c r="AL1304" s="33"/>
      <c r="AM1304" s="33"/>
      <c r="AN1304" s="33"/>
      <c r="AO1304" s="33"/>
      <c r="AP1304" s="33"/>
    </row>
    <row r="1305" spans="1:42" ht="15.75" customHeight="1">
      <c r="A1305" s="33"/>
      <c r="B1305" s="33"/>
      <c r="C1305" s="33"/>
      <c r="D1305" s="33"/>
      <c r="E1305" s="33"/>
      <c r="F1305" s="199"/>
      <c r="G1305" s="33"/>
      <c r="H1305" s="33"/>
      <c r="I1305" s="33"/>
      <c r="J1305" s="33"/>
      <c r="K1305" s="33"/>
      <c r="L1305" s="33"/>
      <c r="M1305" s="33"/>
      <c r="N1305" s="33"/>
      <c r="O1305" s="33"/>
      <c r="P1305" s="33"/>
      <c r="Q1305" s="33"/>
      <c r="R1305" s="33"/>
      <c r="S1305" s="33"/>
      <c r="T1305" s="33"/>
      <c r="U1305" s="33"/>
      <c r="V1305" s="33"/>
      <c r="W1305" s="33"/>
      <c r="X1305" s="33"/>
      <c r="Y1305" s="33"/>
      <c r="Z1305" s="33"/>
      <c r="AA1305" s="33"/>
      <c r="AB1305" s="33"/>
      <c r="AC1305" s="33"/>
      <c r="AD1305" s="33"/>
      <c r="AE1305" s="33"/>
      <c r="AF1305" s="33"/>
      <c r="AG1305" s="33"/>
      <c r="AH1305" s="33"/>
      <c r="AI1305" s="33"/>
      <c r="AJ1305" s="33"/>
      <c r="AK1305" s="216"/>
      <c r="AL1305" s="33"/>
      <c r="AM1305" s="33"/>
      <c r="AN1305" s="33"/>
      <c r="AO1305" s="33"/>
      <c r="AP1305" s="33"/>
    </row>
    <row r="1306" spans="1:42" ht="15.75" customHeight="1">
      <c r="A1306" s="33"/>
      <c r="B1306" s="33"/>
      <c r="C1306" s="33"/>
      <c r="D1306" s="33"/>
      <c r="E1306" s="33"/>
      <c r="F1306" s="199"/>
      <c r="G1306" s="33"/>
      <c r="H1306" s="33"/>
      <c r="I1306" s="33"/>
      <c r="J1306" s="33"/>
      <c r="K1306" s="33"/>
      <c r="L1306" s="33"/>
      <c r="M1306" s="33"/>
      <c r="N1306" s="33"/>
      <c r="O1306" s="33"/>
      <c r="P1306" s="33"/>
      <c r="Q1306" s="33"/>
      <c r="R1306" s="33"/>
      <c r="S1306" s="33"/>
      <c r="T1306" s="33"/>
      <c r="U1306" s="33"/>
      <c r="V1306" s="33"/>
      <c r="W1306" s="33"/>
      <c r="X1306" s="33"/>
      <c r="Y1306" s="33"/>
      <c r="Z1306" s="33"/>
      <c r="AA1306" s="33"/>
      <c r="AB1306" s="33"/>
      <c r="AC1306" s="33"/>
      <c r="AD1306" s="33"/>
      <c r="AE1306" s="33"/>
      <c r="AF1306" s="33"/>
      <c r="AG1306" s="33"/>
      <c r="AH1306" s="33"/>
      <c r="AI1306" s="33"/>
      <c r="AJ1306" s="33"/>
      <c r="AK1306" s="216"/>
      <c r="AL1306" s="33"/>
      <c r="AM1306" s="33"/>
      <c r="AN1306" s="33"/>
      <c r="AO1306" s="33"/>
      <c r="AP1306" s="33"/>
    </row>
    <row r="1307" spans="1:42" ht="15.75" customHeight="1">
      <c r="A1307" s="33"/>
      <c r="B1307" s="33"/>
      <c r="C1307" s="33"/>
      <c r="D1307" s="33"/>
      <c r="E1307" s="33"/>
      <c r="F1307" s="199"/>
      <c r="G1307" s="33"/>
      <c r="H1307" s="33"/>
      <c r="I1307" s="33"/>
      <c r="J1307" s="33"/>
      <c r="K1307" s="33"/>
      <c r="L1307" s="33"/>
      <c r="M1307" s="33"/>
      <c r="N1307" s="33"/>
      <c r="O1307" s="33"/>
      <c r="P1307" s="33"/>
      <c r="Q1307" s="33"/>
      <c r="R1307" s="33"/>
      <c r="S1307" s="33"/>
      <c r="T1307" s="33"/>
      <c r="U1307" s="33"/>
      <c r="V1307" s="33"/>
      <c r="W1307" s="33"/>
      <c r="X1307" s="33"/>
      <c r="Y1307" s="33"/>
      <c r="Z1307" s="33"/>
      <c r="AA1307" s="33"/>
      <c r="AB1307" s="33"/>
      <c r="AC1307" s="33"/>
      <c r="AD1307" s="33"/>
      <c r="AE1307" s="33"/>
      <c r="AF1307" s="33"/>
      <c r="AG1307" s="33"/>
      <c r="AH1307" s="33"/>
      <c r="AI1307" s="33"/>
      <c r="AJ1307" s="33"/>
      <c r="AK1307" s="216"/>
      <c r="AL1307" s="33"/>
      <c r="AM1307" s="33"/>
      <c r="AN1307" s="33"/>
      <c r="AO1307" s="33"/>
      <c r="AP1307" s="33"/>
    </row>
    <row r="1308" spans="1:42" ht="15.75" customHeight="1">
      <c r="A1308" s="33"/>
      <c r="B1308" s="33"/>
      <c r="C1308" s="33"/>
      <c r="D1308" s="33"/>
      <c r="E1308" s="33"/>
      <c r="F1308" s="199"/>
      <c r="G1308" s="33"/>
      <c r="H1308" s="33"/>
      <c r="I1308" s="33"/>
      <c r="J1308" s="33"/>
      <c r="K1308" s="33"/>
      <c r="L1308" s="33"/>
      <c r="M1308" s="33"/>
      <c r="N1308" s="33"/>
      <c r="O1308" s="33"/>
      <c r="P1308" s="33"/>
      <c r="Q1308" s="33"/>
      <c r="R1308" s="33"/>
      <c r="S1308" s="33"/>
      <c r="T1308" s="33"/>
      <c r="U1308" s="33"/>
      <c r="V1308" s="33"/>
      <c r="W1308" s="33"/>
      <c r="X1308" s="33"/>
      <c r="Y1308" s="33"/>
      <c r="Z1308" s="33"/>
      <c r="AA1308" s="33"/>
      <c r="AB1308" s="33"/>
      <c r="AC1308" s="33"/>
      <c r="AD1308" s="33"/>
      <c r="AE1308" s="33"/>
      <c r="AF1308" s="33"/>
      <c r="AG1308" s="33"/>
      <c r="AH1308" s="33"/>
      <c r="AI1308" s="33"/>
      <c r="AJ1308" s="33"/>
      <c r="AK1308" s="216"/>
      <c r="AL1308" s="33"/>
      <c r="AM1308" s="33"/>
      <c r="AN1308" s="33"/>
      <c r="AO1308" s="33"/>
      <c r="AP1308" s="33"/>
    </row>
    <row r="1309" spans="1:42" ht="15.75" customHeight="1">
      <c r="A1309" s="33"/>
      <c r="B1309" s="33"/>
      <c r="C1309" s="33"/>
      <c r="D1309" s="33"/>
      <c r="E1309" s="33"/>
      <c r="F1309" s="199"/>
      <c r="G1309" s="33"/>
      <c r="H1309" s="33"/>
      <c r="I1309" s="33"/>
      <c r="J1309" s="33"/>
      <c r="K1309" s="33"/>
      <c r="L1309" s="33"/>
      <c r="M1309" s="33"/>
      <c r="N1309" s="33"/>
      <c r="O1309" s="33"/>
      <c r="P1309" s="33"/>
      <c r="Q1309" s="33"/>
      <c r="R1309" s="33"/>
      <c r="S1309" s="33"/>
      <c r="T1309" s="33"/>
      <c r="U1309" s="33"/>
      <c r="V1309" s="33"/>
      <c r="W1309" s="33"/>
      <c r="X1309" s="33"/>
      <c r="Y1309" s="33"/>
      <c r="Z1309" s="33"/>
      <c r="AA1309" s="33"/>
      <c r="AB1309" s="33"/>
      <c r="AC1309" s="33"/>
      <c r="AD1309" s="33"/>
      <c r="AE1309" s="33"/>
      <c r="AF1309" s="33"/>
      <c r="AG1309" s="33"/>
      <c r="AH1309" s="33"/>
      <c r="AI1309" s="33"/>
      <c r="AJ1309" s="33"/>
      <c r="AK1309" s="216"/>
      <c r="AL1309" s="33"/>
      <c r="AM1309" s="33"/>
      <c r="AN1309" s="33"/>
      <c r="AO1309" s="33"/>
      <c r="AP1309" s="33"/>
    </row>
    <row r="1310" spans="1:42" ht="15.75" customHeight="1">
      <c r="A1310" s="33"/>
      <c r="B1310" s="33"/>
      <c r="C1310" s="33"/>
      <c r="D1310" s="33"/>
      <c r="E1310" s="33"/>
      <c r="F1310" s="199"/>
      <c r="G1310" s="33"/>
      <c r="H1310" s="33"/>
      <c r="I1310" s="33"/>
      <c r="J1310" s="33"/>
      <c r="K1310" s="33"/>
      <c r="L1310" s="33"/>
      <c r="M1310" s="33"/>
      <c r="N1310" s="33"/>
      <c r="O1310" s="33"/>
      <c r="P1310" s="33"/>
      <c r="Q1310" s="33"/>
      <c r="R1310" s="33"/>
      <c r="S1310" s="33"/>
      <c r="T1310" s="33"/>
      <c r="U1310" s="33"/>
      <c r="V1310" s="33"/>
      <c r="W1310" s="33"/>
      <c r="X1310" s="33"/>
      <c r="Y1310" s="33"/>
      <c r="Z1310" s="33"/>
      <c r="AA1310" s="33"/>
      <c r="AB1310" s="33"/>
      <c r="AC1310" s="33"/>
      <c r="AD1310" s="33"/>
      <c r="AE1310" s="33"/>
      <c r="AF1310" s="33"/>
      <c r="AG1310" s="33"/>
      <c r="AH1310" s="33"/>
      <c r="AI1310" s="33"/>
      <c r="AJ1310" s="33"/>
      <c r="AK1310" s="216"/>
      <c r="AL1310" s="33"/>
      <c r="AM1310" s="33"/>
      <c r="AN1310" s="33"/>
      <c r="AO1310" s="33"/>
      <c r="AP1310" s="33"/>
    </row>
    <row r="1311" spans="1:42" ht="15.75" customHeight="1">
      <c r="A1311" s="33"/>
      <c r="B1311" s="33"/>
      <c r="C1311" s="33"/>
      <c r="D1311" s="33"/>
      <c r="E1311" s="33"/>
      <c r="F1311" s="199"/>
      <c r="G1311" s="33"/>
      <c r="H1311" s="33"/>
      <c r="I1311" s="33"/>
      <c r="J1311" s="33"/>
      <c r="K1311" s="33"/>
      <c r="L1311" s="33"/>
      <c r="M1311" s="33"/>
      <c r="N1311" s="33"/>
      <c r="O1311" s="33"/>
      <c r="P1311" s="33"/>
      <c r="Q1311" s="33"/>
      <c r="R1311" s="33"/>
      <c r="S1311" s="33"/>
      <c r="T1311" s="33"/>
      <c r="U1311" s="33"/>
      <c r="V1311" s="33"/>
      <c r="W1311" s="33"/>
      <c r="X1311" s="33"/>
      <c r="Y1311" s="33"/>
      <c r="Z1311" s="33"/>
      <c r="AA1311" s="33"/>
      <c r="AB1311" s="33"/>
      <c r="AC1311" s="33"/>
      <c r="AD1311" s="33"/>
      <c r="AE1311" s="33"/>
      <c r="AF1311" s="33"/>
      <c r="AG1311" s="33"/>
      <c r="AH1311" s="33"/>
      <c r="AI1311" s="33"/>
      <c r="AJ1311" s="33"/>
      <c r="AK1311" s="216"/>
      <c r="AL1311" s="33"/>
      <c r="AM1311" s="33"/>
      <c r="AN1311" s="33"/>
      <c r="AO1311" s="33"/>
      <c r="AP1311" s="33"/>
    </row>
    <row r="1312" spans="1:42" ht="15.75" customHeight="1">
      <c r="A1312" s="33"/>
      <c r="B1312" s="33"/>
      <c r="C1312" s="33"/>
      <c r="D1312" s="33"/>
      <c r="E1312" s="33"/>
      <c r="F1312" s="199"/>
      <c r="G1312" s="33"/>
      <c r="H1312" s="33"/>
      <c r="I1312" s="33"/>
      <c r="J1312" s="33"/>
      <c r="K1312" s="33"/>
      <c r="L1312" s="33"/>
      <c r="M1312" s="33"/>
      <c r="N1312" s="33"/>
      <c r="O1312" s="33"/>
      <c r="P1312" s="33"/>
      <c r="Q1312" s="33"/>
      <c r="R1312" s="33"/>
      <c r="S1312" s="33"/>
      <c r="T1312" s="33"/>
      <c r="U1312" s="33"/>
      <c r="V1312" s="33"/>
      <c r="W1312" s="33"/>
      <c r="X1312" s="33"/>
      <c r="Y1312" s="33"/>
      <c r="Z1312" s="33"/>
      <c r="AA1312" s="33"/>
      <c r="AB1312" s="33"/>
      <c r="AC1312" s="33"/>
      <c r="AD1312" s="33"/>
      <c r="AE1312" s="33"/>
      <c r="AF1312" s="33"/>
      <c r="AG1312" s="33"/>
      <c r="AH1312" s="33"/>
      <c r="AI1312" s="33"/>
      <c r="AJ1312" s="33"/>
      <c r="AK1312" s="216"/>
      <c r="AL1312" s="33"/>
      <c r="AM1312" s="33"/>
      <c r="AN1312" s="33"/>
      <c r="AO1312" s="33"/>
      <c r="AP1312" s="33"/>
    </row>
    <row r="1313" spans="1:42" ht="15.75" customHeight="1">
      <c r="A1313" s="33"/>
      <c r="B1313" s="33"/>
      <c r="C1313" s="33"/>
      <c r="D1313" s="33"/>
      <c r="E1313" s="33"/>
      <c r="F1313" s="199"/>
      <c r="G1313" s="33"/>
      <c r="H1313" s="33"/>
      <c r="I1313" s="33"/>
      <c r="J1313" s="33"/>
      <c r="K1313" s="33"/>
      <c r="L1313" s="33"/>
      <c r="M1313" s="33"/>
      <c r="N1313" s="33"/>
      <c r="O1313" s="33"/>
      <c r="P1313" s="33"/>
      <c r="Q1313" s="33"/>
      <c r="R1313" s="33"/>
      <c r="S1313" s="33"/>
      <c r="T1313" s="33"/>
      <c r="U1313" s="33"/>
      <c r="V1313" s="33"/>
      <c r="W1313" s="33"/>
      <c r="X1313" s="33"/>
      <c r="Y1313" s="33"/>
      <c r="Z1313" s="33"/>
      <c r="AA1313" s="33"/>
      <c r="AB1313" s="33"/>
      <c r="AC1313" s="33"/>
      <c r="AD1313" s="33"/>
      <c r="AE1313" s="33"/>
      <c r="AF1313" s="33"/>
      <c r="AG1313" s="33"/>
      <c r="AH1313" s="33"/>
      <c r="AI1313" s="33"/>
      <c r="AJ1313" s="33"/>
      <c r="AK1313" s="216"/>
      <c r="AL1313" s="33"/>
      <c r="AM1313" s="33"/>
      <c r="AN1313" s="33"/>
      <c r="AO1313" s="33"/>
      <c r="AP1313" s="33"/>
    </row>
    <row r="1314" spans="1:42" ht="15.75" customHeight="1">
      <c r="A1314" s="33"/>
      <c r="B1314" s="33"/>
      <c r="C1314" s="33"/>
      <c r="D1314" s="33"/>
      <c r="E1314" s="33"/>
      <c r="F1314" s="199"/>
      <c r="G1314" s="33"/>
      <c r="H1314" s="33"/>
      <c r="I1314" s="33"/>
      <c r="J1314" s="33"/>
      <c r="K1314" s="33"/>
      <c r="L1314" s="33"/>
      <c r="M1314" s="33"/>
      <c r="N1314" s="33"/>
      <c r="O1314" s="33"/>
      <c r="P1314" s="33"/>
      <c r="Q1314" s="33"/>
      <c r="R1314" s="33"/>
      <c r="S1314" s="33"/>
      <c r="T1314" s="33"/>
      <c r="U1314" s="33"/>
      <c r="V1314" s="33"/>
      <c r="W1314" s="33"/>
      <c r="X1314" s="33"/>
      <c r="Y1314" s="33"/>
      <c r="Z1314" s="33"/>
      <c r="AA1314" s="33"/>
      <c r="AB1314" s="33"/>
      <c r="AC1314" s="33"/>
      <c r="AD1314" s="33"/>
      <c r="AE1314" s="33"/>
      <c r="AF1314" s="33"/>
      <c r="AG1314" s="33"/>
      <c r="AH1314" s="33"/>
      <c r="AI1314" s="33"/>
      <c r="AJ1314" s="33"/>
      <c r="AK1314" s="216"/>
      <c r="AL1314" s="33"/>
      <c r="AM1314" s="33"/>
      <c r="AN1314" s="33"/>
      <c r="AO1314" s="33"/>
      <c r="AP1314" s="33"/>
    </row>
    <row r="1315" spans="1:42" ht="15.75" customHeight="1">
      <c r="A1315" s="33"/>
      <c r="B1315" s="33"/>
      <c r="C1315" s="33"/>
      <c r="D1315" s="33"/>
      <c r="E1315" s="33"/>
      <c r="F1315" s="199"/>
      <c r="G1315" s="33"/>
      <c r="H1315" s="33"/>
      <c r="I1315" s="33"/>
      <c r="J1315" s="33"/>
      <c r="K1315" s="33"/>
      <c r="L1315" s="33"/>
      <c r="M1315" s="33"/>
      <c r="N1315" s="33"/>
      <c r="O1315" s="33"/>
      <c r="P1315" s="33"/>
      <c r="Q1315" s="33"/>
      <c r="R1315" s="33"/>
      <c r="S1315" s="33"/>
      <c r="T1315" s="33"/>
      <c r="U1315" s="33"/>
      <c r="V1315" s="33"/>
      <c r="W1315" s="33"/>
      <c r="X1315" s="33"/>
      <c r="Y1315" s="33"/>
      <c r="Z1315" s="33"/>
      <c r="AA1315" s="33"/>
      <c r="AB1315" s="33"/>
      <c r="AC1315" s="33"/>
      <c r="AD1315" s="33"/>
      <c r="AE1315" s="33"/>
      <c r="AF1315" s="33"/>
      <c r="AG1315" s="33"/>
      <c r="AH1315" s="33"/>
      <c r="AI1315" s="33"/>
      <c r="AJ1315" s="33"/>
      <c r="AK1315" s="216"/>
      <c r="AL1315" s="33"/>
      <c r="AM1315" s="33"/>
      <c r="AN1315" s="33"/>
      <c r="AO1315" s="33"/>
      <c r="AP1315" s="33"/>
    </row>
    <row r="1316" spans="1:42" ht="15.75" customHeight="1">
      <c r="A1316" s="33"/>
      <c r="B1316" s="33"/>
      <c r="C1316" s="33"/>
      <c r="D1316" s="33"/>
      <c r="E1316" s="33"/>
      <c r="F1316" s="199"/>
      <c r="G1316" s="33"/>
      <c r="H1316" s="33"/>
      <c r="I1316" s="33"/>
      <c r="J1316" s="33"/>
      <c r="K1316" s="33"/>
      <c r="L1316" s="33"/>
      <c r="M1316" s="33"/>
      <c r="N1316" s="33"/>
      <c r="O1316" s="33"/>
      <c r="P1316" s="33"/>
      <c r="Q1316" s="33"/>
      <c r="R1316" s="33"/>
      <c r="S1316" s="33"/>
      <c r="T1316" s="33"/>
      <c r="U1316" s="33"/>
      <c r="V1316" s="33"/>
      <c r="W1316" s="33"/>
      <c r="X1316" s="33"/>
      <c r="Y1316" s="33"/>
      <c r="Z1316" s="33"/>
      <c r="AA1316" s="33"/>
      <c r="AB1316" s="33"/>
      <c r="AC1316" s="33"/>
      <c r="AD1316" s="33"/>
      <c r="AE1316" s="33"/>
      <c r="AF1316" s="33"/>
      <c r="AG1316" s="33"/>
      <c r="AH1316" s="33"/>
      <c r="AI1316" s="33"/>
      <c r="AJ1316" s="33"/>
      <c r="AK1316" s="216"/>
      <c r="AL1316" s="33"/>
      <c r="AM1316" s="33"/>
      <c r="AN1316" s="33"/>
      <c r="AO1316" s="33"/>
      <c r="AP1316" s="33"/>
    </row>
    <row r="1317" spans="1:42" ht="15.75" customHeight="1">
      <c r="A1317" s="33"/>
      <c r="B1317" s="33"/>
      <c r="C1317" s="33"/>
      <c r="D1317" s="33"/>
      <c r="E1317" s="33"/>
      <c r="F1317" s="199"/>
      <c r="G1317" s="33"/>
      <c r="H1317" s="33"/>
      <c r="I1317" s="33"/>
      <c r="J1317" s="33"/>
      <c r="K1317" s="33"/>
      <c r="L1317" s="33"/>
      <c r="M1317" s="33"/>
      <c r="N1317" s="33"/>
      <c r="O1317" s="33"/>
      <c r="P1317" s="33"/>
      <c r="Q1317" s="33"/>
      <c r="R1317" s="33"/>
      <c r="S1317" s="33"/>
      <c r="T1317" s="33"/>
      <c r="U1317" s="33"/>
      <c r="V1317" s="33"/>
      <c r="W1317" s="33"/>
      <c r="X1317" s="33"/>
      <c r="Y1317" s="33"/>
      <c r="Z1317" s="33"/>
      <c r="AA1317" s="33"/>
      <c r="AB1317" s="33"/>
      <c r="AC1317" s="33"/>
      <c r="AD1317" s="33"/>
      <c r="AE1317" s="33"/>
      <c r="AF1317" s="33"/>
      <c r="AG1317" s="33"/>
      <c r="AH1317" s="33"/>
      <c r="AI1317" s="33"/>
      <c r="AJ1317" s="33"/>
      <c r="AK1317" s="216"/>
      <c r="AL1317" s="33"/>
      <c r="AM1317" s="33"/>
      <c r="AN1317" s="33"/>
      <c r="AO1317" s="33"/>
      <c r="AP1317" s="33"/>
    </row>
    <row r="1318" spans="1:42" ht="15.75" customHeight="1">
      <c r="A1318" s="33"/>
      <c r="B1318" s="33"/>
      <c r="C1318" s="33"/>
      <c r="D1318" s="33"/>
      <c r="E1318" s="33"/>
      <c r="F1318" s="199"/>
      <c r="G1318" s="33"/>
      <c r="H1318" s="33"/>
      <c r="I1318" s="33"/>
      <c r="J1318" s="33"/>
      <c r="K1318" s="33"/>
      <c r="L1318" s="33"/>
      <c r="M1318" s="33"/>
      <c r="N1318" s="33"/>
      <c r="O1318" s="33"/>
      <c r="P1318" s="33"/>
      <c r="Q1318" s="33"/>
      <c r="R1318" s="33"/>
      <c r="S1318" s="33"/>
      <c r="T1318" s="33"/>
      <c r="U1318" s="33"/>
      <c r="V1318" s="33"/>
      <c r="W1318" s="33"/>
      <c r="X1318" s="33"/>
      <c r="Y1318" s="33"/>
      <c r="Z1318" s="33"/>
      <c r="AA1318" s="33"/>
      <c r="AB1318" s="33"/>
      <c r="AC1318" s="33"/>
      <c r="AD1318" s="33"/>
      <c r="AE1318" s="33"/>
      <c r="AF1318" s="33"/>
      <c r="AG1318" s="33"/>
      <c r="AH1318" s="33"/>
      <c r="AI1318" s="33"/>
      <c r="AJ1318" s="33"/>
      <c r="AK1318" s="216"/>
      <c r="AL1318" s="33"/>
      <c r="AM1318" s="33"/>
      <c r="AN1318" s="33"/>
      <c r="AO1318" s="33"/>
      <c r="AP1318" s="33"/>
    </row>
    <row r="1319" spans="1:42" ht="15.75" customHeight="1">
      <c r="A1319" s="33"/>
      <c r="B1319" s="33"/>
      <c r="C1319" s="33"/>
      <c r="D1319" s="33"/>
      <c r="E1319" s="33"/>
      <c r="F1319" s="199"/>
      <c r="G1319" s="33"/>
      <c r="H1319" s="33"/>
      <c r="I1319" s="33"/>
      <c r="J1319" s="33"/>
      <c r="K1319" s="33"/>
      <c r="L1319" s="33"/>
      <c r="M1319" s="33"/>
      <c r="N1319" s="33"/>
      <c r="O1319" s="33"/>
      <c r="P1319" s="33"/>
      <c r="Q1319" s="33"/>
      <c r="R1319" s="33"/>
      <c r="S1319" s="33"/>
      <c r="T1319" s="33"/>
      <c r="U1319" s="33"/>
      <c r="V1319" s="33"/>
      <c r="W1319" s="33"/>
      <c r="X1319" s="33"/>
      <c r="Y1319" s="33"/>
      <c r="Z1319" s="33"/>
      <c r="AA1319" s="33"/>
      <c r="AB1319" s="33"/>
      <c r="AC1319" s="33"/>
      <c r="AD1319" s="33"/>
      <c r="AE1319" s="33"/>
      <c r="AF1319" s="33"/>
      <c r="AG1319" s="33"/>
      <c r="AH1319" s="33"/>
      <c r="AI1319" s="33"/>
      <c r="AJ1319" s="33"/>
      <c r="AK1319" s="216"/>
      <c r="AL1319" s="33"/>
      <c r="AM1319" s="33"/>
      <c r="AN1319" s="33"/>
      <c r="AO1319" s="33"/>
      <c r="AP1319" s="33"/>
    </row>
    <row r="1320" spans="1:42" ht="15.75" customHeight="1">
      <c r="A1320" s="33"/>
      <c r="B1320" s="33"/>
      <c r="C1320" s="33"/>
      <c r="D1320" s="33"/>
      <c r="E1320" s="33"/>
      <c r="F1320" s="199"/>
      <c r="G1320" s="33"/>
      <c r="H1320" s="33"/>
      <c r="I1320" s="33"/>
      <c r="J1320" s="33"/>
      <c r="K1320" s="33"/>
      <c r="L1320" s="33"/>
      <c r="M1320" s="33"/>
      <c r="N1320" s="33"/>
      <c r="O1320" s="33"/>
      <c r="P1320" s="33"/>
      <c r="Q1320" s="33"/>
      <c r="R1320" s="33"/>
      <c r="S1320" s="33"/>
      <c r="T1320" s="33"/>
      <c r="U1320" s="33"/>
      <c r="V1320" s="33"/>
      <c r="W1320" s="33"/>
      <c r="X1320" s="33"/>
      <c r="Y1320" s="33"/>
      <c r="Z1320" s="33"/>
      <c r="AA1320" s="33"/>
      <c r="AB1320" s="33"/>
      <c r="AC1320" s="33"/>
      <c r="AD1320" s="33"/>
      <c r="AE1320" s="33"/>
      <c r="AF1320" s="33"/>
      <c r="AG1320" s="33"/>
      <c r="AH1320" s="33"/>
      <c r="AI1320" s="33"/>
      <c r="AJ1320" s="33"/>
      <c r="AK1320" s="216"/>
      <c r="AL1320" s="33"/>
      <c r="AM1320" s="33"/>
      <c r="AN1320" s="33"/>
      <c r="AO1320" s="33"/>
      <c r="AP1320" s="33"/>
    </row>
    <row r="1321" spans="1:42" ht="15.75" customHeight="1">
      <c r="A1321" s="33"/>
      <c r="B1321" s="33"/>
      <c r="C1321" s="33"/>
      <c r="D1321" s="33"/>
      <c r="E1321" s="33"/>
      <c r="F1321" s="199"/>
      <c r="G1321" s="33"/>
      <c r="H1321" s="33"/>
      <c r="I1321" s="33"/>
      <c r="J1321" s="33"/>
      <c r="K1321" s="33"/>
      <c r="L1321" s="33"/>
      <c r="M1321" s="33"/>
      <c r="N1321" s="33"/>
      <c r="O1321" s="33"/>
      <c r="P1321" s="33"/>
      <c r="Q1321" s="33"/>
      <c r="R1321" s="33"/>
      <c r="S1321" s="33"/>
      <c r="T1321" s="33"/>
      <c r="U1321" s="33"/>
      <c r="V1321" s="33"/>
      <c r="W1321" s="33"/>
      <c r="X1321" s="33"/>
      <c r="Y1321" s="33"/>
      <c r="Z1321" s="33"/>
      <c r="AA1321" s="33"/>
      <c r="AB1321" s="33"/>
      <c r="AC1321" s="33"/>
      <c r="AD1321" s="33"/>
      <c r="AE1321" s="33"/>
      <c r="AF1321" s="33"/>
      <c r="AG1321" s="33"/>
      <c r="AH1321" s="33"/>
      <c r="AI1321" s="33"/>
      <c r="AJ1321" s="33"/>
      <c r="AK1321" s="216"/>
      <c r="AL1321" s="33"/>
      <c r="AM1321" s="33"/>
      <c r="AN1321" s="33"/>
      <c r="AO1321" s="33"/>
      <c r="AP1321" s="33"/>
    </row>
    <row r="1322" spans="1:42" ht="15.75" customHeight="1">
      <c r="A1322" s="33"/>
      <c r="B1322" s="33"/>
      <c r="C1322" s="33"/>
      <c r="D1322" s="33"/>
      <c r="E1322" s="33"/>
      <c r="F1322" s="199"/>
      <c r="G1322" s="33"/>
      <c r="H1322" s="33"/>
      <c r="I1322" s="33"/>
      <c r="J1322" s="33"/>
      <c r="K1322" s="33"/>
      <c r="L1322" s="33"/>
      <c r="M1322" s="33"/>
      <c r="N1322" s="33"/>
      <c r="O1322" s="33"/>
      <c r="P1322" s="33"/>
      <c r="Q1322" s="33"/>
      <c r="R1322" s="33"/>
      <c r="S1322" s="33"/>
      <c r="T1322" s="33"/>
      <c r="U1322" s="33"/>
      <c r="V1322" s="33"/>
      <c r="W1322" s="33"/>
      <c r="X1322" s="33"/>
      <c r="Y1322" s="33"/>
      <c r="Z1322" s="33"/>
      <c r="AA1322" s="33"/>
      <c r="AB1322" s="33"/>
      <c r="AC1322" s="33"/>
      <c r="AD1322" s="33"/>
      <c r="AE1322" s="33"/>
      <c r="AF1322" s="33"/>
      <c r="AG1322" s="33"/>
      <c r="AH1322" s="33"/>
      <c r="AI1322" s="33"/>
      <c r="AJ1322" s="33"/>
      <c r="AK1322" s="216"/>
      <c r="AL1322" s="33"/>
      <c r="AM1322" s="33"/>
      <c r="AN1322" s="33"/>
      <c r="AO1322" s="33"/>
      <c r="AP1322" s="33"/>
    </row>
    <row r="1323" spans="1:42" ht="15.75" customHeight="1">
      <c r="A1323" s="33"/>
      <c r="B1323" s="33"/>
      <c r="C1323" s="33"/>
      <c r="D1323" s="33"/>
      <c r="E1323" s="33"/>
      <c r="F1323" s="199"/>
      <c r="G1323" s="33"/>
      <c r="H1323" s="33"/>
      <c r="I1323" s="33"/>
      <c r="J1323" s="33"/>
      <c r="K1323" s="33"/>
      <c r="L1323" s="33"/>
      <c r="M1323" s="33"/>
      <c r="N1323" s="33"/>
      <c r="O1323" s="33"/>
      <c r="P1323" s="33"/>
      <c r="Q1323" s="33"/>
      <c r="R1323" s="33"/>
      <c r="S1323" s="33"/>
      <c r="T1323" s="33"/>
      <c r="U1323" s="33"/>
      <c r="V1323" s="33"/>
      <c r="W1323" s="33"/>
      <c r="X1323" s="33"/>
      <c r="Y1323" s="33"/>
      <c r="Z1323" s="33"/>
      <c r="AA1323" s="33"/>
      <c r="AB1323" s="33"/>
      <c r="AC1323" s="33"/>
      <c r="AD1323" s="33"/>
      <c r="AE1323" s="33"/>
      <c r="AF1323" s="33"/>
      <c r="AG1323" s="33"/>
      <c r="AH1323" s="33"/>
      <c r="AI1323" s="33"/>
      <c r="AJ1323" s="33"/>
      <c r="AK1323" s="216"/>
      <c r="AL1323" s="33"/>
      <c r="AM1323" s="33"/>
      <c r="AN1323" s="33"/>
      <c r="AO1323" s="33"/>
      <c r="AP1323" s="33"/>
    </row>
    <row r="1324" spans="1:42" ht="15.75" customHeight="1">
      <c r="A1324" s="33"/>
      <c r="B1324" s="33"/>
      <c r="C1324" s="33"/>
      <c r="D1324" s="33"/>
      <c r="E1324" s="33"/>
      <c r="F1324" s="199"/>
      <c r="G1324" s="33"/>
      <c r="H1324" s="33"/>
      <c r="I1324" s="33"/>
      <c r="J1324" s="33"/>
      <c r="K1324" s="33"/>
      <c r="L1324" s="33"/>
      <c r="M1324" s="33"/>
      <c r="N1324" s="33"/>
      <c r="O1324" s="33"/>
      <c r="P1324" s="33"/>
      <c r="Q1324" s="33"/>
      <c r="R1324" s="33"/>
      <c r="S1324" s="33"/>
      <c r="T1324" s="33"/>
      <c r="U1324" s="33"/>
      <c r="V1324" s="33"/>
      <c r="W1324" s="33"/>
      <c r="X1324" s="33"/>
      <c r="Y1324" s="33"/>
      <c r="Z1324" s="33"/>
      <c r="AA1324" s="33"/>
      <c r="AB1324" s="33"/>
      <c r="AC1324" s="33"/>
      <c r="AD1324" s="33"/>
      <c r="AE1324" s="33"/>
      <c r="AF1324" s="33"/>
      <c r="AG1324" s="33"/>
      <c r="AH1324" s="33"/>
      <c r="AI1324" s="33"/>
      <c r="AJ1324" s="33"/>
      <c r="AK1324" s="216"/>
      <c r="AL1324" s="33"/>
      <c r="AM1324" s="33"/>
      <c r="AN1324" s="33"/>
      <c r="AO1324" s="33"/>
      <c r="AP1324" s="33"/>
    </row>
    <row r="1325" spans="1:42" ht="15.75" customHeight="1">
      <c r="A1325" s="33"/>
      <c r="B1325" s="33"/>
      <c r="C1325" s="33"/>
      <c r="D1325" s="33"/>
      <c r="E1325" s="33"/>
      <c r="F1325" s="199"/>
      <c r="G1325" s="33"/>
      <c r="H1325" s="33"/>
      <c r="I1325" s="33"/>
      <c r="J1325" s="33"/>
      <c r="K1325" s="33"/>
      <c r="L1325" s="33"/>
      <c r="M1325" s="33"/>
      <c r="N1325" s="33"/>
      <c r="O1325" s="33"/>
      <c r="P1325" s="33"/>
      <c r="Q1325" s="33"/>
      <c r="R1325" s="33"/>
      <c r="S1325" s="33"/>
      <c r="T1325" s="33"/>
      <c r="U1325" s="33"/>
      <c r="V1325" s="33"/>
      <c r="W1325" s="33"/>
      <c r="X1325" s="33"/>
      <c r="Y1325" s="33"/>
      <c r="Z1325" s="33"/>
      <c r="AA1325" s="33"/>
      <c r="AB1325" s="33"/>
      <c r="AC1325" s="33"/>
      <c r="AD1325" s="33"/>
      <c r="AE1325" s="33"/>
      <c r="AF1325" s="33"/>
      <c r="AG1325" s="33"/>
      <c r="AH1325" s="33"/>
      <c r="AI1325" s="33"/>
      <c r="AJ1325" s="33"/>
      <c r="AK1325" s="216"/>
      <c r="AL1325" s="33"/>
      <c r="AM1325" s="33"/>
      <c r="AN1325" s="33"/>
      <c r="AO1325" s="33"/>
      <c r="AP1325" s="33"/>
    </row>
    <row r="1326" spans="1:42" ht="15.75" customHeight="1">
      <c r="A1326" s="33"/>
      <c r="B1326" s="33"/>
      <c r="C1326" s="33"/>
      <c r="D1326" s="33"/>
      <c r="E1326" s="33"/>
      <c r="F1326" s="199"/>
      <c r="G1326" s="33"/>
      <c r="H1326" s="33"/>
      <c r="I1326" s="33"/>
      <c r="J1326" s="33"/>
      <c r="K1326" s="33"/>
      <c r="L1326" s="33"/>
      <c r="M1326" s="33"/>
      <c r="N1326" s="33"/>
      <c r="O1326" s="33"/>
      <c r="P1326" s="33"/>
      <c r="Q1326" s="33"/>
      <c r="R1326" s="33"/>
      <c r="S1326" s="33"/>
      <c r="T1326" s="33"/>
      <c r="U1326" s="33"/>
      <c r="V1326" s="33"/>
      <c r="W1326" s="33"/>
      <c r="X1326" s="33"/>
      <c r="Y1326" s="33"/>
      <c r="Z1326" s="33"/>
      <c r="AA1326" s="33"/>
      <c r="AB1326" s="33"/>
      <c r="AC1326" s="33"/>
      <c r="AD1326" s="33"/>
      <c r="AE1326" s="33"/>
      <c r="AF1326" s="33"/>
      <c r="AG1326" s="33"/>
      <c r="AH1326" s="33"/>
      <c r="AI1326" s="33"/>
      <c r="AJ1326" s="33"/>
      <c r="AK1326" s="216"/>
      <c r="AL1326" s="33"/>
      <c r="AM1326" s="33"/>
      <c r="AN1326" s="33"/>
      <c r="AO1326" s="33"/>
      <c r="AP1326" s="33"/>
    </row>
    <row r="1327" spans="1:42" ht="15.75" customHeight="1">
      <c r="A1327" s="33"/>
      <c r="B1327" s="33"/>
      <c r="C1327" s="33"/>
      <c r="D1327" s="33"/>
      <c r="E1327" s="33"/>
      <c r="F1327" s="199"/>
      <c r="G1327" s="33"/>
      <c r="H1327" s="33"/>
      <c r="I1327" s="33"/>
      <c r="J1327" s="33"/>
      <c r="K1327" s="33"/>
      <c r="L1327" s="33"/>
      <c r="M1327" s="33"/>
      <c r="N1327" s="33"/>
      <c r="O1327" s="33"/>
      <c r="P1327" s="33"/>
      <c r="Q1327" s="33"/>
      <c r="R1327" s="33"/>
      <c r="S1327" s="33"/>
      <c r="T1327" s="33"/>
      <c r="U1327" s="33"/>
      <c r="V1327" s="33"/>
      <c r="W1327" s="33"/>
      <c r="X1327" s="33"/>
      <c r="Y1327" s="33"/>
      <c r="Z1327" s="33"/>
      <c r="AA1327" s="33"/>
      <c r="AB1327" s="33"/>
      <c r="AC1327" s="33"/>
      <c r="AD1327" s="33"/>
      <c r="AE1327" s="33"/>
      <c r="AF1327" s="33"/>
      <c r="AG1327" s="33"/>
      <c r="AH1327" s="33"/>
      <c r="AI1327" s="33"/>
      <c r="AJ1327" s="33"/>
      <c r="AK1327" s="216"/>
      <c r="AL1327" s="33"/>
      <c r="AM1327" s="33"/>
      <c r="AN1327" s="33"/>
      <c r="AO1327" s="33"/>
      <c r="AP1327" s="33"/>
    </row>
    <row r="1328" spans="1:42" ht="15.75" customHeight="1">
      <c r="A1328" s="33"/>
      <c r="B1328" s="33"/>
      <c r="C1328" s="33"/>
      <c r="D1328" s="33"/>
      <c r="E1328" s="33"/>
      <c r="F1328" s="199"/>
      <c r="G1328" s="33"/>
      <c r="H1328" s="33"/>
      <c r="I1328" s="33"/>
      <c r="J1328" s="33"/>
      <c r="K1328" s="33"/>
      <c r="L1328" s="33"/>
      <c r="M1328" s="33"/>
      <c r="N1328" s="33"/>
      <c r="O1328" s="33"/>
      <c r="P1328" s="33"/>
      <c r="Q1328" s="33"/>
      <c r="R1328" s="33"/>
      <c r="S1328" s="33"/>
      <c r="T1328" s="33"/>
      <c r="U1328" s="33"/>
      <c r="V1328" s="33"/>
      <c r="W1328" s="33"/>
      <c r="X1328" s="33"/>
      <c r="Y1328" s="33"/>
      <c r="Z1328" s="33"/>
      <c r="AA1328" s="33"/>
      <c r="AB1328" s="33"/>
      <c r="AC1328" s="33"/>
      <c r="AD1328" s="33"/>
      <c r="AE1328" s="33"/>
      <c r="AF1328" s="33"/>
      <c r="AG1328" s="33"/>
      <c r="AH1328" s="33"/>
      <c r="AI1328" s="33"/>
      <c r="AJ1328" s="33"/>
      <c r="AK1328" s="216"/>
      <c r="AL1328" s="33"/>
      <c r="AM1328" s="33"/>
      <c r="AN1328" s="33"/>
      <c r="AO1328" s="33"/>
      <c r="AP1328" s="33"/>
    </row>
    <row r="1329" spans="1:42" ht="15.75" customHeight="1">
      <c r="A1329" s="33"/>
      <c r="B1329" s="33"/>
      <c r="C1329" s="33"/>
      <c r="D1329" s="33"/>
      <c r="E1329" s="33"/>
      <c r="F1329" s="199"/>
      <c r="G1329" s="33"/>
      <c r="H1329" s="33"/>
      <c r="I1329" s="33"/>
      <c r="J1329" s="33"/>
      <c r="K1329" s="33"/>
      <c r="L1329" s="33"/>
      <c r="M1329" s="33"/>
      <c r="N1329" s="33"/>
      <c r="O1329" s="33"/>
      <c r="P1329" s="33"/>
      <c r="Q1329" s="33"/>
      <c r="R1329" s="33"/>
      <c r="S1329" s="33"/>
      <c r="T1329" s="33"/>
      <c r="U1329" s="33"/>
      <c r="V1329" s="33"/>
      <c r="W1329" s="33"/>
      <c r="X1329" s="33"/>
      <c r="Y1329" s="33"/>
      <c r="Z1329" s="33"/>
      <c r="AA1329" s="33"/>
      <c r="AB1329" s="33"/>
      <c r="AC1329" s="33"/>
      <c r="AD1329" s="33"/>
      <c r="AE1329" s="33"/>
      <c r="AF1329" s="33"/>
      <c r="AG1329" s="33"/>
      <c r="AH1329" s="33"/>
      <c r="AI1329" s="33"/>
      <c r="AJ1329" s="33"/>
      <c r="AK1329" s="216"/>
      <c r="AL1329" s="33"/>
      <c r="AM1329" s="33"/>
      <c r="AN1329" s="33"/>
      <c r="AO1329" s="33"/>
      <c r="AP1329" s="33"/>
    </row>
    <row r="1330" spans="1:42" ht="15.75" customHeight="1">
      <c r="A1330" s="33"/>
      <c r="B1330" s="33"/>
      <c r="C1330" s="33"/>
      <c r="D1330" s="33"/>
      <c r="E1330" s="33"/>
      <c r="F1330" s="199"/>
      <c r="G1330" s="33"/>
      <c r="H1330" s="33"/>
      <c r="I1330" s="33"/>
      <c r="J1330" s="33"/>
      <c r="K1330" s="33"/>
      <c r="L1330" s="33"/>
      <c r="M1330" s="33"/>
      <c r="N1330" s="33"/>
      <c r="O1330" s="33"/>
      <c r="P1330" s="33"/>
      <c r="Q1330" s="33"/>
      <c r="R1330" s="33"/>
      <c r="S1330" s="33"/>
      <c r="T1330" s="33"/>
      <c r="U1330" s="33"/>
      <c r="V1330" s="33"/>
      <c r="W1330" s="33"/>
      <c r="X1330" s="33"/>
      <c r="Y1330" s="33"/>
      <c r="Z1330" s="33"/>
      <c r="AA1330" s="33"/>
      <c r="AB1330" s="33"/>
      <c r="AC1330" s="33"/>
      <c r="AD1330" s="33"/>
      <c r="AE1330" s="33"/>
      <c r="AF1330" s="33"/>
      <c r="AG1330" s="33"/>
      <c r="AH1330" s="33"/>
      <c r="AI1330" s="33"/>
      <c r="AJ1330" s="33"/>
      <c r="AK1330" s="216"/>
      <c r="AL1330" s="33"/>
      <c r="AM1330" s="33"/>
      <c r="AN1330" s="33"/>
      <c r="AO1330" s="33"/>
      <c r="AP1330" s="33"/>
    </row>
    <row r="1331" spans="1:42" ht="15.75" customHeight="1">
      <c r="A1331" s="33"/>
      <c r="B1331" s="33"/>
      <c r="C1331" s="33"/>
      <c r="D1331" s="33"/>
      <c r="E1331" s="33"/>
      <c r="F1331" s="199"/>
      <c r="G1331" s="33"/>
      <c r="H1331" s="33"/>
      <c r="I1331" s="33"/>
      <c r="J1331" s="33"/>
      <c r="K1331" s="33"/>
      <c r="L1331" s="33"/>
      <c r="M1331" s="33"/>
      <c r="N1331" s="33"/>
      <c r="O1331" s="33"/>
      <c r="P1331" s="33"/>
      <c r="Q1331" s="33"/>
      <c r="R1331" s="33"/>
      <c r="S1331" s="33"/>
      <c r="T1331" s="33"/>
      <c r="U1331" s="33"/>
      <c r="V1331" s="33"/>
      <c r="W1331" s="33"/>
      <c r="X1331" s="33"/>
      <c r="Y1331" s="33"/>
      <c r="Z1331" s="33"/>
      <c r="AA1331" s="33"/>
      <c r="AB1331" s="33"/>
      <c r="AC1331" s="33"/>
      <c r="AD1331" s="33"/>
      <c r="AE1331" s="33"/>
      <c r="AF1331" s="33"/>
      <c r="AG1331" s="33"/>
      <c r="AH1331" s="33"/>
      <c r="AI1331" s="33"/>
      <c r="AJ1331" s="33"/>
      <c r="AK1331" s="216"/>
      <c r="AL1331" s="33"/>
      <c r="AM1331" s="33"/>
      <c r="AN1331" s="33"/>
      <c r="AO1331" s="33"/>
      <c r="AP1331" s="33"/>
    </row>
    <row r="1332" spans="1:42" ht="15.75" customHeight="1">
      <c r="A1332" s="33"/>
      <c r="B1332" s="33"/>
      <c r="C1332" s="33"/>
      <c r="D1332" s="33"/>
      <c r="E1332" s="33"/>
      <c r="F1332" s="199"/>
      <c r="G1332" s="33"/>
      <c r="H1332" s="33"/>
      <c r="I1332" s="33"/>
      <c r="J1332" s="33"/>
      <c r="K1332" s="33"/>
      <c r="L1332" s="33"/>
      <c r="M1332" s="33"/>
      <c r="N1332" s="33"/>
      <c r="O1332" s="33"/>
      <c r="P1332" s="33"/>
      <c r="Q1332" s="33"/>
      <c r="R1332" s="33"/>
      <c r="S1332" s="33"/>
      <c r="T1332" s="33"/>
      <c r="U1332" s="33"/>
      <c r="V1332" s="33"/>
      <c r="W1332" s="33"/>
      <c r="X1332" s="33"/>
      <c r="Y1332" s="33"/>
      <c r="Z1332" s="33"/>
      <c r="AA1332" s="33"/>
      <c r="AB1332" s="33"/>
      <c r="AC1332" s="33"/>
      <c r="AD1332" s="33"/>
      <c r="AE1332" s="33"/>
      <c r="AF1332" s="33"/>
      <c r="AG1332" s="33"/>
      <c r="AH1332" s="33"/>
      <c r="AI1332" s="33"/>
      <c r="AJ1332" s="33"/>
      <c r="AK1332" s="216"/>
      <c r="AL1332" s="33"/>
      <c r="AM1332" s="33"/>
      <c r="AN1332" s="33"/>
      <c r="AO1332" s="33"/>
      <c r="AP1332" s="33"/>
    </row>
    <row r="1333" spans="1:42" ht="15.75" customHeight="1">
      <c r="A1333" s="33"/>
      <c r="B1333" s="33"/>
      <c r="C1333" s="33"/>
      <c r="D1333" s="33"/>
      <c r="E1333" s="33"/>
      <c r="F1333" s="199"/>
      <c r="G1333" s="33"/>
      <c r="H1333" s="33"/>
      <c r="I1333" s="33"/>
      <c r="J1333" s="33"/>
      <c r="K1333" s="33"/>
      <c r="L1333" s="33"/>
      <c r="M1333" s="33"/>
      <c r="N1333" s="33"/>
      <c r="O1333" s="33"/>
      <c r="P1333" s="33"/>
      <c r="Q1333" s="33"/>
      <c r="R1333" s="33"/>
      <c r="S1333" s="33"/>
      <c r="T1333" s="33"/>
      <c r="U1333" s="33"/>
      <c r="V1333" s="33"/>
      <c r="W1333" s="33"/>
      <c r="X1333" s="33"/>
      <c r="Y1333" s="33"/>
      <c r="Z1333" s="33"/>
      <c r="AA1333" s="33"/>
      <c r="AB1333" s="33"/>
      <c r="AC1333" s="33"/>
      <c r="AD1333" s="33"/>
      <c r="AE1333" s="33"/>
      <c r="AF1333" s="33"/>
      <c r="AG1333" s="33"/>
      <c r="AH1333" s="33"/>
      <c r="AI1333" s="33"/>
      <c r="AJ1333" s="33"/>
      <c r="AK1333" s="216"/>
      <c r="AL1333" s="33"/>
      <c r="AM1333" s="33"/>
      <c r="AN1333" s="33"/>
      <c r="AO1333" s="33"/>
      <c r="AP1333" s="33"/>
    </row>
    <row r="1334" spans="1:42" ht="15.75" customHeight="1">
      <c r="A1334" s="33"/>
      <c r="B1334" s="33"/>
      <c r="C1334" s="33"/>
      <c r="D1334" s="33"/>
      <c r="E1334" s="33"/>
      <c r="F1334" s="199"/>
      <c r="G1334" s="33"/>
      <c r="H1334" s="33"/>
      <c r="I1334" s="33"/>
      <c r="J1334" s="33"/>
      <c r="K1334" s="33"/>
      <c r="L1334" s="33"/>
      <c r="M1334" s="33"/>
      <c r="N1334" s="33"/>
      <c r="O1334" s="33"/>
      <c r="P1334" s="33"/>
      <c r="Q1334" s="33"/>
      <c r="R1334" s="33"/>
      <c r="S1334" s="33"/>
      <c r="T1334" s="33"/>
      <c r="U1334" s="33"/>
      <c r="V1334" s="33"/>
      <c r="W1334" s="33"/>
      <c r="X1334" s="33"/>
      <c r="Y1334" s="33"/>
      <c r="Z1334" s="33"/>
      <c r="AA1334" s="33"/>
      <c r="AB1334" s="33"/>
      <c r="AC1334" s="33"/>
      <c r="AD1334" s="33"/>
      <c r="AE1334" s="33"/>
      <c r="AF1334" s="33"/>
      <c r="AG1334" s="33"/>
      <c r="AH1334" s="33"/>
      <c r="AI1334" s="33"/>
      <c r="AJ1334" s="33"/>
      <c r="AK1334" s="216"/>
      <c r="AL1334" s="33"/>
      <c r="AM1334" s="33"/>
      <c r="AN1334" s="33"/>
      <c r="AO1334" s="33"/>
      <c r="AP1334" s="33"/>
    </row>
    <row r="1335" spans="1:42" ht="15.75" customHeight="1">
      <c r="A1335" s="33"/>
      <c r="B1335" s="33"/>
      <c r="C1335" s="33"/>
      <c r="D1335" s="33"/>
      <c r="E1335" s="33"/>
      <c r="F1335" s="199"/>
      <c r="G1335" s="33"/>
      <c r="H1335" s="33"/>
      <c r="I1335" s="33"/>
      <c r="J1335" s="33"/>
      <c r="K1335" s="33"/>
      <c r="L1335" s="33"/>
      <c r="M1335" s="33"/>
      <c r="N1335" s="33"/>
      <c r="O1335" s="33"/>
      <c r="P1335" s="33"/>
      <c r="Q1335" s="33"/>
      <c r="R1335" s="33"/>
      <c r="S1335" s="33"/>
      <c r="T1335" s="33"/>
      <c r="U1335" s="33"/>
      <c r="V1335" s="33"/>
      <c r="W1335" s="33"/>
      <c r="X1335" s="33"/>
      <c r="Y1335" s="33"/>
      <c r="Z1335" s="33"/>
      <c r="AA1335" s="33"/>
      <c r="AB1335" s="33"/>
      <c r="AC1335" s="33"/>
      <c r="AD1335" s="33"/>
      <c r="AE1335" s="33"/>
      <c r="AF1335" s="33"/>
      <c r="AG1335" s="33"/>
      <c r="AH1335" s="33"/>
      <c r="AI1335" s="33"/>
      <c r="AJ1335" s="33"/>
      <c r="AK1335" s="216"/>
      <c r="AL1335" s="33"/>
      <c r="AM1335" s="33"/>
      <c r="AN1335" s="33"/>
      <c r="AO1335" s="33"/>
      <c r="AP1335" s="33"/>
    </row>
    <row r="1336" spans="1:42" ht="15.75" customHeight="1">
      <c r="A1336" s="33"/>
      <c r="B1336" s="33"/>
      <c r="C1336" s="33"/>
      <c r="D1336" s="33"/>
      <c r="E1336" s="33"/>
      <c r="F1336" s="199"/>
      <c r="G1336" s="33"/>
      <c r="H1336" s="33"/>
      <c r="I1336" s="33"/>
      <c r="J1336" s="33"/>
      <c r="K1336" s="33"/>
      <c r="L1336" s="33"/>
      <c r="M1336" s="33"/>
      <c r="N1336" s="33"/>
      <c r="O1336" s="33"/>
      <c r="P1336" s="33"/>
      <c r="Q1336" s="33"/>
      <c r="R1336" s="33"/>
      <c r="S1336" s="33"/>
      <c r="T1336" s="33"/>
      <c r="U1336" s="33"/>
      <c r="V1336" s="33"/>
      <c r="W1336" s="33"/>
      <c r="X1336" s="33"/>
      <c r="Y1336" s="33"/>
      <c r="Z1336" s="33"/>
      <c r="AA1336" s="33"/>
      <c r="AB1336" s="33"/>
      <c r="AC1336" s="33"/>
      <c r="AD1336" s="33"/>
      <c r="AE1336" s="33"/>
      <c r="AF1336" s="33"/>
      <c r="AG1336" s="33"/>
      <c r="AH1336" s="33"/>
      <c r="AI1336" s="33"/>
      <c r="AJ1336" s="33"/>
      <c r="AK1336" s="216"/>
      <c r="AL1336" s="33"/>
      <c r="AM1336" s="33"/>
      <c r="AN1336" s="33"/>
      <c r="AO1336" s="33"/>
      <c r="AP1336" s="33"/>
    </row>
    <row r="1337" spans="1:42" ht="15.75" customHeight="1">
      <c r="A1337" s="33"/>
      <c r="B1337" s="33"/>
      <c r="C1337" s="33"/>
      <c r="D1337" s="33"/>
      <c r="E1337" s="33"/>
      <c r="F1337" s="199"/>
      <c r="G1337" s="33"/>
      <c r="H1337" s="33"/>
      <c r="I1337" s="33"/>
      <c r="J1337" s="33"/>
      <c r="K1337" s="33"/>
      <c r="L1337" s="33"/>
      <c r="M1337" s="33"/>
      <c r="N1337" s="33"/>
      <c r="O1337" s="33"/>
      <c r="P1337" s="33"/>
      <c r="Q1337" s="33"/>
      <c r="R1337" s="33"/>
      <c r="S1337" s="33"/>
      <c r="T1337" s="33"/>
      <c r="U1337" s="33"/>
      <c r="V1337" s="33"/>
      <c r="W1337" s="33"/>
      <c r="X1337" s="33"/>
      <c r="Y1337" s="33"/>
      <c r="Z1337" s="33"/>
      <c r="AA1337" s="33"/>
      <c r="AB1337" s="33"/>
      <c r="AC1337" s="33"/>
      <c r="AD1337" s="33"/>
      <c r="AE1337" s="33"/>
      <c r="AF1337" s="33"/>
      <c r="AG1337" s="33"/>
      <c r="AH1337" s="33"/>
      <c r="AI1337" s="33"/>
      <c r="AJ1337" s="33"/>
      <c r="AK1337" s="216"/>
      <c r="AL1337" s="33"/>
      <c r="AM1337" s="33"/>
      <c r="AN1337" s="33"/>
      <c r="AO1337" s="33"/>
      <c r="AP1337" s="33"/>
    </row>
    <row r="1338" spans="1:42" ht="15.75" customHeight="1">
      <c r="A1338" s="33"/>
      <c r="B1338" s="33"/>
      <c r="C1338" s="33"/>
      <c r="D1338" s="33"/>
      <c r="E1338" s="33"/>
      <c r="F1338" s="199"/>
      <c r="G1338" s="33"/>
      <c r="H1338" s="33"/>
      <c r="I1338" s="33"/>
      <c r="J1338" s="33"/>
      <c r="K1338" s="33"/>
      <c r="L1338" s="33"/>
      <c r="M1338" s="33"/>
      <c r="N1338" s="33"/>
      <c r="O1338" s="33"/>
      <c r="P1338" s="33"/>
      <c r="Q1338" s="33"/>
      <c r="R1338" s="33"/>
      <c r="S1338" s="33"/>
      <c r="T1338" s="33"/>
      <c r="U1338" s="33"/>
      <c r="V1338" s="33"/>
      <c r="W1338" s="33"/>
      <c r="X1338" s="33"/>
      <c r="Y1338" s="33"/>
      <c r="Z1338" s="33"/>
      <c r="AA1338" s="33"/>
      <c r="AB1338" s="33"/>
      <c r="AC1338" s="33"/>
      <c r="AD1338" s="33"/>
      <c r="AE1338" s="33"/>
      <c r="AF1338" s="33"/>
      <c r="AG1338" s="33"/>
      <c r="AH1338" s="33"/>
      <c r="AI1338" s="33"/>
      <c r="AJ1338" s="33"/>
      <c r="AK1338" s="216"/>
      <c r="AL1338" s="33"/>
      <c r="AM1338" s="33"/>
      <c r="AN1338" s="33"/>
      <c r="AO1338" s="33"/>
      <c r="AP1338" s="33"/>
    </row>
    <row r="1339" spans="1:42" ht="15.75" customHeight="1">
      <c r="A1339" s="33"/>
      <c r="B1339" s="33"/>
      <c r="C1339" s="33"/>
      <c r="D1339" s="33"/>
      <c r="E1339" s="33"/>
      <c r="F1339" s="199"/>
      <c r="G1339" s="33"/>
      <c r="H1339" s="33"/>
      <c r="I1339" s="33"/>
      <c r="J1339" s="33"/>
      <c r="K1339" s="33"/>
      <c r="L1339" s="33"/>
      <c r="M1339" s="33"/>
      <c r="N1339" s="33"/>
      <c r="O1339" s="33"/>
      <c r="P1339" s="33"/>
      <c r="Q1339" s="33"/>
      <c r="R1339" s="33"/>
      <c r="S1339" s="33"/>
      <c r="T1339" s="33"/>
      <c r="U1339" s="33"/>
      <c r="V1339" s="33"/>
      <c r="W1339" s="33"/>
      <c r="X1339" s="33"/>
      <c r="Y1339" s="33"/>
      <c r="Z1339" s="33"/>
      <c r="AA1339" s="33"/>
      <c r="AB1339" s="33"/>
      <c r="AC1339" s="33"/>
      <c r="AD1339" s="33"/>
      <c r="AE1339" s="33"/>
      <c r="AF1339" s="33"/>
      <c r="AG1339" s="33"/>
      <c r="AH1339" s="33"/>
      <c r="AI1339" s="33"/>
      <c r="AJ1339" s="33"/>
      <c r="AK1339" s="216"/>
      <c r="AL1339" s="33"/>
      <c r="AM1339" s="33"/>
      <c r="AN1339" s="33"/>
      <c r="AO1339" s="33"/>
      <c r="AP1339" s="33"/>
    </row>
    <row r="1340" spans="1:42" ht="15.75" customHeight="1">
      <c r="A1340" s="33"/>
      <c r="B1340" s="33"/>
      <c r="C1340" s="33"/>
      <c r="D1340" s="33"/>
      <c r="E1340" s="33"/>
      <c r="F1340" s="199"/>
      <c r="G1340" s="33"/>
      <c r="H1340" s="33"/>
      <c r="I1340" s="33"/>
      <c r="J1340" s="33"/>
      <c r="K1340" s="33"/>
      <c r="L1340" s="33"/>
      <c r="M1340" s="33"/>
      <c r="N1340" s="33"/>
      <c r="O1340" s="33"/>
      <c r="P1340" s="33"/>
      <c r="Q1340" s="33"/>
      <c r="R1340" s="33"/>
      <c r="S1340" s="33"/>
      <c r="T1340" s="33"/>
      <c r="U1340" s="33"/>
      <c r="V1340" s="33"/>
      <c r="W1340" s="33"/>
      <c r="X1340" s="33"/>
      <c r="Y1340" s="33"/>
      <c r="Z1340" s="33"/>
      <c r="AA1340" s="33"/>
      <c r="AB1340" s="33"/>
      <c r="AC1340" s="33"/>
      <c r="AD1340" s="33"/>
      <c r="AE1340" s="33"/>
      <c r="AF1340" s="33"/>
      <c r="AG1340" s="33"/>
      <c r="AH1340" s="33"/>
      <c r="AI1340" s="33"/>
      <c r="AJ1340" s="33"/>
      <c r="AK1340" s="216"/>
      <c r="AL1340" s="33"/>
      <c r="AM1340" s="33"/>
      <c r="AN1340" s="33"/>
      <c r="AO1340" s="33"/>
      <c r="AP1340" s="33"/>
    </row>
    <row r="1341" spans="1:42" ht="15.75" customHeight="1">
      <c r="A1341" s="33"/>
      <c r="B1341" s="33"/>
      <c r="C1341" s="33"/>
      <c r="D1341" s="33"/>
      <c r="E1341" s="33"/>
      <c r="F1341" s="199"/>
      <c r="G1341" s="33"/>
      <c r="H1341" s="33"/>
      <c r="I1341" s="33"/>
      <c r="J1341" s="33"/>
      <c r="K1341" s="33"/>
      <c r="L1341" s="33"/>
      <c r="M1341" s="33"/>
      <c r="N1341" s="33"/>
      <c r="O1341" s="33"/>
      <c r="P1341" s="33"/>
      <c r="Q1341" s="33"/>
      <c r="R1341" s="33"/>
      <c r="S1341" s="33"/>
      <c r="T1341" s="33"/>
      <c r="U1341" s="33"/>
      <c r="V1341" s="33"/>
      <c r="W1341" s="33"/>
      <c r="X1341" s="33"/>
      <c r="Y1341" s="33"/>
      <c r="Z1341" s="33"/>
      <c r="AA1341" s="33"/>
      <c r="AB1341" s="33"/>
      <c r="AC1341" s="33"/>
      <c r="AD1341" s="33"/>
      <c r="AE1341" s="33"/>
      <c r="AF1341" s="33"/>
      <c r="AG1341" s="33"/>
      <c r="AH1341" s="33"/>
      <c r="AI1341" s="33"/>
      <c r="AJ1341" s="33"/>
      <c r="AK1341" s="216"/>
      <c r="AL1341" s="33"/>
      <c r="AM1341" s="33"/>
      <c r="AN1341" s="33"/>
      <c r="AO1341" s="33"/>
      <c r="AP1341" s="33"/>
    </row>
    <row r="1342" spans="1:42" ht="15.75" customHeight="1">
      <c r="A1342" s="33"/>
      <c r="B1342" s="33"/>
      <c r="C1342" s="33"/>
      <c r="D1342" s="33"/>
      <c r="E1342" s="33"/>
      <c r="F1342" s="199"/>
      <c r="G1342" s="33"/>
      <c r="H1342" s="33"/>
      <c r="I1342" s="33"/>
      <c r="J1342" s="33"/>
      <c r="K1342" s="33"/>
      <c r="L1342" s="33"/>
      <c r="M1342" s="33"/>
      <c r="N1342" s="33"/>
      <c r="O1342" s="33"/>
      <c r="P1342" s="33"/>
      <c r="Q1342" s="33"/>
      <c r="R1342" s="33"/>
      <c r="S1342" s="33"/>
      <c r="T1342" s="33"/>
      <c r="U1342" s="33"/>
      <c r="V1342" s="33"/>
      <c r="W1342" s="33"/>
      <c r="X1342" s="33"/>
      <c r="Y1342" s="33"/>
      <c r="Z1342" s="33"/>
      <c r="AA1342" s="33"/>
      <c r="AB1342" s="33"/>
      <c r="AC1342" s="33"/>
      <c r="AD1342" s="33"/>
      <c r="AE1342" s="33"/>
      <c r="AF1342" s="33"/>
      <c r="AG1342" s="33"/>
      <c r="AH1342" s="33"/>
      <c r="AI1342" s="33"/>
      <c r="AJ1342" s="33"/>
      <c r="AK1342" s="216"/>
      <c r="AL1342" s="33"/>
      <c r="AM1342" s="33"/>
      <c r="AN1342" s="33"/>
      <c r="AO1342" s="33"/>
      <c r="AP1342" s="33"/>
    </row>
    <row r="1343" spans="1:42" ht="15.75" customHeight="1">
      <c r="A1343" s="33"/>
      <c r="B1343" s="33"/>
      <c r="C1343" s="33"/>
      <c r="D1343" s="33"/>
      <c r="E1343" s="33"/>
      <c r="F1343" s="199"/>
      <c r="G1343" s="33"/>
      <c r="H1343" s="33"/>
      <c r="I1343" s="33"/>
      <c r="J1343" s="33"/>
      <c r="K1343" s="33"/>
      <c r="L1343" s="33"/>
      <c r="M1343" s="33"/>
      <c r="N1343" s="33"/>
      <c r="O1343" s="33"/>
      <c r="P1343" s="33"/>
      <c r="Q1343" s="33"/>
      <c r="R1343" s="33"/>
      <c r="S1343" s="33"/>
      <c r="T1343" s="33"/>
      <c r="U1343" s="33"/>
      <c r="V1343" s="33"/>
      <c r="W1343" s="33"/>
      <c r="X1343" s="33"/>
      <c r="Y1343" s="33"/>
      <c r="Z1343" s="33"/>
      <c r="AA1343" s="33"/>
      <c r="AB1343" s="33"/>
      <c r="AC1343" s="33"/>
      <c r="AD1343" s="33"/>
      <c r="AE1343" s="33"/>
      <c r="AF1343" s="33"/>
      <c r="AG1343" s="33"/>
      <c r="AH1343" s="33"/>
      <c r="AI1343" s="33"/>
      <c r="AJ1343" s="33"/>
      <c r="AK1343" s="216"/>
      <c r="AL1343" s="33"/>
      <c r="AM1343" s="33"/>
      <c r="AN1343" s="33"/>
      <c r="AO1343" s="33"/>
      <c r="AP1343" s="33"/>
    </row>
    <row r="1344" spans="1:42" ht="15.75" customHeight="1">
      <c r="A1344" s="33"/>
      <c r="B1344" s="33"/>
      <c r="C1344" s="33"/>
      <c r="D1344" s="33"/>
      <c r="E1344" s="33"/>
      <c r="F1344" s="199"/>
      <c r="G1344" s="33"/>
      <c r="H1344" s="33"/>
      <c r="I1344" s="33"/>
      <c r="J1344" s="33"/>
      <c r="K1344" s="33"/>
      <c r="L1344" s="33"/>
      <c r="M1344" s="33"/>
      <c r="N1344" s="33"/>
      <c r="O1344" s="33"/>
      <c r="P1344" s="33"/>
      <c r="Q1344" s="33"/>
      <c r="R1344" s="33"/>
      <c r="S1344" s="33"/>
      <c r="T1344" s="33"/>
      <c r="U1344" s="33"/>
      <c r="V1344" s="33"/>
      <c r="W1344" s="33"/>
      <c r="X1344" s="33"/>
      <c r="Y1344" s="33"/>
      <c r="Z1344" s="33"/>
      <c r="AA1344" s="33"/>
      <c r="AB1344" s="33"/>
      <c r="AC1344" s="33"/>
      <c r="AD1344" s="33"/>
      <c r="AE1344" s="33"/>
      <c r="AF1344" s="33"/>
      <c r="AG1344" s="33"/>
      <c r="AH1344" s="33"/>
      <c r="AI1344" s="33"/>
      <c r="AJ1344" s="33"/>
      <c r="AK1344" s="216"/>
      <c r="AL1344" s="33"/>
      <c r="AM1344" s="33"/>
      <c r="AN1344" s="33"/>
      <c r="AO1344" s="33"/>
      <c r="AP1344" s="33"/>
    </row>
    <row r="1345" spans="1:42" ht="15.75" customHeight="1">
      <c r="A1345" s="33"/>
      <c r="B1345" s="33"/>
      <c r="C1345" s="33"/>
      <c r="D1345" s="33"/>
      <c r="E1345" s="33"/>
      <c r="F1345" s="199"/>
      <c r="G1345" s="33"/>
      <c r="H1345" s="33"/>
      <c r="I1345" s="33"/>
      <c r="J1345" s="33"/>
      <c r="K1345" s="33"/>
      <c r="L1345" s="33"/>
      <c r="M1345" s="33"/>
      <c r="N1345" s="33"/>
      <c r="O1345" s="33"/>
      <c r="P1345" s="33"/>
      <c r="Q1345" s="33"/>
      <c r="R1345" s="33"/>
      <c r="S1345" s="33"/>
      <c r="T1345" s="33"/>
      <c r="U1345" s="33"/>
      <c r="V1345" s="33"/>
      <c r="W1345" s="33"/>
      <c r="X1345" s="33"/>
      <c r="Y1345" s="33"/>
      <c r="Z1345" s="33"/>
      <c r="AA1345" s="33"/>
      <c r="AB1345" s="33"/>
      <c r="AC1345" s="33"/>
      <c r="AD1345" s="33"/>
      <c r="AE1345" s="33"/>
      <c r="AF1345" s="33"/>
      <c r="AG1345" s="33"/>
      <c r="AH1345" s="33"/>
      <c r="AI1345" s="33"/>
      <c r="AJ1345" s="33"/>
      <c r="AK1345" s="216"/>
      <c r="AL1345" s="33"/>
      <c r="AM1345" s="33"/>
      <c r="AN1345" s="33"/>
      <c r="AO1345" s="33"/>
      <c r="AP1345" s="33"/>
    </row>
    <row r="1346" spans="1:42" ht="15.75" customHeight="1">
      <c r="A1346" s="33"/>
      <c r="B1346" s="33"/>
      <c r="C1346" s="33"/>
      <c r="D1346" s="33"/>
      <c r="E1346" s="33"/>
      <c r="F1346" s="199"/>
      <c r="G1346" s="33"/>
      <c r="H1346" s="33"/>
      <c r="I1346" s="33"/>
      <c r="J1346" s="33"/>
      <c r="K1346" s="33"/>
      <c r="L1346" s="33"/>
      <c r="M1346" s="33"/>
      <c r="N1346" s="33"/>
      <c r="O1346" s="33"/>
      <c r="P1346" s="33"/>
      <c r="Q1346" s="33"/>
      <c r="R1346" s="33"/>
      <c r="S1346" s="33"/>
      <c r="T1346" s="33"/>
      <c r="U1346" s="33"/>
      <c r="V1346" s="33"/>
      <c r="W1346" s="33"/>
      <c r="X1346" s="33"/>
      <c r="Y1346" s="33"/>
      <c r="Z1346" s="33"/>
      <c r="AA1346" s="33"/>
      <c r="AB1346" s="33"/>
      <c r="AC1346" s="33"/>
      <c r="AD1346" s="33"/>
      <c r="AE1346" s="33"/>
      <c r="AF1346" s="33"/>
      <c r="AG1346" s="33"/>
      <c r="AH1346" s="33"/>
      <c r="AI1346" s="33"/>
      <c r="AJ1346" s="33"/>
      <c r="AK1346" s="216"/>
      <c r="AL1346" s="33"/>
      <c r="AM1346" s="33"/>
      <c r="AN1346" s="33"/>
      <c r="AO1346" s="33"/>
      <c r="AP1346" s="33"/>
    </row>
    <row r="1347" spans="1:42" ht="15.75" customHeight="1">
      <c r="A1347" s="33"/>
      <c r="B1347" s="33"/>
      <c r="C1347" s="33"/>
      <c r="D1347" s="33"/>
      <c r="E1347" s="33"/>
      <c r="F1347" s="199"/>
      <c r="G1347" s="33"/>
      <c r="H1347" s="33"/>
      <c r="I1347" s="33"/>
      <c r="J1347" s="33"/>
      <c r="K1347" s="33"/>
      <c r="L1347" s="33"/>
      <c r="M1347" s="33"/>
      <c r="N1347" s="33"/>
      <c r="O1347" s="33"/>
      <c r="P1347" s="33"/>
      <c r="Q1347" s="33"/>
      <c r="R1347" s="33"/>
      <c r="S1347" s="33"/>
      <c r="T1347" s="33"/>
      <c r="U1347" s="33"/>
      <c r="V1347" s="33"/>
      <c r="W1347" s="33"/>
      <c r="X1347" s="33"/>
      <c r="Y1347" s="33"/>
      <c r="Z1347" s="33"/>
      <c r="AA1347" s="33"/>
      <c r="AB1347" s="33"/>
      <c r="AC1347" s="33"/>
      <c r="AD1347" s="33"/>
      <c r="AE1347" s="33"/>
      <c r="AF1347" s="33"/>
      <c r="AG1347" s="33"/>
      <c r="AH1347" s="33"/>
      <c r="AI1347" s="33"/>
      <c r="AJ1347" s="33"/>
      <c r="AK1347" s="216"/>
      <c r="AL1347" s="33"/>
      <c r="AM1347" s="33"/>
      <c r="AN1347" s="33"/>
      <c r="AO1347" s="33"/>
      <c r="AP1347" s="33"/>
    </row>
    <row r="1348" spans="1:42" ht="15.75" customHeight="1">
      <c r="A1348" s="33"/>
      <c r="B1348" s="33"/>
      <c r="C1348" s="33"/>
      <c r="D1348" s="33"/>
      <c r="E1348" s="33"/>
      <c r="F1348" s="199"/>
      <c r="G1348" s="33"/>
      <c r="H1348" s="33"/>
      <c r="I1348" s="33"/>
      <c r="J1348" s="33"/>
      <c r="K1348" s="33"/>
      <c r="L1348" s="33"/>
      <c r="M1348" s="33"/>
      <c r="N1348" s="33"/>
      <c r="O1348" s="33"/>
      <c r="P1348" s="33"/>
      <c r="Q1348" s="33"/>
      <c r="R1348" s="33"/>
      <c r="S1348" s="33"/>
      <c r="T1348" s="33"/>
      <c r="U1348" s="33"/>
      <c r="V1348" s="33"/>
      <c r="W1348" s="33"/>
      <c r="X1348" s="33"/>
      <c r="Y1348" s="33"/>
      <c r="Z1348" s="33"/>
      <c r="AA1348" s="33"/>
      <c r="AB1348" s="33"/>
      <c r="AC1348" s="33"/>
      <c r="AD1348" s="33"/>
      <c r="AE1348" s="33"/>
      <c r="AF1348" s="33"/>
      <c r="AG1348" s="33"/>
      <c r="AH1348" s="33"/>
      <c r="AI1348" s="33"/>
      <c r="AJ1348" s="33"/>
      <c r="AK1348" s="216"/>
      <c r="AL1348" s="33"/>
      <c r="AM1348" s="33"/>
      <c r="AN1348" s="33"/>
      <c r="AO1348" s="33"/>
      <c r="AP1348" s="33"/>
    </row>
    <row r="1349" spans="1:42" ht="15.75" customHeight="1">
      <c r="A1349" s="33"/>
      <c r="B1349" s="33"/>
      <c r="C1349" s="33"/>
      <c r="D1349" s="33"/>
      <c r="E1349" s="33"/>
      <c r="F1349" s="199"/>
      <c r="G1349" s="33"/>
      <c r="H1349" s="33"/>
      <c r="I1349" s="33"/>
      <c r="J1349" s="33"/>
      <c r="K1349" s="33"/>
      <c r="L1349" s="33"/>
      <c r="M1349" s="33"/>
      <c r="N1349" s="33"/>
      <c r="O1349" s="33"/>
      <c r="P1349" s="33"/>
      <c r="Q1349" s="33"/>
      <c r="R1349" s="33"/>
      <c r="S1349" s="33"/>
      <c r="T1349" s="33"/>
      <c r="U1349" s="33"/>
      <c r="V1349" s="33"/>
      <c r="W1349" s="33"/>
      <c r="X1349" s="33"/>
      <c r="Y1349" s="33"/>
      <c r="Z1349" s="33"/>
      <c r="AA1349" s="33"/>
      <c r="AB1349" s="33"/>
      <c r="AC1349" s="33"/>
      <c r="AD1349" s="33"/>
      <c r="AE1349" s="33"/>
      <c r="AF1349" s="33"/>
      <c r="AG1349" s="33"/>
      <c r="AH1349" s="33"/>
      <c r="AI1349" s="33"/>
      <c r="AJ1349" s="33"/>
      <c r="AK1349" s="216"/>
      <c r="AL1349" s="33"/>
      <c r="AM1349" s="33"/>
      <c r="AN1349" s="33"/>
      <c r="AO1349" s="33"/>
      <c r="AP1349" s="33"/>
    </row>
    <row r="1350" spans="1:42" ht="15.75" customHeight="1">
      <c r="A1350" s="33"/>
      <c r="B1350" s="33"/>
      <c r="C1350" s="33"/>
      <c r="D1350" s="33"/>
      <c r="E1350" s="33"/>
      <c r="F1350" s="199"/>
      <c r="G1350" s="33"/>
      <c r="H1350" s="33"/>
      <c r="I1350" s="33"/>
      <c r="J1350" s="33"/>
      <c r="K1350" s="33"/>
      <c r="L1350" s="33"/>
      <c r="M1350" s="33"/>
      <c r="N1350" s="33"/>
      <c r="O1350" s="33"/>
      <c r="P1350" s="33"/>
      <c r="Q1350" s="33"/>
      <c r="R1350" s="33"/>
      <c r="S1350" s="33"/>
      <c r="T1350" s="33"/>
      <c r="U1350" s="33"/>
      <c r="V1350" s="33"/>
      <c r="W1350" s="33"/>
      <c r="X1350" s="33"/>
      <c r="Y1350" s="33"/>
      <c r="Z1350" s="33"/>
      <c r="AA1350" s="33"/>
      <c r="AB1350" s="33"/>
      <c r="AC1350" s="33"/>
      <c r="AD1350" s="33"/>
      <c r="AE1350" s="33"/>
      <c r="AF1350" s="33"/>
      <c r="AG1350" s="33"/>
      <c r="AH1350" s="33"/>
      <c r="AI1350" s="33"/>
      <c r="AJ1350" s="33"/>
      <c r="AK1350" s="216"/>
      <c r="AL1350" s="33"/>
      <c r="AM1350" s="33"/>
      <c r="AN1350" s="33"/>
      <c r="AO1350" s="33"/>
      <c r="AP1350" s="33"/>
    </row>
    <row r="1351" spans="1:42" ht="15.75" customHeight="1">
      <c r="A1351" s="33"/>
      <c r="B1351" s="33"/>
      <c r="C1351" s="33"/>
      <c r="D1351" s="33"/>
      <c r="E1351" s="33"/>
      <c r="F1351" s="199"/>
      <c r="G1351" s="33"/>
      <c r="H1351" s="33"/>
      <c r="I1351" s="33"/>
      <c r="J1351" s="33"/>
      <c r="K1351" s="33"/>
      <c r="L1351" s="33"/>
      <c r="M1351" s="33"/>
      <c r="N1351" s="33"/>
      <c r="O1351" s="33"/>
      <c r="P1351" s="33"/>
      <c r="Q1351" s="33"/>
      <c r="R1351" s="33"/>
      <c r="S1351" s="33"/>
      <c r="T1351" s="33"/>
      <c r="U1351" s="33"/>
      <c r="V1351" s="33"/>
      <c r="W1351" s="33"/>
      <c r="X1351" s="33"/>
      <c r="Y1351" s="33"/>
      <c r="Z1351" s="33"/>
      <c r="AA1351" s="33"/>
      <c r="AB1351" s="33"/>
      <c r="AC1351" s="33"/>
      <c r="AD1351" s="33"/>
      <c r="AE1351" s="33"/>
      <c r="AF1351" s="33"/>
      <c r="AG1351" s="33"/>
      <c r="AH1351" s="33"/>
      <c r="AI1351" s="33"/>
      <c r="AJ1351" s="33"/>
      <c r="AK1351" s="216"/>
      <c r="AL1351" s="33"/>
      <c r="AM1351" s="33"/>
      <c r="AN1351" s="33"/>
      <c r="AO1351" s="33"/>
      <c r="AP1351" s="33"/>
    </row>
    <row r="1352" spans="1:42" ht="15.75" customHeight="1">
      <c r="A1352" s="33"/>
      <c r="B1352" s="33"/>
      <c r="C1352" s="33"/>
      <c r="D1352" s="33"/>
      <c r="E1352" s="33"/>
      <c r="F1352" s="199"/>
      <c r="G1352" s="33"/>
      <c r="H1352" s="33"/>
      <c r="I1352" s="33"/>
      <c r="J1352" s="33"/>
      <c r="K1352" s="33"/>
      <c r="L1352" s="33"/>
      <c r="M1352" s="33"/>
      <c r="N1352" s="33"/>
      <c r="O1352" s="33"/>
      <c r="P1352" s="33"/>
      <c r="Q1352" s="33"/>
      <c r="R1352" s="33"/>
      <c r="S1352" s="33"/>
      <c r="T1352" s="33"/>
      <c r="U1352" s="33"/>
      <c r="V1352" s="33"/>
      <c r="W1352" s="33"/>
      <c r="X1352" s="33"/>
      <c r="Y1352" s="33"/>
      <c r="Z1352" s="33"/>
      <c r="AA1352" s="33"/>
      <c r="AB1352" s="33"/>
      <c r="AC1352" s="33"/>
      <c r="AD1352" s="33"/>
      <c r="AE1352" s="33"/>
      <c r="AF1352" s="33"/>
      <c r="AG1352" s="33"/>
      <c r="AH1352" s="33"/>
      <c r="AI1352" s="33"/>
      <c r="AJ1352" s="33"/>
      <c r="AK1352" s="216"/>
      <c r="AL1352" s="33"/>
      <c r="AM1352" s="33"/>
      <c r="AN1352" s="33"/>
      <c r="AO1352" s="33"/>
      <c r="AP1352" s="33"/>
    </row>
    <row r="1353" spans="1:42" ht="15.75" customHeight="1">
      <c r="A1353" s="33"/>
      <c r="B1353" s="33"/>
      <c r="C1353" s="33"/>
      <c r="D1353" s="33"/>
      <c r="E1353" s="33"/>
      <c r="F1353" s="199"/>
      <c r="G1353" s="33"/>
      <c r="H1353" s="33"/>
      <c r="I1353" s="33"/>
      <c r="J1353" s="33"/>
      <c r="K1353" s="33"/>
      <c r="L1353" s="33"/>
      <c r="M1353" s="33"/>
      <c r="N1353" s="33"/>
      <c r="O1353" s="33"/>
      <c r="P1353" s="33"/>
      <c r="Q1353" s="33"/>
      <c r="R1353" s="33"/>
      <c r="S1353" s="33"/>
      <c r="T1353" s="33"/>
      <c r="U1353" s="33"/>
      <c r="V1353" s="33"/>
      <c r="W1353" s="33"/>
      <c r="X1353" s="33"/>
      <c r="Y1353" s="33"/>
      <c r="Z1353" s="33"/>
      <c r="AA1353" s="33"/>
      <c r="AB1353" s="33"/>
      <c r="AC1353" s="33"/>
      <c r="AD1353" s="33"/>
      <c r="AE1353" s="33"/>
      <c r="AF1353" s="33"/>
      <c r="AG1353" s="33"/>
      <c r="AH1353" s="33"/>
      <c r="AI1353" s="33"/>
      <c r="AJ1353" s="33"/>
      <c r="AK1353" s="216"/>
      <c r="AL1353" s="33"/>
      <c r="AM1353" s="33"/>
      <c r="AN1353" s="33"/>
      <c r="AO1353" s="33"/>
      <c r="AP1353" s="33"/>
    </row>
    <row r="1354" spans="1:42" ht="15.75" customHeight="1">
      <c r="A1354" s="33"/>
      <c r="B1354" s="33"/>
      <c r="C1354" s="33"/>
      <c r="D1354" s="33"/>
      <c r="E1354" s="33"/>
      <c r="F1354" s="199"/>
      <c r="G1354" s="33"/>
      <c r="H1354" s="33"/>
      <c r="I1354" s="33"/>
      <c r="J1354" s="33"/>
      <c r="K1354" s="33"/>
      <c r="L1354" s="33"/>
      <c r="M1354" s="33"/>
      <c r="N1354" s="33"/>
      <c r="O1354" s="33"/>
      <c r="P1354" s="33"/>
      <c r="Q1354" s="33"/>
      <c r="R1354" s="33"/>
      <c r="S1354" s="33"/>
      <c r="T1354" s="33"/>
      <c r="U1354" s="33"/>
      <c r="V1354" s="33"/>
      <c r="W1354" s="33"/>
      <c r="X1354" s="33"/>
      <c r="Y1354" s="33"/>
      <c r="Z1354" s="33"/>
      <c r="AA1354" s="33"/>
      <c r="AB1354" s="33"/>
      <c r="AC1354" s="33"/>
      <c r="AD1354" s="33"/>
      <c r="AE1354" s="33"/>
      <c r="AF1354" s="33"/>
      <c r="AG1354" s="33"/>
      <c r="AH1354" s="33"/>
      <c r="AI1354" s="33"/>
      <c r="AJ1354" s="33"/>
      <c r="AK1354" s="216"/>
      <c r="AL1354" s="33"/>
      <c r="AM1354" s="33"/>
      <c r="AN1354" s="33"/>
      <c r="AO1354" s="33"/>
      <c r="AP1354" s="33"/>
    </row>
    <row r="1355" spans="1:42" ht="15.75" customHeight="1">
      <c r="A1355" s="33"/>
      <c r="B1355" s="33"/>
      <c r="C1355" s="33"/>
      <c r="D1355" s="33"/>
      <c r="E1355" s="33"/>
      <c r="F1355" s="199"/>
      <c r="G1355" s="33"/>
      <c r="H1355" s="33"/>
      <c r="I1355" s="33"/>
      <c r="J1355" s="33"/>
      <c r="K1355" s="33"/>
      <c r="L1355" s="33"/>
      <c r="M1355" s="33"/>
      <c r="N1355" s="33"/>
      <c r="O1355" s="33"/>
      <c r="P1355" s="33"/>
      <c r="Q1355" s="33"/>
      <c r="R1355" s="33"/>
      <c r="S1355" s="33"/>
      <c r="T1355" s="33"/>
      <c r="U1355" s="33"/>
      <c r="V1355" s="33"/>
      <c r="W1355" s="33"/>
      <c r="X1355" s="33"/>
      <c r="Y1355" s="33"/>
      <c r="Z1355" s="33"/>
      <c r="AA1355" s="33"/>
      <c r="AB1355" s="33"/>
      <c r="AC1355" s="33"/>
      <c r="AD1355" s="33"/>
      <c r="AE1355" s="33"/>
      <c r="AF1355" s="33"/>
      <c r="AG1355" s="33"/>
      <c r="AH1355" s="33"/>
      <c r="AI1355" s="33"/>
      <c r="AJ1355" s="33"/>
      <c r="AK1355" s="216"/>
      <c r="AL1355" s="33"/>
      <c r="AM1355" s="33"/>
      <c r="AN1355" s="33"/>
      <c r="AO1355" s="33"/>
      <c r="AP1355" s="33"/>
    </row>
    <row r="1356" spans="1:42" ht="15.75" customHeight="1">
      <c r="A1356" s="33"/>
      <c r="B1356" s="33"/>
      <c r="C1356" s="33"/>
      <c r="D1356" s="33"/>
      <c r="E1356" s="33"/>
      <c r="F1356" s="199"/>
      <c r="G1356" s="33"/>
      <c r="H1356" s="33"/>
      <c r="I1356" s="33"/>
      <c r="J1356" s="33"/>
      <c r="K1356" s="33"/>
      <c r="L1356" s="33"/>
      <c r="M1356" s="33"/>
      <c r="N1356" s="33"/>
      <c r="O1356" s="33"/>
      <c r="P1356" s="33"/>
      <c r="Q1356" s="33"/>
      <c r="R1356" s="33"/>
      <c r="S1356" s="33"/>
      <c r="T1356" s="33"/>
      <c r="U1356" s="33"/>
      <c r="V1356" s="33"/>
      <c r="W1356" s="33"/>
      <c r="X1356" s="33"/>
      <c r="Y1356" s="33"/>
      <c r="Z1356" s="33"/>
      <c r="AA1356" s="33"/>
      <c r="AB1356" s="33"/>
      <c r="AC1356" s="33"/>
      <c r="AD1356" s="33"/>
      <c r="AE1356" s="33"/>
      <c r="AF1356" s="33"/>
      <c r="AG1356" s="33"/>
      <c r="AH1356" s="33"/>
      <c r="AI1356" s="33"/>
      <c r="AJ1356" s="33"/>
      <c r="AK1356" s="216"/>
      <c r="AL1356" s="33"/>
      <c r="AM1356" s="33"/>
      <c r="AN1356" s="33"/>
      <c r="AO1356" s="33"/>
      <c r="AP1356" s="33"/>
    </row>
    <row r="1357" spans="1:42" ht="15.75" customHeight="1">
      <c r="A1357" s="33"/>
      <c r="B1357" s="33"/>
      <c r="C1357" s="33"/>
      <c r="D1357" s="33"/>
      <c r="E1357" s="33"/>
      <c r="F1357" s="199"/>
      <c r="G1357" s="33"/>
      <c r="H1357" s="33"/>
      <c r="I1357" s="33"/>
      <c r="J1357" s="33"/>
      <c r="K1357" s="33"/>
      <c r="L1357" s="33"/>
      <c r="M1357" s="33"/>
      <c r="N1357" s="33"/>
      <c r="O1357" s="33"/>
      <c r="P1357" s="33"/>
      <c r="Q1357" s="33"/>
      <c r="R1357" s="33"/>
      <c r="S1357" s="33"/>
      <c r="T1357" s="33"/>
      <c r="U1357" s="33"/>
      <c r="V1357" s="33"/>
      <c r="W1357" s="33"/>
      <c r="X1357" s="33"/>
      <c r="Y1357" s="33"/>
      <c r="Z1357" s="33"/>
      <c r="AA1357" s="33"/>
      <c r="AB1357" s="33"/>
      <c r="AC1357" s="33"/>
      <c r="AD1357" s="33"/>
      <c r="AE1357" s="33"/>
      <c r="AF1357" s="33"/>
      <c r="AG1357" s="33"/>
      <c r="AH1357" s="33"/>
      <c r="AI1357" s="33"/>
      <c r="AJ1357" s="33"/>
      <c r="AK1357" s="216"/>
      <c r="AL1357" s="33"/>
      <c r="AM1357" s="33"/>
      <c r="AN1357" s="33"/>
      <c r="AO1357" s="33"/>
      <c r="AP1357" s="33"/>
    </row>
    <row r="1358" spans="1:42" ht="15.75" customHeight="1">
      <c r="A1358" s="33"/>
      <c r="B1358" s="33"/>
      <c r="C1358" s="33"/>
      <c r="D1358" s="33"/>
      <c r="E1358" s="33"/>
      <c r="F1358" s="199"/>
      <c r="G1358" s="33"/>
      <c r="H1358" s="33"/>
      <c r="I1358" s="33"/>
      <c r="J1358" s="33"/>
      <c r="K1358" s="33"/>
      <c r="L1358" s="33"/>
      <c r="M1358" s="33"/>
      <c r="N1358" s="33"/>
      <c r="O1358" s="33"/>
      <c r="P1358" s="33"/>
      <c r="Q1358" s="33"/>
      <c r="R1358" s="33"/>
      <c r="S1358" s="33"/>
      <c r="T1358" s="33"/>
      <c r="U1358" s="33"/>
      <c r="V1358" s="33"/>
      <c r="W1358" s="33"/>
      <c r="X1358" s="33"/>
      <c r="Y1358" s="33"/>
      <c r="Z1358" s="33"/>
      <c r="AA1358" s="33"/>
      <c r="AB1358" s="33"/>
      <c r="AC1358" s="33"/>
      <c r="AD1358" s="33"/>
      <c r="AE1358" s="33"/>
      <c r="AF1358" s="33"/>
      <c r="AG1358" s="33"/>
      <c r="AH1358" s="33"/>
      <c r="AI1358" s="33"/>
      <c r="AJ1358" s="33"/>
      <c r="AK1358" s="216"/>
      <c r="AL1358" s="33"/>
      <c r="AM1358" s="33"/>
      <c r="AN1358" s="33"/>
      <c r="AO1358" s="33"/>
      <c r="AP1358" s="33"/>
    </row>
    <row r="1359" spans="1:42" ht="15.75" customHeight="1">
      <c r="A1359" s="33"/>
      <c r="B1359" s="33"/>
      <c r="C1359" s="33"/>
      <c r="D1359" s="33"/>
      <c r="E1359" s="33"/>
      <c r="F1359" s="199"/>
      <c r="G1359" s="33"/>
      <c r="H1359" s="33"/>
      <c r="I1359" s="33"/>
      <c r="J1359" s="33"/>
      <c r="K1359" s="33"/>
      <c r="L1359" s="33"/>
      <c r="M1359" s="33"/>
      <c r="N1359" s="33"/>
      <c r="O1359" s="33"/>
      <c r="P1359" s="33"/>
      <c r="Q1359" s="33"/>
      <c r="R1359" s="33"/>
      <c r="S1359" s="33"/>
      <c r="T1359" s="33"/>
      <c r="U1359" s="33"/>
      <c r="V1359" s="33"/>
      <c r="W1359" s="33"/>
      <c r="X1359" s="33"/>
      <c r="Y1359" s="33"/>
      <c r="Z1359" s="33"/>
      <c r="AA1359" s="33"/>
      <c r="AB1359" s="33"/>
      <c r="AC1359" s="33"/>
      <c r="AD1359" s="33"/>
      <c r="AE1359" s="33"/>
      <c r="AF1359" s="33"/>
      <c r="AG1359" s="33"/>
      <c r="AH1359" s="33"/>
      <c r="AI1359" s="33"/>
      <c r="AJ1359" s="33"/>
      <c r="AK1359" s="216"/>
      <c r="AL1359" s="33"/>
      <c r="AM1359" s="33"/>
      <c r="AN1359" s="33"/>
      <c r="AO1359" s="33"/>
      <c r="AP1359" s="33"/>
    </row>
    <row r="1360" spans="1:42" ht="15.75" customHeight="1">
      <c r="A1360" s="33"/>
      <c r="B1360" s="33"/>
      <c r="C1360" s="33"/>
      <c r="D1360" s="33"/>
      <c r="E1360" s="33"/>
      <c r="F1360" s="199"/>
      <c r="G1360" s="33"/>
      <c r="H1360" s="33"/>
      <c r="I1360" s="33"/>
      <c r="J1360" s="33"/>
      <c r="K1360" s="33"/>
      <c r="L1360" s="33"/>
      <c r="M1360" s="33"/>
      <c r="N1360" s="33"/>
      <c r="O1360" s="33"/>
      <c r="P1360" s="33"/>
      <c r="Q1360" s="33"/>
      <c r="R1360" s="33"/>
      <c r="S1360" s="33"/>
      <c r="T1360" s="33"/>
      <c r="U1360" s="33"/>
      <c r="V1360" s="33"/>
      <c r="W1360" s="33"/>
      <c r="X1360" s="33"/>
      <c r="Y1360" s="33"/>
      <c r="Z1360" s="33"/>
      <c r="AA1360" s="33"/>
      <c r="AB1360" s="33"/>
      <c r="AC1360" s="33"/>
      <c r="AD1360" s="33"/>
      <c r="AE1360" s="33"/>
      <c r="AF1360" s="33"/>
      <c r="AG1360" s="33"/>
      <c r="AH1360" s="33"/>
      <c r="AI1360" s="33"/>
      <c r="AJ1360" s="33"/>
      <c r="AK1360" s="216"/>
      <c r="AL1360" s="33"/>
      <c r="AM1360" s="33"/>
      <c r="AN1360" s="33"/>
      <c r="AO1360" s="33"/>
      <c r="AP1360" s="33"/>
    </row>
    <row r="1361" spans="1:42" ht="15.75" customHeight="1">
      <c r="A1361" s="33"/>
      <c r="B1361" s="33"/>
      <c r="C1361" s="33"/>
      <c r="D1361" s="33"/>
      <c r="E1361" s="33"/>
      <c r="F1361" s="199"/>
      <c r="G1361" s="33"/>
      <c r="H1361" s="33"/>
      <c r="I1361" s="33"/>
      <c r="J1361" s="33"/>
      <c r="K1361" s="33"/>
      <c r="L1361" s="33"/>
      <c r="M1361" s="33"/>
      <c r="N1361" s="33"/>
      <c r="O1361" s="33"/>
      <c r="P1361" s="33"/>
      <c r="Q1361" s="33"/>
      <c r="R1361" s="33"/>
      <c r="S1361" s="33"/>
      <c r="T1361" s="33"/>
      <c r="U1361" s="33"/>
      <c r="V1361" s="33"/>
      <c r="W1361" s="33"/>
      <c r="X1361" s="33"/>
      <c r="Y1361" s="33"/>
      <c r="Z1361" s="33"/>
      <c r="AA1361" s="33"/>
      <c r="AB1361" s="33"/>
      <c r="AC1361" s="33"/>
      <c r="AD1361" s="33"/>
      <c r="AE1361" s="33"/>
      <c r="AF1361" s="33"/>
      <c r="AG1361" s="33"/>
      <c r="AH1361" s="33"/>
      <c r="AI1361" s="33"/>
      <c r="AJ1361" s="33"/>
      <c r="AK1361" s="216"/>
      <c r="AL1361" s="33"/>
      <c r="AM1361" s="33"/>
      <c r="AN1361" s="33"/>
      <c r="AO1361" s="33"/>
      <c r="AP1361" s="33"/>
    </row>
    <row r="1362" spans="1:42" ht="15.75" customHeight="1">
      <c r="A1362" s="33"/>
      <c r="B1362" s="33"/>
      <c r="C1362" s="33"/>
      <c r="D1362" s="33"/>
      <c r="E1362" s="33"/>
      <c r="F1362" s="199"/>
      <c r="G1362" s="33"/>
      <c r="H1362" s="33"/>
      <c r="I1362" s="33"/>
      <c r="J1362" s="33"/>
      <c r="K1362" s="33"/>
      <c r="L1362" s="33"/>
      <c r="M1362" s="33"/>
      <c r="N1362" s="33"/>
      <c r="O1362" s="33"/>
      <c r="P1362" s="33"/>
      <c r="Q1362" s="33"/>
      <c r="R1362" s="33"/>
      <c r="S1362" s="33"/>
      <c r="T1362" s="33"/>
      <c r="U1362" s="33"/>
      <c r="V1362" s="33"/>
      <c r="W1362" s="33"/>
      <c r="X1362" s="33"/>
      <c r="Y1362" s="33"/>
      <c r="Z1362" s="33"/>
      <c r="AA1362" s="33"/>
      <c r="AB1362" s="33"/>
      <c r="AC1362" s="33"/>
      <c r="AD1362" s="33"/>
      <c r="AE1362" s="33"/>
      <c r="AF1362" s="33"/>
      <c r="AG1362" s="33"/>
      <c r="AH1362" s="33"/>
      <c r="AI1362" s="33"/>
      <c r="AJ1362" s="33"/>
      <c r="AK1362" s="216"/>
      <c r="AL1362" s="33"/>
      <c r="AM1362" s="33"/>
      <c r="AN1362" s="33"/>
      <c r="AO1362" s="33"/>
      <c r="AP1362" s="33"/>
    </row>
    <row r="1363" spans="1:42" ht="15.75" customHeight="1">
      <c r="A1363" s="33"/>
      <c r="B1363" s="33"/>
      <c r="C1363" s="33"/>
      <c r="D1363" s="33"/>
      <c r="E1363" s="33"/>
      <c r="F1363" s="199"/>
      <c r="G1363" s="33"/>
      <c r="H1363" s="33"/>
      <c r="I1363" s="33"/>
      <c r="J1363" s="33"/>
      <c r="K1363" s="33"/>
      <c r="L1363" s="33"/>
      <c r="M1363" s="33"/>
      <c r="N1363" s="33"/>
      <c r="O1363" s="33"/>
      <c r="P1363" s="33"/>
      <c r="Q1363" s="33"/>
      <c r="R1363" s="33"/>
      <c r="S1363" s="33"/>
      <c r="T1363" s="33"/>
      <c r="U1363" s="33"/>
      <c r="V1363" s="33"/>
      <c r="W1363" s="33"/>
      <c r="X1363" s="33"/>
      <c r="Y1363" s="33"/>
      <c r="Z1363" s="33"/>
      <c r="AA1363" s="33"/>
      <c r="AB1363" s="33"/>
      <c r="AC1363" s="33"/>
      <c r="AD1363" s="33"/>
      <c r="AE1363" s="33"/>
      <c r="AF1363" s="33"/>
      <c r="AG1363" s="33"/>
      <c r="AH1363" s="33"/>
      <c r="AI1363" s="33"/>
      <c r="AJ1363" s="33"/>
      <c r="AK1363" s="216"/>
      <c r="AL1363" s="33"/>
      <c r="AM1363" s="33"/>
      <c r="AN1363" s="33"/>
      <c r="AO1363" s="33"/>
      <c r="AP1363" s="33"/>
    </row>
    <row r="1364" spans="1:42" ht="15.75" customHeight="1">
      <c r="A1364" s="33"/>
      <c r="B1364" s="33"/>
      <c r="C1364" s="33"/>
      <c r="D1364" s="33"/>
      <c r="E1364" s="33"/>
      <c r="F1364" s="199"/>
      <c r="G1364" s="33"/>
      <c r="H1364" s="33"/>
      <c r="I1364" s="33"/>
      <c r="J1364" s="33"/>
      <c r="K1364" s="33"/>
      <c r="L1364" s="33"/>
      <c r="M1364" s="33"/>
      <c r="N1364" s="33"/>
      <c r="O1364" s="33"/>
      <c r="P1364" s="33"/>
      <c r="Q1364" s="33"/>
      <c r="R1364" s="33"/>
      <c r="S1364" s="33"/>
      <c r="T1364" s="33"/>
      <c r="U1364" s="33"/>
      <c r="V1364" s="33"/>
      <c r="W1364" s="33"/>
      <c r="X1364" s="33"/>
      <c r="Y1364" s="33"/>
      <c r="Z1364" s="33"/>
      <c r="AA1364" s="33"/>
      <c r="AB1364" s="33"/>
      <c r="AC1364" s="33"/>
      <c r="AD1364" s="33"/>
      <c r="AE1364" s="33"/>
      <c r="AF1364" s="33"/>
      <c r="AG1364" s="33"/>
      <c r="AH1364" s="33"/>
      <c r="AI1364" s="33"/>
      <c r="AJ1364" s="33"/>
      <c r="AK1364" s="216"/>
      <c r="AL1364" s="33"/>
      <c r="AM1364" s="33"/>
      <c r="AN1364" s="33"/>
      <c r="AO1364" s="33"/>
      <c r="AP1364" s="33"/>
    </row>
    <row r="1365" spans="1:42" ht="15.75" customHeight="1">
      <c r="A1365" s="33"/>
      <c r="B1365" s="33"/>
      <c r="C1365" s="33"/>
      <c r="D1365" s="33"/>
      <c r="E1365" s="33"/>
      <c r="F1365" s="199"/>
      <c r="G1365" s="33"/>
      <c r="H1365" s="33"/>
      <c r="I1365" s="33"/>
      <c r="J1365" s="33"/>
      <c r="K1365" s="33"/>
      <c r="L1365" s="33"/>
      <c r="M1365" s="33"/>
      <c r="N1365" s="33"/>
      <c r="O1365" s="33"/>
      <c r="P1365" s="33"/>
      <c r="Q1365" s="33"/>
      <c r="R1365" s="33"/>
      <c r="S1365" s="33"/>
      <c r="T1365" s="33"/>
      <c r="U1365" s="33"/>
      <c r="V1365" s="33"/>
      <c r="W1365" s="33"/>
      <c r="X1365" s="33"/>
      <c r="Y1365" s="33"/>
      <c r="Z1365" s="33"/>
      <c r="AA1365" s="33"/>
      <c r="AB1365" s="33"/>
      <c r="AC1365" s="33"/>
      <c r="AD1365" s="33"/>
      <c r="AE1365" s="33"/>
      <c r="AF1365" s="33"/>
      <c r="AG1365" s="33"/>
      <c r="AH1365" s="33"/>
      <c r="AI1365" s="33"/>
      <c r="AJ1365" s="33"/>
      <c r="AK1365" s="216"/>
      <c r="AL1365" s="33"/>
      <c r="AM1365" s="33"/>
      <c r="AN1365" s="33"/>
      <c r="AO1365" s="33"/>
      <c r="AP1365" s="33"/>
    </row>
    <row r="1366" spans="1:42" ht="15.75" customHeight="1">
      <c r="A1366" s="33"/>
      <c r="B1366" s="33"/>
      <c r="C1366" s="33"/>
      <c r="D1366" s="33"/>
      <c r="E1366" s="33"/>
      <c r="F1366" s="199"/>
      <c r="G1366" s="33"/>
      <c r="H1366" s="33"/>
      <c r="I1366" s="33"/>
      <c r="J1366" s="33"/>
      <c r="K1366" s="33"/>
      <c r="L1366" s="33"/>
      <c r="M1366" s="33"/>
      <c r="N1366" s="33"/>
      <c r="O1366" s="33"/>
      <c r="P1366" s="33"/>
      <c r="Q1366" s="33"/>
      <c r="R1366" s="33"/>
      <c r="S1366" s="33"/>
      <c r="T1366" s="33"/>
      <c r="U1366" s="33"/>
      <c r="V1366" s="33"/>
      <c r="W1366" s="33"/>
      <c r="X1366" s="33"/>
      <c r="Y1366" s="33"/>
      <c r="Z1366" s="33"/>
      <c r="AA1366" s="33"/>
      <c r="AB1366" s="33"/>
      <c r="AC1366" s="33"/>
      <c r="AD1366" s="33"/>
      <c r="AE1366" s="33"/>
      <c r="AF1366" s="33"/>
      <c r="AG1366" s="33"/>
      <c r="AH1366" s="33"/>
      <c r="AI1366" s="33"/>
      <c r="AJ1366" s="33"/>
      <c r="AK1366" s="216"/>
      <c r="AL1366" s="33"/>
      <c r="AM1366" s="33"/>
      <c r="AN1366" s="33"/>
      <c r="AO1366" s="33"/>
      <c r="AP1366" s="33"/>
    </row>
    <row r="1367" spans="1:42" ht="15.75" customHeight="1">
      <c r="A1367" s="33"/>
      <c r="B1367" s="33"/>
      <c r="C1367" s="33"/>
      <c r="D1367" s="33"/>
      <c r="E1367" s="33"/>
      <c r="F1367" s="199"/>
      <c r="G1367" s="33"/>
      <c r="H1367" s="33"/>
      <c r="I1367" s="33"/>
      <c r="J1367" s="33"/>
      <c r="K1367" s="33"/>
      <c r="L1367" s="33"/>
      <c r="M1367" s="33"/>
      <c r="N1367" s="33"/>
      <c r="O1367" s="33"/>
      <c r="P1367" s="33"/>
      <c r="Q1367" s="33"/>
      <c r="R1367" s="33"/>
      <c r="S1367" s="33"/>
      <c r="T1367" s="33"/>
      <c r="U1367" s="33"/>
      <c r="V1367" s="33"/>
      <c r="W1367" s="33"/>
      <c r="X1367" s="33"/>
      <c r="Y1367" s="33"/>
      <c r="Z1367" s="33"/>
      <c r="AA1367" s="33"/>
      <c r="AB1367" s="33"/>
      <c r="AC1367" s="33"/>
      <c r="AD1367" s="33"/>
      <c r="AE1367" s="33"/>
      <c r="AF1367" s="33"/>
      <c r="AG1367" s="33"/>
      <c r="AH1367" s="33"/>
      <c r="AI1367" s="33"/>
      <c r="AJ1367" s="33"/>
      <c r="AK1367" s="216"/>
      <c r="AL1367" s="33"/>
      <c r="AM1367" s="33"/>
      <c r="AN1367" s="33"/>
      <c r="AO1367" s="33"/>
      <c r="AP1367" s="33"/>
    </row>
    <row r="1368" spans="1:42" ht="15.75" customHeight="1">
      <c r="A1368" s="33"/>
      <c r="B1368" s="33"/>
      <c r="C1368" s="33"/>
      <c r="D1368" s="33"/>
      <c r="E1368" s="33"/>
      <c r="F1368" s="199"/>
      <c r="G1368" s="33"/>
      <c r="H1368" s="33"/>
      <c r="I1368" s="33"/>
      <c r="J1368" s="33"/>
      <c r="K1368" s="33"/>
      <c r="L1368" s="33"/>
      <c r="M1368" s="33"/>
      <c r="N1368" s="33"/>
      <c r="O1368" s="33"/>
      <c r="P1368" s="33"/>
      <c r="Q1368" s="33"/>
      <c r="R1368" s="33"/>
      <c r="S1368" s="33"/>
      <c r="T1368" s="33"/>
      <c r="U1368" s="33"/>
      <c r="V1368" s="33"/>
      <c r="W1368" s="33"/>
      <c r="X1368" s="33"/>
      <c r="Y1368" s="33"/>
      <c r="Z1368" s="33"/>
      <c r="AA1368" s="33"/>
      <c r="AB1368" s="33"/>
      <c r="AC1368" s="33"/>
      <c r="AD1368" s="33"/>
      <c r="AE1368" s="33"/>
      <c r="AF1368" s="33"/>
      <c r="AG1368" s="33"/>
      <c r="AH1368" s="33"/>
      <c r="AI1368" s="33"/>
      <c r="AJ1368" s="33"/>
      <c r="AK1368" s="216"/>
      <c r="AL1368" s="33"/>
      <c r="AM1368" s="33"/>
      <c r="AN1368" s="33"/>
      <c r="AO1368" s="33"/>
      <c r="AP1368" s="33"/>
    </row>
    <row r="1369" spans="1:42" ht="15.75" customHeight="1">
      <c r="A1369" s="33"/>
      <c r="B1369" s="33"/>
      <c r="C1369" s="33"/>
      <c r="D1369" s="33"/>
      <c r="E1369" s="33"/>
      <c r="F1369" s="199"/>
      <c r="G1369" s="33"/>
      <c r="H1369" s="33"/>
      <c r="I1369" s="33"/>
      <c r="J1369" s="33"/>
      <c r="K1369" s="33"/>
      <c r="L1369" s="33"/>
      <c r="M1369" s="33"/>
      <c r="N1369" s="33"/>
      <c r="O1369" s="33"/>
      <c r="P1369" s="33"/>
      <c r="Q1369" s="33"/>
      <c r="R1369" s="33"/>
      <c r="S1369" s="33"/>
      <c r="T1369" s="33"/>
      <c r="U1369" s="33"/>
      <c r="V1369" s="33"/>
      <c r="W1369" s="33"/>
      <c r="X1369" s="33"/>
      <c r="Y1369" s="33"/>
      <c r="Z1369" s="33"/>
      <c r="AA1369" s="33"/>
      <c r="AB1369" s="33"/>
      <c r="AC1369" s="33"/>
      <c r="AD1369" s="33"/>
      <c r="AE1369" s="33"/>
      <c r="AF1369" s="33"/>
      <c r="AG1369" s="33"/>
      <c r="AH1369" s="33"/>
      <c r="AI1369" s="33"/>
      <c r="AJ1369" s="33"/>
      <c r="AK1369" s="216"/>
      <c r="AL1369" s="33"/>
      <c r="AM1369" s="33"/>
      <c r="AN1369" s="33"/>
      <c r="AO1369" s="33"/>
      <c r="AP1369" s="33"/>
    </row>
    <row r="1370" spans="1:42" ht="15.75" customHeight="1">
      <c r="A1370" s="33"/>
      <c r="B1370" s="33"/>
      <c r="C1370" s="33"/>
      <c r="D1370" s="33"/>
      <c r="E1370" s="33"/>
      <c r="F1370" s="199"/>
      <c r="G1370" s="33"/>
      <c r="H1370" s="33"/>
      <c r="I1370" s="33"/>
      <c r="J1370" s="33"/>
      <c r="K1370" s="33"/>
      <c r="L1370" s="33"/>
      <c r="M1370" s="33"/>
      <c r="N1370" s="33"/>
      <c r="O1370" s="33"/>
      <c r="P1370" s="33"/>
      <c r="Q1370" s="33"/>
      <c r="R1370" s="33"/>
      <c r="S1370" s="33"/>
      <c r="T1370" s="33"/>
      <c r="U1370" s="33"/>
      <c r="V1370" s="33"/>
      <c r="W1370" s="33"/>
      <c r="X1370" s="33"/>
      <c r="Y1370" s="33"/>
      <c r="Z1370" s="33"/>
      <c r="AA1370" s="33"/>
      <c r="AB1370" s="33"/>
      <c r="AC1370" s="33"/>
      <c r="AD1370" s="33"/>
      <c r="AE1370" s="33"/>
      <c r="AF1370" s="33"/>
      <c r="AG1370" s="33"/>
      <c r="AH1370" s="33"/>
      <c r="AI1370" s="33"/>
      <c r="AJ1370" s="33"/>
      <c r="AK1370" s="216"/>
      <c r="AL1370" s="33"/>
      <c r="AM1370" s="33"/>
      <c r="AN1370" s="33"/>
      <c r="AO1370" s="33"/>
      <c r="AP1370" s="33"/>
    </row>
    <row r="1371" spans="1:42" ht="15.75" customHeight="1">
      <c r="A1371" s="33"/>
      <c r="B1371" s="33"/>
      <c r="C1371" s="33"/>
      <c r="D1371" s="33"/>
      <c r="E1371" s="33"/>
      <c r="F1371" s="199"/>
      <c r="G1371" s="33"/>
      <c r="H1371" s="33"/>
      <c r="I1371" s="33"/>
      <c r="J1371" s="33"/>
      <c r="K1371" s="33"/>
      <c r="L1371" s="33"/>
      <c r="M1371" s="33"/>
      <c r="N1371" s="33"/>
      <c r="O1371" s="33"/>
      <c r="P1371" s="33"/>
      <c r="Q1371" s="33"/>
      <c r="R1371" s="33"/>
      <c r="S1371" s="33"/>
      <c r="T1371" s="33"/>
      <c r="U1371" s="33"/>
      <c r="V1371" s="33"/>
      <c r="W1371" s="33"/>
      <c r="X1371" s="33"/>
      <c r="Y1371" s="33"/>
      <c r="Z1371" s="33"/>
      <c r="AA1371" s="33"/>
      <c r="AB1371" s="33"/>
      <c r="AC1371" s="33"/>
      <c r="AD1371" s="33"/>
      <c r="AE1371" s="33"/>
      <c r="AF1371" s="33"/>
      <c r="AG1371" s="33"/>
      <c r="AH1371" s="33"/>
      <c r="AI1371" s="33"/>
      <c r="AJ1371" s="33"/>
      <c r="AK1371" s="216"/>
      <c r="AL1371" s="33"/>
      <c r="AM1371" s="33"/>
      <c r="AN1371" s="33"/>
      <c r="AO1371" s="33"/>
      <c r="AP1371" s="33"/>
    </row>
    <row r="1372" spans="1:42" ht="15.75" customHeight="1">
      <c r="A1372" s="33"/>
      <c r="B1372" s="33"/>
      <c r="C1372" s="33"/>
      <c r="D1372" s="33"/>
      <c r="E1372" s="33"/>
      <c r="F1372" s="199"/>
      <c r="G1372" s="33"/>
      <c r="H1372" s="33"/>
      <c r="I1372" s="33"/>
      <c r="J1372" s="33"/>
      <c r="K1372" s="33"/>
      <c r="L1372" s="33"/>
      <c r="M1372" s="33"/>
      <c r="N1372" s="33"/>
      <c r="O1372" s="33"/>
      <c r="P1372" s="33"/>
      <c r="Q1372" s="33"/>
      <c r="R1372" s="33"/>
      <c r="S1372" s="33"/>
      <c r="T1372" s="33"/>
      <c r="U1372" s="33"/>
      <c r="V1372" s="33"/>
      <c r="W1372" s="33"/>
      <c r="X1372" s="33"/>
      <c r="Y1372" s="33"/>
      <c r="Z1372" s="33"/>
      <c r="AA1372" s="33"/>
      <c r="AB1372" s="33"/>
      <c r="AC1372" s="33"/>
      <c r="AD1372" s="33"/>
      <c r="AE1372" s="33"/>
      <c r="AF1372" s="33"/>
      <c r="AG1372" s="33"/>
      <c r="AH1372" s="33"/>
      <c r="AI1372" s="33"/>
      <c r="AJ1372" s="33"/>
      <c r="AK1372" s="216"/>
      <c r="AL1372" s="33"/>
      <c r="AM1372" s="33"/>
      <c r="AN1372" s="33"/>
      <c r="AO1372" s="33"/>
      <c r="AP1372" s="33"/>
    </row>
    <row r="1373" spans="1:42" ht="15.75" customHeight="1">
      <c r="A1373" s="33"/>
      <c r="B1373" s="33"/>
      <c r="C1373" s="33"/>
      <c r="D1373" s="33"/>
      <c r="E1373" s="33"/>
      <c r="F1373" s="199"/>
      <c r="G1373" s="33"/>
      <c r="H1373" s="33"/>
      <c r="I1373" s="33"/>
      <c r="J1373" s="33"/>
      <c r="K1373" s="33"/>
      <c r="L1373" s="33"/>
      <c r="M1373" s="33"/>
      <c r="N1373" s="33"/>
      <c r="O1373" s="33"/>
      <c r="P1373" s="33"/>
      <c r="Q1373" s="33"/>
      <c r="R1373" s="33"/>
      <c r="S1373" s="33"/>
      <c r="T1373" s="33"/>
      <c r="U1373" s="33"/>
      <c r="V1373" s="33"/>
      <c r="W1373" s="33"/>
      <c r="X1373" s="33"/>
      <c r="Y1373" s="33"/>
      <c r="Z1373" s="33"/>
      <c r="AA1373" s="33"/>
      <c r="AB1373" s="33"/>
      <c r="AC1373" s="33"/>
      <c r="AD1373" s="33"/>
      <c r="AE1373" s="33"/>
      <c r="AF1373" s="33"/>
      <c r="AG1373" s="33"/>
      <c r="AH1373" s="33"/>
      <c r="AI1373" s="33"/>
      <c r="AJ1373" s="33"/>
      <c r="AK1373" s="216"/>
      <c r="AL1373" s="33"/>
      <c r="AM1373" s="33"/>
      <c r="AN1373" s="33"/>
      <c r="AO1373" s="33"/>
      <c r="AP1373" s="33"/>
    </row>
    <row r="1374" spans="1:42" ht="15.75" customHeight="1">
      <c r="A1374" s="33"/>
      <c r="B1374" s="33"/>
      <c r="C1374" s="33"/>
      <c r="D1374" s="33"/>
      <c r="E1374" s="33"/>
      <c r="F1374" s="199"/>
      <c r="G1374" s="33"/>
      <c r="H1374" s="33"/>
      <c r="I1374" s="33"/>
      <c r="J1374" s="33"/>
      <c r="K1374" s="33"/>
      <c r="L1374" s="33"/>
      <c r="M1374" s="33"/>
      <c r="N1374" s="33"/>
      <c r="O1374" s="33"/>
      <c r="P1374" s="33"/>
      <c r="Q1374" s="33"/>
      <c r="R1374" s="33"/>
      <c r="S1374" s="33"/>
      <c r="T1374" s="33"/>
      <c r="U1374" s="33"/>
      <c r="V1374" s="33"/>
      <c r="W1374" s="33"/>
      <c r="X1374" s="33"/>
      <c r="Y1374" s="33"/>
      <c r="Z1374" s="33"/>
      <c r="AA1374" s="33"/>
      <c r="AB1374" s="33"/>
      <c r="AC1374" s="33"/>
      <c r="AD1374" s="33"/>
      <c r="AE1374" s="33"/>
      <c r="AF1374" s="33"/>
      <c r="AG1374" s="33"/>
      <c r="AH1374" s="33"/>
      <c r="AI1374" s="33"/>
      <c r="AJ1374" s="33"/>
      <c r="AK1374" s="216"/>
      <c r="AL1374" s="33"/>
      <c r="AM1374" s="33"/>
      <c r="AN1374" s="33"/>
      <c r="AO1374" s="33"/>
      <c r="AP1374" s="33"/>
    </row>
    <row r="1375" spans="1:42" ht="15.75" customHeight="1">
      <c r="A1375" s="33"/>
      <c r="B1375" s="33"/>
      <c r="C1375" s="33"/>
      <c r="D1375" s="33"/>
      <c r="E1375" s="33"/>
      <c r="F1375" s="199"/>
      <c r="G1375" s="33"/>
      <c r="H1375" s="33"/>
      <c r="I1375" s="33"/>
      <c r="J1375" s="33"/>
      <c r="K1375" s="33"/>
      <c r="L1375" s="33"/>
      <c r="M1375" s="33"/>
      <c r="N1375" s="33"/>
      <c r="O1375" s="33"/>
      <c r="P1375" s="33"/>
      <c r="Q1375" s="33"/>
      <c r="R1375" s="33"/>
      <c r="S1375" s="33"/>
      <c r="T1375" s="33"/>
      <c r="U1375" s="33"/>
      <c r="V1375" s="33"/>
      <c r="W1375" s="33"/>
      <c r="X1375" s="33"/>
      <c r="Y1375" s="33"/>
      <c r="Z1375" s="33"/>
      <c r="AA1375" s="33"/>
      <c r="AB1375" s="33"/>
      <c r="AC1375" s="33"/>
      <c r="AD1375" s="33"/>
      <c r="AE1375" s="33"/>
      <c r="AF1375" s="33"/>
      <c r="AG1375" s="33"/>
      <c r="AH1375" s="33"/>
      <c r="AI1375" s="33"/>
      <c r="AJ1375" s="33"/>
      <c r="AK1375" s="216"/>
      <c r="AL1375" s="33"/>
      <c r="AM1375" s="33"/>
      <c r="AN1375" s="33"/>
      <c r="AO1375" s="33"/>
      <c r="AP1375" s="33"/>
    </row>
    <row r="1376" spans="1:42" ht="15.75" customHeight="1">
      <c r="A1376" s="33"/>
      <c r="B1376" s="33"/>
      <c r="C1376" s="33"/>
      <c r="D1376" s="33"/>
      <c r="E1376" s="33"/>
      <c r="F1376" s="199"/>
      <c r="G1376" s="33"/>
      <c r="H1376" s="33"/>
      <c r="I1376" s="33"/>
      <c r="J1376" s="33"/>
      <c r="K1376" s="33"/>
      <c r="L1376" s="33"/>
      <c r="M1376" s="33"/>
      <c r="N1376" s="33"/>
      <c r="O1376" s="33"/>
      <c r="P1376" s="33"/>
      <c r="Q1376" s="33"/>
      <c r="R1376" s="33"/>
      <c r="S1376" s="33"/>
      <c r="T1376" s="33"/>
      <c r="U1376" s="33"/>
      <c r="V1376" s="33"/>
      <c r="W1376" s="33"/>
      <c r="X1376" s="33"/>
      <c r="Y1376" s="33"/>
      <c r="Z1376" s="33"/>
      <c r="AA1376" s="33"/>
      <c r="AB1376" s="33"/>
      <c r="AC1376" s="33"/>
      <c r="AD1376" s="33"/>
      <c r="AE1376" s="33"/>
      <c r="AF1376" s="33"/>
      <c r="AG1376" s="33"/>
      <c r="AH1376" s="33"/>
      <c r="AI1376" s="33"/>
      <c r="AJ1376" s="33"/>
      <c r="AK1376" s="216"/>
      <c r="AL1376" s="33"/>
      <c r="AM1376" s="33"/>
      <c r="AN1376" s="33"/>
      <c r="AO1376" s="33"/>
      <c r="AP1376" s="33"/>
    </row>
    <row r="1377" spans="1:42" ht="15.75" customHeight="1">
      <c r="A1377" s="33"/>
      <c r="B1377" s="33"/>
      <c r="C1377" s="33"/>
      <c r="D1377" s="33"/>
      <c r="E1377" s="33"/>
      <c r="F1377" s="199"/>
      <c r="G1377" s="33"/>
      <c r="H1377" s="33"/>
      <c r="I1377" s="33"/>
      <c r="J1377" s="33"/>
      <c r="K1377" s="33"/>
      <c r="L1377" s="33"/>
      <c r="M1377" s="33"/>
      <c r="N1377" s="33"/>
      <c r="O1377" s="33"/>
      <c r="P1377" s="33"/>
      <c r="Q1377" s="33"/>
      <c r="R1377" s="33"/>
      <c r="S1377" s="33"/>
      <c r="T1377" s="33"/>
      <c r="U1377" s="33"/>
      <c r="V1377" s="33"/>
      <c r="W1377" s="33"/>
      <c r="X1377" s="33"/>
      <c r="Y1377" s="33"/>
      <c r="Z1377" s="33"/>
      <c r="AA1377" s="33"/>
      <c r="AB1377" s="33"/>
      <c r="AC1377" s="33"/>
      <c r="AD1377" s="33"/>
      <c r="AE1377" s="33"/>
      <c r="AF1377" s="33"/>
      <c r="AG1377" s="33"/>
      <c r="AH1377" s="33"/>
      <c r="AI1377" s="33"/>
      <c r="AJ1377" s="33"/>
      <c r="AK1377" s="216"/>
      <c r="AL1377" s="33"/>
      <c r="AM1377" s="33"/>
      <c r="AN1377" s="33"/>
      <c r="AO1377" s="33"/>
      <c r="AP1377" s="33"/>
    </row>
    <row r="1378" spans="1:42" ht="15.75" customHeight="1">
      <c r="A1378" s="33"/>
      <c r="B1378" s="33"/>
      <c r="C1378" s="33"/>
      <c r="D1378" s="33"/>
      <c r="E1378" s="33"/>
      <c r="F1378" s="199"/>
      <c r="G1378" s="33"/>
      <c r="H1378" s="33"/>
      <c r="I1378" s="33"/>
      <c r="J1378" s="33"/>
      <c r="K1378" s="33"/>
      <c r="L1378" s="33"/>
      <c r="M1378" s="33"/>
      <c r="N1378" s="33"/>
      <c r="O1378" s="33"/>
      <c r="P1378" s="33"/>
      <c r="Q1378" s="33"/>
      <c r="R1378" s="33"/>
      <c r="S1378" s="33"/>
      <c r="T1378" s="33"/>
      <c r="U1378" s="33"/>
      <c r="V1378" s="33"/>
      <c r="W1378" s="33"/>
      <c r="X1378" s="33"/>
      <c r="Y1378" s="33"/>
      <c r="Z1378" s="33"/>
      <c r="AA1378" s="33"/>
      <c r="AB1378" s="33"/>
      <c r="AC1378" s="33"/>
      <c r="AD1378" s="33"/>
      <c r="AE1378" s="33"/>
      <c r="AF1378" s="33"/>
      <c r="AG1378" s="33"/>
      <c r="AH1378" s="33"/>
      <c r="AI1378" s="33"/>
      <c r="AJ1378" s="33"/>
      <c r="AK1378" s="216"/>
      <c r="AL1378" s="33"/>
      <c r="AM1378" s="33"/>
      <c r="AN1378" s="33"/>
      <c r="AO1378" s="33"/>
      <c r="AP1378" s="33"/>
    </row>
    <row r="1379" spans="1:42" ht="15.75" customHeight="1">
      <c r="A1379" s="33"/>
      <c r="B1379" s="33"/>
      <c r="C1379" s="33"/>
      <c r="D1379" s="33"/>
      <c r="E1379" s="33"/>
      <c r="F1379" s="199"/>
      <c r="G1379" s="33"/>
      <c r="H1379" s="33"/>
      <c r="I1379" s="33"/>
      <c r="J1379" s="33"/>
      <c r="K1379" s="33"/>
      <c r="L1379" s="33"/>
      <c r="M1379" s="33"/>
      <c r="N1379" s="33"/>
      <c r="O1379" s="33"/>
      <c r="P1379" s="33"/>
      <c r="Q1379" s="33"/>
      <c r="R1379" s="33"/>
      <c r="S1379" s="33"/>
      <c r="T1379" s="33"/>
      <c r="U1379" s="33"/>
      <c r="V1379" s="33"/>
      <c r="W1379" s="33"/>
      <c r="X1379" s="33"/>
      <c r="Y1379" s="33"/>
      <c r="Z1379" s="33"/>
      <c r="AA1379" s="33"/>
      <c r="AB1379" s="33"/>
      <c r="AC1379" s="33"/>
      <c r="AD1379" s="33"/>
      <c r="AE1379" s="33"/>
      <c r="AF1379" s="33"/>
      <c r="AG1379" s="33"/>
      <c r="AH1379" s="33"/>
      <c r="AI1379" s="33"/>
      <c r="AJ1379" s="33"/>
      <c r="AK1379" s="216"/>
      <c r="AL1379" s="33"/>
      <c r="AM1379" s="33"/>
      <c r="AN1379" s="33"/>
      <c r="AO1379" s="33"/>
      <c r="AP1379" s="33"/>
    </row>
    <row r="1380" spans="1:42" ht="15.75" customHeight="1">
      <c r="A1380" s="33"/>
      <c r="B1380" s="33"/>
      <c r="C1380" s="33"/>
      <c r="D1380" s="33"/>
      <c r="E1380" s="33"/>
      <c r="F1380" s="199"/>
      <c r="G1380" s="33"/>
      <c r="H1380" s="33"/>
      <c r="I1380" s="33"/>
      <c r="J1380" s="33"/>
      <c r="K1380" s="33"/>
      <c r="L1380" s="33"/>
      <c r="M1380" s="33"/>
      <c r="N1380" s="33"/>
      <c r="O1380" s="33"/>
      <c r="P1380" s="33"/>
      <c r="Q1380" s="33"/>
      <c r="R1380" s="33"/>
      <c r="S1380" s="33"/>
      <c r="T1380" s="33"/>
      <c r="U1380" s="33"/>
      <c r="V1380" s="33"/>
      <c r="W1380" s="33"/>
      <c r="X1380" s="33"/>
      <c r="Y1380" s="33"/>
      <c r="Z1380" s="33"/>
      <c r="AA1380" s="33"/>
      <c r="AB1380" s="33"/>
      <c r="AC1380" s="33"/>
      <c r="AD1380" s="33"/>
      <c r="AE1380" s="33"/>
      <c r="AF1380" s="33"/>
      <c r="AG1380" s="33"/>
      <c r="AH1380" s="33"/>
      <c r="AI1380" s="33"/>
      <c r="AJ1380" s="33"/>
      <c r="AK1380" s="216"/>
      <c r="AL1380" s="33"/>
      <c r="AM1380" s="33"/>
      <c r="AN1380" s="33"/>
      <c r="AO1380" s="33"/>
      <c r="AP1380" s="33"/>
    </row>
    <row r="1381" spans="1:42" ht="15.75" customHeight="1">
      <c r="A1381" s="33"/>
      <c r="B1381" s="33"/>
      <c r="C1381" s="33"/>
      <c r="D1381" s="33"/>
      <c r="E1381" s="33"/>
      <c r="F1381" s="199"/>
      <c r="G1381" s="33"/>
      <c r="H1381" s="33"/>
      <c r="I1381" s="33"/>
      <c r="J1381" s="33"/>
      <c r="K1381" s="33"/>
      <c r="L1381" s="33"/>
      <c r="M1381" s="33"/>
      <c r="N1381" s="33"/>
      <c r="O1381" s="33"/>
      <c r="P1381" s="33"/>
      <c r="Q1381" s="33"/>
      <c r="R1381" s="33"/>
      <c r="S1381" s="33"/>
      <c r="T1381" s="33"/>
      <c r="U1381" s="33"/>
      <c r="V1381" s="33"/>
      <c r="W1381" s="33"/>
      <c r="X1381" s="33"/>
      <c r="Y1381" s="33"/>
      <c r="Z1381" s="33"/>
      <c r="AA1381" s="33"/>
      <c r="AB1381" s="33"/>
      <c r="AC1381" s="33"/>
      <c r="AD1381" s="33"/>
      <c r="AE1381" s="33"/>
      <c r="AF1381" s="33"/>
      <c r="AG1381" s="33"/>
      <c r="AH1381" s="33"/>
      <c r="AI1381" s="33"/>
      <c r="AJ1381" s="33"/>
      <c r="AK1381" s="216"/>
      <c r="AL1381" s="33"/>
      <c r="AM1381" s="33"/>
      <c r="AN1381" s="33"/>
      <c r="AO1381" s="33"/>
      <c r="AP1381" s="33"/>
    </row>
    <row r="1382" spans="1:42" ht="15.75" customHeight="1">
      <c r="A1382" s="33"/>
      <c r="B1382" s="33"/>
      <c r="C1382" s="33"/>
      <c r="D1382" s="33"/>
      <c r="E1382" s="33"/>
      <c r="F1382" s="199"/>
      <c r="G1382" s="33"/>
      <c r="H1382" s="33"/>
      <c r="I1382" s="33"/>
      <c r="J1382" s="33"/>
      <c r="K1382" s="33"/>
      <c r="L1382" s="33"/>
      <c r="M1382" s="33"/>
      <c r="N1382" s="33"/>
      <c r="O1382" s="33"/>
      <c r="P1382" s="33"/>
      <c r="Q1382" s="33"/>
      <c r="R1382" s="33"/>
      <c r="S1382" s="33"/>
      <c r="T1382" s="33"/>
      <c r="U1382" s="33"/>
      <c r="V1382" s="33"/>
      <c r="W1382" s="33"/>
      <c r="X1382" s="33"/>
      <c r="Y1382" s="33"/>
      <c r="Z1382" s="33"/>
      <c r="AA1382" s="33"/>
      <c r="AB1382" s="33"/>
      <c r="AC1382" s="33"/>
      <c r="AD1382" s="33"/>
      <c r="AE1382" s="33"/>
      <c r="AF1382" s="33"/>
      <c r="AG1382" s="33"/>
      <c r="AH1382" s="33"/>
      <c r="AI1382" s="33"/>
      <c r="AJ1382" s="33"/>
      <c r="AK1382" s="216"/>
      <c r="AL1382" s="33"/>
      <c r="AM1382" s="33"/>
      <c r="AN1382" s="33"/>
      <c r="AO1382" s="33"/>
      <c r="AP1382" s="33"/>
    </row>
    <row r="1383" spans="1:42" ht="15.75" customHeight="1">
      <c r="A1383" s="33"/>
      <c r="B1383" s="33"/>
      <c r="C1383" s="33"/>
      <c r="D1383" s="33"/>
      <c r="E1383" s="33"/>
      <c r="F1383" s="199"/>
      <c r="G1383" s="33"/>
      <c r="H1383" s="33"/>
      <c r="I1383" s="33"/>
      <c r="J1383" s="33"/>
      <c r="K1383" s="33"/>
      <c r="L1383" s="33"/>
      <c r="M1383" s="33"/>
      <c r="N1383" s="33"/>
      <c r="O1383" s="33"/>
      <c r="P1383" s="33"/>
      <c r="Q1383" s="33"/>
      <c r="R1383" s="33"/>
      <c r="S1383" s="33"/>
      <c r="T1383" s="33"/>
      <c r="U1383" s="33"/>
      <c r="V1383" s="33"/>
      <c r="W1383" s="33"/>
      <c r="X1383" s="33"/>
      <c r="Y1383" s="33"/>
      <c r="Z1383" s="33"/>
      <c r="AA1383" s="33"/>
      <c r="AB1383" s="33"/>
      <c r="AC1383" s="33"/>
      <c r="AD1383" s="33"/>
      <c r="AE1383" s="33"/>
      <c r="AF1383" s="33"/>
      <c r="AG1383" s="33"/>
      <c r="AH1383" s="33"/>
      <c r="AI1383" s="33"/>
      <c r="AJ1383" s="33"/>
      <c r="AK1383" s="216"/>
      <c r="AL1383" s="33"/>
      <c r="AM1383" s="33"/>
      <c r="AN1383" s="33"/>
      <c r="AO1383" s="33"/>
      <c r="AP1383" s="33"/>
    </row>
    <row r="1384" spans="1:42" ht="15.75" customHeight="1">
      <c r="A1384" s="33"/>
      <c r="B1384" s="33"/>
      <c r="C1384" s="33"/>
      <c r="D1384" s="33"/>
      <c r="E1384" s="33"/>
      <c r="F1384" s="199"/>
      <c r="G1384" s="33"/>
      <c r="H1384" s="33"/>
      <c r="I1384" s="33"/>
      <c r="J1384" s="33"/>
      <c r="K1384" s="33"/>
      <c r="L1384" s="33"/>
      <c r="M1384" s="33"/>
      <c r="N1384" s="33"/>
      <c r="O1384" s="33"/>
      <c r="P1384" s="33"/>
      <c r="Q1384" s="33"/>
      <c r="R1384" s="33"/>
      <c r="S1384" s="33"/>
      <c r="T1384" s="33"/>
      <c r="U1384" s="33"/>
      <c r="V1384" s="33"/>
      <c r="W1384" s="33"/>
      <c r="X1384" s="33"/>
      <c r="Y1384" s="33"/>
      <c r="Z1384" s="33"/>
      <c r="AA1384" s="33"/>
      <c r="AB1384" s="33"/>
      <c r="AC1384" s="33"/>
      <c r="AD1384" s="33"/>
      <c r="AE1384" s="33"/>
      <c r="AF1384" s="33"/>
      <c r="AG1384" s="33"/>
      <c r="AH1384" s="33"/>
      <c r="AI1384" s="33"/>
      <c r="AJ1384" s="33"/>
      <c r="AK1384" s="216"/>
      <c r="AL1384" s="33"/>
      <c r="AM1384" s="33"/>
      <c r="AN1384" s="33"/>
      <c r="AO1384" s="33"/>
      <c r="AP1384" s="33"/>
    </row>
    <row r="1385" spans="1:42" ht="15.75" customHeight="1">
      <c r="A1385" s="33"/>
      <c r="B1385" s="33"/>
      <c r="C1385" s="33"/>
      <c r="D1385" s="33"/>
      <c r="E1385" s="33"/>
      <c r="F1385" s="199"/>
      <c r="G1385" s="33"/>
      <c r="H1385" s="33"/>
      <c r="I1385" s="33"/>
      <c r="J1385" s="33"/>
      <c r="K1385" s="33"/>
      <c r="L1385" s="33"/>
      <c r="M1385" s="33"/>
      <c r="N1385" s="33"/>
      <c r="O1385" s="33"/>
      <c r="P1385" s="33"/>
      <c r="Q1385" s="33"/>
      <c r="R1385" s="33"/>
      <c r="S1385" s="33"/>
      <c r="T1385" s="33"/>
      <c r="U1385" s="33"/>
      <c r="V1385" s="33"/>
      <c r="W1385" s="33"/>
      <c r="X1385" s="33"/>
      <c r="Y1385" s="33"/>
      <c r="Z1385" s="33"/>
      <c r="AA1385" s="33"/>
      <c r="AB1385" s="33"/>
      <c r="AC1385" s="33"/>
      <c r="AD1385" s="33"/>
      <c r="AE1385" s="33"/>
      <c r="AF1385" s="33"/>
      <c r="AG1385" s="33"/>
      <c r="AH1385" s="33"/>
      <c r="AI1385" s="33"/>
      <c r="AJ1385" s="33"/>
      <c r="AK1385" s="216"/>
      <c r="AL1385" s="33"/>
      <c r="AM1385" s="33"/>
      <c r="AN1385" s="33"/>
      <c r="AO1385" s="33"/>
      <c r="AP1385" s="33"/>
    </row>
    <row r="1386" spans="1:42" ht="15.75" customHeight="1">
      <c r="A1386" s="33"/>
      <c r="B1386" s="33"/>
      <c r="C1386" s="33"/>
      <c r="D1386" s="33"/>
      <c r="E1386" s="33"/>
      <c r="F1386" s="199"/>
      <c r="G1386" s="33"/>
      <c r="H1386" s="33"/>
      <c r="I1386" s="33"/>
      <c r="J1386" s="33"/>
      <c r="K1386" s="33"/>
      <c r="L1386" s="33"/>
      <c r="M1386" s="33"/>
      <c r="N1386" s="33"/>
      <c r="O1386" s="33"/>
      <c r="P1386" s="33"/>
      <c r="Q1386" s="33"/>
      <c r="R1386" s="33"/>
      <c r="S1386" s="33"/>
      <c r="T1386" s="33"/>
      <c r="U1386" s="33"/>
      <c r="V1386" s="33"/>
      <c r="W1386" s="33"/>
      <c r="X1386" s="33"/>
      <c r="Y1386" s="33"/>
      <c r="Z1386" s="33"/>
      <c r="AA1386" s="33"/>
      <c r="AB1386" s="33"/>
      <c r="AC1386" s="33"/>
      <c r="AD1386" s="33"/>
      <c r="AE1386" s="33"/>
      <c r="AF1386" s="33"/>
      <c r="AG1386" s="33"/>
      <c r="AH1386" s="33"/>
      <c r="AI1386" s="33"/>
      <c r="AJ1386" s="33"/>
      <c r="AK1386" s="216"/>
      <c r="AL1386" s="33"/>
      <c r="AM1386" s="33"/>
      <c r="AN1386" s="33"/>
      <c r="AO1386" s="33"/>
      <c r="AP1386" s="33"/>
    </row>
    <row r="1387" spans="1:42" ht="15.75" customHeight="1">
      <c r="A1387" s="33"/>
      <c r="B1387" s="33"/>
      <c r="C1387" s="33"/>
      <c r="D1387" s="33"/>
      <c r="E1387" s="33"/>
      <c r="F1387" s="199"/>
      <c r="G1387" s="33"/>
      <c r="H1387" s="33"/>
      <c r="I1387" s="33"/>
      <c r="J1387" s="33"/>
      <c r="K1387" s="33"/>
      <c r="L1387" s="33"/>
      <c r="M1387" s="33"/>
      <c r="N1387" s="33"/>
      <c r="O1387" s="33"/>
      <c r="P1387" s="33"/>
      <c r="Q1387" s="33"/>
      <c r="R1387" s="33"/>
      <c r="S1387" s="33"/>
      <c r="T1387" s="33"/>
      <c r="U1387" s="33"/>
      <c r="V1387" s="33"/>
      <c r="W1387" s="33"/>
      <c r="X1387" s="33"/>
      <c r="Y1387" s="33"/>
      <c r="Z1387" s="33"/>
      <c r="AA1387" s="33"/>
      <c r="AB1387" s="33"/>
      <c r="AC1387" s="33"/>
      <c r="AD1387" s="33"/>
      <c r="AE1387" s="33"/>
      <c r="AF1387" s="33"/>
      <c r="AG1387" s="33"/>
      <c r="AH1387" s="33"/>
      <c r="AI1387" s="33"/>
      <c r="AJ1387" s="33"/>
      <c r="AK1387" s="216"/>
      <c r="AL1387" s="33"/>
      <c r="AM1387" s="33"/>
      <c r="AN1387" s="33"/>
      <c r="AO1387" s="33"/>
      <c r="AP1387" s="33"/>
    </row>
    <row r="1388" spans="1:42" ht="15.75" customHeight="1">
      <c r="A1388" s="33"/>
      <c r="B1388" s="33"/>
      <c r="C1388" s="33"/>
      <c r="D1388" s="33"/>
      <c r="E1388" s="33"/>
      <c r="F1388" s="199"/>
      <c r="G1388" s="33"/>
      <c r="H1388" s="33"/>
      <c r="I1388" s="33"/>
      <c r="J1388" s="33"/>
      <c r="K1388" s="33"/>
      <c r="L1388" s="33"/>
      <c r="M1388" s="33"/>
      <c r="N1388" s="33"/>
      <c r="O1388" s="33"/>
      <c r="P1388" s="33"/>
      <c r="Q1388" s="33"/>
      <c r="R1388" s="33"/>
      <c r="S1388" s="33"/>
      <c r="T1388" s="33"/>
      <c r="U1388" s="33"/>
      <c r="V1388" s="33"/>
      <c r="W1388" s="33"/>
      <c r="X1388" s="33"/>
      <c r="Y1388" s="33"/>
      <c r="Z1388" s="33"/>
      <c r="AA1388" s="33"/>
      <c r="AB1388" s="33"/>
      <c r="AC1388" s="33"/>
      <c r="AD1388" s="33"/>
      <c r="AE1388" s="33"/>
      <c r="AF1388" s="33"/>
      <c r="AG1388" s="33"/>
      <c r="AH1388" s="33"/>
      <c r="AI1388" s="33"/>
      <c r="AJ1388" s="33"/>
      <c r="AK1388" s="216"/>
      <c r="AL1388" s="33"/>
      <c r="AM1388" s="33"/>
      <c r="AN1388" s="33"/>
      <c r="AO1388" s="33"/>
      <c r="AP1388" s="33"/>
    </row>
    <row r="1389" spans="1:42" ht="15.75" customHeight="1">
      <c r="A1389" s="33"/>
      <c r="B1389" s="33"/>
      <c r="C1389" s="33"/>
      <c r="D1389" s="33"/>
      <c r="E1389" s="33"/>
      <c r="F1389" s="199"/>
      <c r="G1389" s="33"/>
      <c r="H1389" s="33"/>
      <c r="I1389" s="33"/>
      <c r="J1389" s="33"/>
      <c r="K1389" s="33"/>
      <c r="L1389" s="33"/>
      <c r="M1389" s="33"/>
      <c r="N1389" s="33"/>
      <c r="O1389" s="33"/>
      <c r="P1389" s="33"/>
      <c r="Q1389" s="33"/>
      <c r="R1389" s="33"/>
      <c r="S1389" s="33"/>
      <c r="T1389" s="33"/>
      <c r="U1389" s="33"/>
      <c r="V1389" s="33"/>
      <c r="W1389" s="33"/>
      <c r="X1389" s="33"/>
      <c r="Y1389" s="33"/>
      <c r="Z1389" s="33"/>
      <c r="AA1389" s="33"/>
      <c r="AB1389" s="33"/>
      <c r="AC1389" s="33"/>
      <c r="AD1389" s="33"/>
      <c r="AE1389" s="33"/>
      <c r="AF1389" s="33"/>
      <c r="AG1389" s="33"/>
      <c r="AH1389" s="33"/>
      <c r="AI1389" s="33"/>
      <c r="AJ1389" s="33"/>
      <c r="AK1389" s="216"/>
      <c r="AL1389" s="33"/>
      <c r="AM1389" s="33"/>
      <c r="AN1389" s="33"/>
      <c r="AO1389" s="33"/>
      <c r="AP1389" s="33"/>
    </row>
    <row r="1390" spans="1:42" ht="15.75" customHeight="1">
      <c r="A1390" s="33"/>
      <c r="B1390" s="33"/>
      <c r="C1390" s="33"/>
      <c r="D1390" s="33"/>
      <c r="E1390" s="33"/>
      <c r="F1390" s="199"/>
      <c r="G1390" s="33"/>
      <c r="H1390" s="33"/>
      <c r="I1390" s="33"/>
      <c r="J1390" s="33"/>
      <c r="K1390" s="33"/>
      <c r="L1390" s="33"/>
      <c r="M1390" s="33"/>
      <c r="N1390" s="33"/>
      <c r="O1390" s="33"/>
      <c r="P1390" s="33"/>
      <c r="Q1390" s="33"/>
      <c r="R1390" s="33"/>
      <c r="S1390" s="33"/>
      <c r="T1390" s="33"/>
      <c r="U1390" s="33"/>
      <c r="V1390" s="33"/>
      <c r="W1390" s="33"/>
      <c r="X1390" s="33"/>
      <c r="Y1390" s="33"/>
      <c r="Z1390" s="33"/>
      <c r="AA1390" s="33"/>
      <c r="AB1390" s="33"/>
      <c r="AC1390" s="33"/>
      <c r="AD1390" s="33"/>
      <c r="AE1390" s="33"/>
      <c r="AF1390" s="33"/>
      <c r="AG1390" s="33"/>
      <c r="AH1390" s="33"/>
      <c r="AI1390" s="33"/>
      <c r="AJ1390" s="33"/>
      <c r="AK1390" s="216"/>
      <c r="AL1390" s="33"/>
      <c r="AM1390" s="33"/>
      <c r="AN1390" s="33"/>
      <c r="AO1390" s="33"/>
      <c r="AP1390" s="33"/>
    </row>
    <row r="1391" spans="1:42" ht="15.75" customHeight="1">
      <c r="A1391" s="33"/>
      <c r="B1391" s="33"/>
      <c r="C1391" s="33"/>
      <c r="D1391" s="33"/>
      <c r="E1391" s="33"/>
      <c r="F1391" s="199"/>
      <c r="G1391" s="33"/>
      <c r="H1391" s="33"/>
      <c r="I1391" s="33"/>
      <c r="J1391" s="33"/>
      <c r="K1391" s="33"/>
      <c r="L1391" s="33"/>
      <c r="M1391" s="33"/>
      <c r="N1391" s="33"/>
      <c r="O1391" s="33"/>
      <c r="P1391" s="33"/>
      <c r="Q1391" s="33"/>
      <c r="R1391" s="33"/>
      <c r="S1391" s="33"/>
      <c r="T1391" s="33"/>
      <c r="U1391" s="33"/>
      <c r="V1391" s="33"/>
      <c r="W1391" s="33"/>
      <c r="X1391" s="33"/>
      <c r="Y1391" s="33"/>
      <c r="Z1391" s="33"/>
      <c r="AA1391" s="33"/>
      <c r="AB1391" s="33"/>
      <c r="AC1391" s="33"/>
      <c r="AD1391" s="33"/>
      <c r="AE1391" s="33"/>
      <c r="AF1391" s="33"/>
      <c r="AG1391" s="33"/>
      <c r="AH1391" s="33"/>
      <c r="AI1391" s="33"/>
      <c r="AJ1391" s="33"/>
      <c r="AK1391" s="216"/>
      <c r="AL1391" s="33"/>
      <c r="AM1391" s="33"/>
      <c r="AN1391" s="33"/>
      <c r="AO1391" s="33"/>
      <c r="AP1391" s="33"/>
    </row>
    <row r="1392" spans="1:42" ht="15.75" customHeight="1">
      <c r="A1392" s="33"/>
      <c r="B1392" s="33"/>
      <c r="C1392" s="33"/>
      <c r="D1392" s="33"/>
      <c r="E1392" s="33"/>
      <c r="F1392" s="199"/>
      <c r="G1392" s="33"/>
      <c r="H1392" s="33"/>
      <c r="I1392" s="33"/>
      <c r="J1392" s="33"/>
      <c r="K1392" s="33"/>
      <c r="L1392" s="33"/>
      <c r="M1392" s="33"/>
      <c r="N1392" s="33"/>
      <c r="O1392" s="33"/>
      <c r="P1392" s="33"/>
      <c r="Q1392" s="33"/>
      <c r="R1392" s="33"/>
      <c r="S1392" s="33"/>
      <c r="T1392" s="33"/>
      <c r="U1392" s="33"/>
      <c r="V1392" s="33"/>
      <c r="W1392" s="33"/>
      <c r="X1392" s="33"/>
      <c r="Y1392" s="33"/>
      <c r="Z1392" s="33"/>
      <c r="AA1392" s="33"/>
      <c r="AB1392" s="33"/>
      <c r="AC1392" s="33"/>
      <c r="AD1392" s="33"/>
      <c r="AE1392" s="33"/>
      <c r="AF1392" s="33"/>
      <c r="AG1392" s="33"/>
      <c r="AH1392" s="33"/>
      <c r="AI1392" s="33"/>
      <c r="AJ1392" s="33"/>
      <c r="AK1392" s="216"/>
      <c r="AL1392" s="33"/>
      <c r="AM1392" s="33"/>
      <c r="AN1392" s="33"/>
      <c r="AO1392" s="33"/>
      <c r="AP1392" s="33"/>
    </row>
    <row r="1393" spans="1:42" ht="15.75" customHeight="1">
      <c r="A1393" s="33"/>
      <c r="B1393" s="33"/>
      <c r="C1393" s="33"/>
      <c r="D1393" s="33"/>
      <c r="E1393" s="33"/>
      <c r="F1393" s="199"/>
      <c r="G1393" s="33"/>
      <c r="H1393" s="33"/>
      <c r="I1393" s="33"/>
      <c r="J1393" s="33"/>
      <c r="K1393" s="33"/>
      <c r="L1393" s="33"/>
      <c r="M1393" s="33"/>
      <c r="N1393" s="33"/>
      <c r="O1393" s="33"/>
      <c r="P1393" s="33"/>
      <c r="Q1393" s="33"/>
      <c r="R1393" s="33"/>
      <c r="S1393" s="33"/>
      <c r="T1393" s="33"/>
      <c r="U1393" s="33"/>
      <c r="V1393" s="33"/>
      <c r="W1393" s="33"/>
      <c r="X1393" s="33"/>
      <c r="Y1393" s="33"/>
      <c r="Z1393" s="33"/>
      <c r="AA1393" s="33"/>
      <c r="AB1393" s="33"/>
      <c r="AC1393" s="33"/>
      <c r="AD1393" s="33"/>
      <c r="AE1393" s="33"/>
      <c r="AF1393" s="33"/>
      <c r="AG1393" s="33"/>
      <c r="AH1393" s="33"/>
      <c r="AI1393" s="33"/>
      <c r="AJ1393" s="33"/>
      <c r="AK1393" s="216"/>
      <c r="AL1393" s="33"/>
      <c r="AM1393" s="33"/>
      <c r="AN1393" s="33"/>
      <c r="AO1393" s="33"/>
      <c r="AP1393" s="33"/>
    </row>
    <row r="1394" spans="1:42" ht="15.75" customHeight="1">
      <c r="A1394" s="33"/>
      <c r="B1394" s="33"/>
      <c r="C1394" s="33"/>
      <c r="D1394" s="33"/>
      <c r="E1394" s="33"/>
      <c r="F1394" s="199"/>
      <c r="G1394" s="33"/>
      <c r="H1394" s="33"/>
      <c r="I1394" s="33"/>
      <c r="J1394" s="33"/>
      <c r="K1394" s="33"/>
      <c r="L1394" s="33"/>
      <c r="M1394" s="33"/>
      <c r="N1394" s="33"/>
      <c r="O1394" s="33"/>
      <c r="P1394" s="33"/>
      <c r="Q1394" s="33"/>
      <c r="R1394" s="33"/>
      <c r="S1394" s="33"/>
      <c r="T1394" s="33"/>
      <c r="U1394" s="33"/>
      <c r="V1394" s="33"/>
      <c r="W1394" s="33"/>
      <c r="X1394" s="33"/>
      <c r="Y1394" s="33"/>
      <c r="Z1394" s="33"/>
      <c r="AA1394" s="33"/>
      <c r="AB1394" s="33"/>
      <c r="AC1394" s="33"/>
      <c r="AD1394" s="33"/>
      <c r="AE1394" s="33"/>
      <c r="AF1394" s="33"/>
      <c r="AG1394" s="33"/>
      <c r="AH1394" s="33"/>
      <c r="AI1394" s="33"/>
      <c r="AJ1394" s="33"/>
      <c r="AK1394" s="216"/>
      <c r="AL1394" s="33"/>
      <c r="AM1394" s="33"/>
      <c r="AN1394" s="33"/>
      <c r="AO1394" s="33"/>
      <c r="AP1394" s="33"/>
    </row>
    <row r="1395" spans="1:42" ht="15.75" customHeight="1">
      <c r="A1395" s="33"/>
      <c r="B1395" s="33"/>
      <c r="C1395" s="33"/>
      <c r="D1395" s="33"/>
      <c r="E1395" s="33"/>
      <c r="F1395" s="199"/>
      <c r="G1395" s="33"/>
      <c r="H1395" s="33"/>
      <c r="I1395" s="33"/>
      <c r="J1395" s="33"/>
      <c r="K1395" s="33"/>
      <c r="L1395" s="33"/>
      <c r="M1395" s="33"/>
      <c r="N1395" s="33"/>
      <c r="O1395" s="33"/>
      <c r="P1395" s="33"/>
      <c r="Q1395" s="33"/>
      <c r="R1395" s="33"/>
      <c r="S1395" s="33"/>
      <c r="T1395" s="33"/>
      <c r="U1395" s="33"/>
      <c r="V1395" s="33"/>
      <c r="W1395" s="33"/>
      <c r="X1395" s="33"/>
      <c r="Y1395" s="33"/>
      <c r="Z1395" s="33"/>
      <c r="AA1395" s="33"/>
      <c r="AB1395" s="33"/>
      <c r="AC1395" s="33"/>
      <c r="AD1395" s="33"/>
      <c r="AE1395" s="33"/>
      <c r="AF1395" s="33"/>
      <c r="AG1395" s="33"/>
      <c r="AH1395" s="33"/>
      <c r="AI1395" s="33"/>
      <c r="AJ1395" s="33"/>
      <c r="AK1395" s="216"/>
      <c r="AL1395" s="33"/>
      <c r="AM1395" s="33"/>
      <c r="AN1395" s="33"/>
      <c r="AO1395" s="33"/>
      <c r="AP1395" s="33"/>
    </row>
    <row r="1396" spans="1:42" ht="15.75" customHeight="1">
      <c r="A1396" s="33"/>
      <c r="B1396" s="33"/>
      <c r="C1396" s="33"/>
      <c r="D1396" s="33"/>
      <c r="E1396" s="33"/>
      <c r="F1396" s="199"/>
      <c r="G1396" s="33"/>
      <c r="H1396" s="33"/>
      <c r="I1396" s="33"/>
      <c r="J1396" s="33"/>
      <c r="K1396" s="33"/>
      <c r="L1396" s="33"/>
      <c r="M1396" s="33"/>
      <c r="N1396" s="33"/>
      <c r="O1396" s="33"/>
      <c r="P1396" s="33"/>
      <c r="Q1396" s="33"/>
      <c r="R1396" s="33"/>
      <c r="S1396" s="33"/>
      <c r="T1396" s="33"/>
      <c r="U1396" s="33"/>
      <c r="V1396" s="33"/>
      <c r="W1396" s="33"/>
      <c r="X1396" s="33"/>
      <c r="Y1396" s="33"/>
      <c r="Z1396" s="33"/>
      <c r="AA1396" s="33"/>
      <c r="AB1396" s="33"/>
      <c r="AC1396" s="33"/>
      <c r="AD1396" s="33"/>
      <c r="AE1396" s="33"/>
      <c r="AF1396" s="33"/>
      <c r="AG1396" s="33"/>
      <c r="AH1396" s="33"/>
      <c r="AI1396" s="33"/>
      <c r="AJ1396" s="33"/>
      <c r="AK1396" s="216"/>
      <c r="AL1396" s="33"/>
      <c r="AM1396" s="33"/>
      <c r="AN1396" s="33"/>
      <c r="AO1396" s="33"/>
      <c r="AP1396" s="33"/>
    </row>
    <row r="1397" spans="1:42" ht="15.75" customHeight="1">
      <c r="A1397" s="33"/>
      <c r="B1397" s="33"/>
      <c r="C1397" s="33"/>
      <c r="D1397" s="33"/>
      <c r="E1397" s="33"/>
      <c r="F1397" s="199"/>
      <c r="G1397" s="33"/>
      <c r="H1397" s="33"/>
      <c r="I1397" s="33"/>
      <c r="J1397" s="33"/>
      <c r="K1397" s="33"/>
      <c r="L1397" s="33"/>
      <c r="M1397" s="33"/>
      <c r="N1397" s="33"/>
      <c r="O1397" s="33"/>
      <c r="P1397" s="33"/>
      <c r="Q1397" s="33"/>
      <c r="R1397" s="33"/>
      <c r="S1397" s="33"/>
      <c r="T1397" s="33"/>
      <c r="U1397" s="33"/>
      <c r="V1397" s="33"/>
      <c r="W1397" s="33"/>
      <c r="X1397" s="33"/>
      <c r="Y1397" s="33"/>
      <c r="Z1397" s="33"/>
      <c r="AA1397" s="33"/>
      <c r="AB1397" s="33"/>
      <c r="AC1397" s="33"/>
      <c r="AD1397" s="33"/>
      <c r="AE1397" s="33"/>
      <c r="AF1397" s="33"/>
      <c r="AG1397" s="33"/>
      <c r="AH1397" s="33"/>
      <c r="AI1397" s="33"/>
      <c r="AJ1397" s="33"/>
      <c r="AK1397" s="216"/>
      <c r="AL1397" s="33"/>
      <c r="AM1397" s="33"/>
      <c r="AN1397" s="33"/>
      <c r="AO1397" s="33"/>
      <c r="AP1397" s="33"/>
    </row>
    <row r="1398" spans="1:42" ht="15.75" customHeight="1">
      <c r="A1398" s="33"/>
      <c r="B1398" s="33"/>
      <c r="C1398" s="33"/>
      <c r="D1398" s="33"/>
      <c r="E1398" s="33"/>
      <c r="F1398" s="199"/>
      <c r="G1398" s="33"/>
      <c r="H1398" s="33"/>
      <c r="I1398" s="33"/>
      <c r="J1398" s="33"/>
      <c r="K1398" s="33"/>
      <c r="L1398" s="33"/>
      <c r="M1398" s="33"/>
      <c r="N1398" s="33"/>
      <c r="O1398" s="33"/>
      <c r="P1398" s="33"/>
      <c r="Q1398" s="33"/>
      <c r="R1398" s="33"/>
      <c r="S1398" s="33"/>
      <c r="T1398" s="33"/>
      <c r="U1398" s="33"/>
      <c r="V1398" s="33"/>
      <c r="W1398" s="33"/>
      <c r="X1398" s="33"/>
      <c r="Y1398" s="33"/>
      <c r="Z1398" s="33"/>
      <c r="AA1398" s="33"/>
      <c r="AB1398" s="33"/>
      <c r="AC1398" s="33"/>
      <c r="AD1398" s="33"/>
      <c r="AE1398" s="33"/>
      <c r="AF1398" s="33"/>
      <c r="AG1398" s="33"/>
      <c r="AH1398" s="33"/>
      <c r="AI1398" s="33"/>
      <c r="AJ1398" s="33"/>
      <c r="AK1398" s="216"/>
      <c r="AL1398" s="33"/>
      <c r="AM1398" s="33"/>
      <c r="AN1398" s="33"/>
      <c r="AO1398" s="33"/>
      <c r="AP1398" s="33"/>
    </row>
    <row r="1399" spans="1:42" ht="15.75" customHeight="1">
      <c r="A1399" s="33"/>
      <c r="B1399" s="33"/>
      <c r="C1399" s="33"/>
      <c r="D1399" s="33"/>
      <c r="E1399" s="33"/>
      <c r="F1399" s="199"/>
      <c r="G1399" s="33"/>
      <c r="H1399" s="33"/>
      <c r="I1399" s="33"/>
      <c r="J1399" s="33"/>
      <c r="K1399" s="33"/>
      <c r="L1399" s="33"/>
      <c r="M1399" s="33"/>
      <c r="N1399" s="33"/>
      <c r="O1399" s="33"/>
      <c r="P1399" s="33"/>
      <c r="Q1399" s="33"/>
      <c r="R1399" s="33"/>
      <c r="S1399" s="33"/>
      <c r="T1399" s="33"/>
      <c r="U1399" s="33"/>
      <c r="V1399" s="33"/>
      <c r="W1399" s="33"/>
      <c r="X1399" s="33"/>
      <c r="Y1399" s="33"/>
      <c r="Z1399" s="33"/>
      <c r="AA1399" s="33"/>
      <c r="AB1399" s="33"/>
      <c r="AC1399" s="33"/>
      <c r="AD1399" s="33"/>
      <c r="AE1399" s="33"/>
      <c r="AF1399" s="33"/>
      <c r="AG1399" s="33"/>
      <c r="AH1399" s="33"/>
      <c r="AI1399" s="33"/>
      <c r="AJ1399" s="33"/>
      <c r="AK1399" s="216"/>
      <c r="AL1399" s="33"/>
      <c r="AM1399" s="33"/>
      <c r="AN1399" s="33"/>
      <c r="AO1399" s="33"/>
      <c r="AP1399" s="33"/>
    </row>
    <row r="1400" spans="1:42" ht="15.75" customHeight="1">
      <c r="A1400" s="33"/>
      <c r="B1400" s="33"/>
      <c r="C1400" s="33"/>
      <c r="D1400" s="33"/>
      <c r="E1400" s="33"/>
      <c r="F1400" s="199"/>
      <c r="G1400" s="33"/>
      <c r="H1400" s="33"/>
      <c r="I1400" s="33"/>
      <c r="J1400" s="33"/>
      <c r="K1400" s="33"/>
      <c r="L1400" s="33"/>
      <c r="M1400" s="33"/>
      <c r="N1400" s="33"/>
      <c r="O1400" s="33"/>
      <c r="P1400" s="33"/>
      <c r="Q1400" s="33"/>
      <c r="R1400" s="33"/>
      <c r="S1400" s="33"/>
      <c r="T1400" s="33"/>
      <c r="U1400" s="33"/>
      <c r="V1400" s="33"/>
      <c r="W1400" s="33"/>
      <c r="X1400" s="33"/>
      <c r="Y1400" s="33"/>
      <c r="Z1400" s="33"/>
      <c r="AA1400" s="33"/>
      <c r="AB1400" s="33"/>
      <c r="AC1400" s="33"/>
      <c r="AD1400" s="33"/>
      <c r="AE1400" s="33"/>
      <c r="AF1400" s="33"/>
      <c r="AG1400" s="33"/>
      <c r="AH1400" s="33"/>
      <c r="AI1400" s="33"/>
      <c r="AJ1400" s="33"/>
      <c r="AK1400" s="216"/>
      <c r="AL1400" s="33"/>
      <c r="AM1400" s="33"/>
      <c r="AN1400" s="33"/>
      <c r="AO1400" s="33"/>
      <c r="AP1400" s="33"/>
    </row>
    <row r="1401" spans="1:42" ht="15.75" customHeight="1">
      <c r="A1401" s="33"/>
      <c r="B1401" s="33"/>
      <c r="C1401" s="33"/>
      <c r="D1401" s="33"/>
      <c r="E1401" s="33"/>
      <c r="F1401" s="199"/>
      <c r="G1401" s="33"/>
      <c r="H1401" s="33"/>
      <c r="I1401" s="33"/>
      <c r="J1401" s="33"/>
      <c r="K1401" s="33"/>
      <c r="L1401" s="33"/>
      <c r="M1401" s="33"/>
      <c r="N1401" s="33"/>
      <c r="O1401" s="33"/>
      <c r="P1401" s="33"/>
      <c r="Q1401" s="33"/>
      <c r="R1401" s="33"/>
      <c r="S1401" s="33"/>
      <c r="T1401" s="33"/>
      <c r="U1401" s="33"/>
      <c r="V1401" s="33"/>
      <c r="W1401" s="33"/>
      <c r="X1401" s="33"/>
      <c r="Y1401" s="33"/>
      <c r="Z1401" s="33"/>
      <c r="AA1401" s="33"/>
      <c r="AB1401" s="33"/>
      <c r="AC1401" s="33"/>
      <c r="AD1401" s="33"/>
      <c r="AE1401" s="33"/>
      <c r="AF1401" s="33"/>
      <c r="AG1401" s="33"/>
      <c r="AH1401" s="33"/>
      <c r="AI1401" s="33"/>
      <c r="AJ1401" s="33"/>
      <c r="AK1401" s="216"/>
      <c r="AL1401" s="33"/>
      <c r="AM1401" s="33"/>
      <c r="AN1401" s="33"/>
      <c r="AO1401" s="33"/>
      <c r="AP1401" s="33"/>
    </row>
    <row r="1402" spans="1:42" ht="15.75" customHeight="1">
      <c r="A1402" s="33"/>
      <c r="B1402" s="33"/>
      <c r="C1402" s="33"/>
      <c r="D1402" s="33"/>
      <c r="E1402" s="33"/>
      <c r="F1402" s="199"/>
      <c r="G1402" s="33"/>
      <c r="H1402" s="33"/>
      <c r="I1402" s="33"/>
      <c r="J1402" s="33"/>
      <c r="K1402" s="33"/>
      <c r="L1402" s="33"/>
      <c r="M1402" s="33"/>
      <c r="N1402" s="33"/>
      <c r="O1402" s="33"/>
      <c r="P1402" s="33"/>
      <c r="Q1402" s="33"/>
      <c r="R1402" s="33"/>
      <c r="S1402" s="33"/>
      <c r="T1402" s="33"/>
      <c r="U1402" s="33"/>
      <c r="V1402" s="33"/>
      <c r="W1402" s="33"/>
      <c r="X1402" s="33"/>
      <c r="Y1402" s="33"/>
      <c r="Z1402" s="33"/>
      <c r="AA1402" s="33"/>
      <c r="AB1402" s="33"/>
      <c r="AC1402" s="33"/>
      <c r="AD1402" s="33"/>
      <c r="AE1402" s="33"/>
      <c r="AF1402" s="33"/>
      <c r="AG1402" s="33"/>
      <c r="AH1402" s="33"/>
      <c r="AI1402" s="33"/>
      <c r="AJ1402" s="33"/>
      <c r="AK1402" s="216"/>
      <c r="AL1402" s="33"/>
      <c r="AM1402" s="33"/>
      <c r="AN1402" s="33"/>
      <c r="AO1402" s="33"/>
      <c r="AP1402" s="33"/>
    </row>
    <row r="1403" spans="1:42" ht="15.75" customHeight="1">
      <c r="A1403" s="33"/>
      <c r="B1403" s="33"/>
      <c r="C1403" s="33"/>
      <c r="D1403" s="33"/>
      <c r="E1403" s="33"/>
      <c r="F1403" s="199"/>
      <c r="G1403" s="33"/>
      <c r="H1403" s="33"/>
      <c r="I1403" s="33"/>
      <c r="J1403" s="33"/>
      <c r="K1403" s="33"/>
      <c r="L1403" s="33"/>
      <c r="M1403" s="33"/>
      <c r="N1403" s="33"/>
      <c r="O1403" s="33"/>
      <c r="P1403" s="33"/>
      <c r="Q1403" s="33"/>
      <c r="R1403" s="33"/>
      <c r="S1403" s="33"/>
      <c r="T1403" s="33"/>
      <c r="U1403" s="33"/>
      <c r="V1403" s="33"/>
      <c r="W1403" s="33"/>
      <c r="X1403" s="33"/>
      <c r="Y1403" s="33"/>
      <c r="Z1403" s="33"/>
      <c r="AA1403" s="33"/>
      <c r="AB1403" s="33"/>
      <c r="AC1403" s="33"/>
      <c r="AD1403" s="33"/>
      <c r="AE1403" s="33"/>
      <c r="AF1403" s="33"/>
      <c r="AG1403" s="33"/>
      <c r="AH1403" s="33"/>
      <c r="AI1403" s="33"/>
      <c r="AJ1403" s="33"/>
      <c r="AK1403" s="216"/>
      <c r="AL1403" s="33"/>
      <c r="AM1403" s="33"/>
      <c r="AN1403" s="33"/>
      <c r="AO1403" s="33"/>
      <c r="AP1403" s="33"/>
    </row>
    <row r="1404" spans="1:42" ht="15.75" customHeight="1">
      <c r="A1404" s="33"/>
      <c r="B1404" s="33"/>
      <c r="C1404" s="33"/>
      <c r="D1404" s="33"/>
      <c r="E1404" s="33"/>
      <c r="F1404" s="199"/>
      <c r="G1404" s="33"/>
      <c r="H1404" s="33"/>
      <c r="I1404" s="33"/>
      <c r="J1404" s="33"/>
      <c r="K1404" s="33"/>
      <c r="L1404" s="33"/>
      <c r="M1404" s="33"/>
      <c r="N1404" s="33"/>
      <c r="O1404" s="33"/>
      <c r="P1404" s="33"/>
      <c r="Q1404" s="33"/>
      <c r="R1404" s="33"/>
      <c r="S1404" s="33"/>
      <c r="T1404" s="33"/>
      <c r="U1404" s="33"/>
      <c r="V1404" s="33"/>
      <c r="W1404" s="33"/>
      <c r="X1404" s="33"/>
      <c r="Y1404" s="33"/>
      <c r="Z1404" s="33"/>
      <c r="AA1404" s="33"/>
      <c r="AB1404" s="33"/>
      <c r="AC1404" s="33"/>
      <c r="AD1404" s="33"/>
      <c r="AE1404" s="33"/>
      <c r="AF1404" s="33"/>
      <c r="AG1404" s="33"/>
      <c r="AH1404" s="33"/>
      <c r="AI1404" s="33"/>
      <c r="AJ1404" s="33"/>
      <c r="AK1404" s="216"/>
      <c r="AL1404" s="33"/>
      <c r="AM1404" s="33"/>
      <c r="AN1404" s="33"/>
      <c r="AO1404" s="33"/>
      <c r="AP1404" s="33"/>
    </row>
    <row r="1405" spans="1:42" ht="15.75" customHeight="1">
      <c r="A1405" s="33"/>
      <c r="B1405" s="33"/>
      <c r="C1405" s="33"/>
      <c r="D1405" s="33"/>
      <c r="E1405" s="33"/>
      <c r="F1405" s="199"/>
      <c r="G1405" s="33"/>
      <c r="H1405" s="33"/>
      <c r="I1405" s="33"/>
      <c r="J1405" s="33"/>
      <c r="K1405" s="33"/>
      <c r="L1405" s="33"/>
      <c r="M1405" s="33"/>
      <c r="N1405" s="33"/>
      <c r="O1405" s="33"/>
      <c r="P1405" s="33"/>
      <c r="Q1405" s="33"/>
      <c r="R1405" s="33"/>
      <c r="S1405" s="33"/>
      <c r="T1405" s="33"/>
      <c r="U1405" s="33"/>
      <c r="V1405" s="33"/>
      <c r="W1405" s="33"/>
      <c r="X1405" s="33"/>
      <c r="Y1405" s="33"/>
      <c r="Z1405" s="33"/>
      <c r="AA1405" s="33"/>
      <c r="AB1405" s="33"/>
      <c r="AC1405" s="33"/>
      <c r="AD1405" s="33"/>
      <c r="AE1405" s="33"/>
      <c r="AF1405" s="33"/>
      <c r="AG1405" s="33"/>
      <c r="AH1405" s="33"/>
      <c r="AI1405" s="33"/>
      <c r="AJ1405" s="33"/>
      <c r="AK1405" s="216"/>
      <c r="AL1405" s="33"/>
      <c r="AM1405" s="33"/>
      <c r="AN1405" s="33"/>
      <c r="AO1405" s="33"/>
      <c r="AP1405" s="33"/>
    </row>
    <row r="1406" spans="1:42" ht="15.75" customHeight="1">
      <c r="A1406" s="33"/>
      <c r="B1406" s="33"/>
      <c r="C1406" s="33"/>
      <c r="D1406" s="33"/>
      <c r="E1406" s="33"/>
      <c r="F1406" s="199"/>
      <c r="G1406" s="33"/>
      <c r="H1406" s="33"/>
      <c r="I1406" s="33"/>
      <c r="J1406" s="33"/>
      <c r="K1406" s="33"/>
      <c r="L1406" s="33"/>
      <c r="M1406" s="33"/>
      <c r="N1406" s="33"/>
      <c r="O1406" s="33"/>
      <c r="P1406" s="33"/>
      <c r="Q1406" s="33"/>
      <c r="R1406" s="33"/>
      <c r="S1406" s="33"/>
      <c r="T1406" s="33"/>
      <c r="U1406" s="33"/>
      <c r="V1406" s="33"/>
      <c r="W1406" s="33"/>
      <c r="X1406" s="33"/>
      <c r="Y1406" s="33"/>
      <c r="Z1406" s="33"/>
      <c r="AA1406" s="33"/>
      <c r="AB1406" s="33"/>
      <c r="AC1406" s="33"/>
      <c r="AD1406" s="33"/>
      <c r="AE1406" s="33"/>
      <c r="AF1406" s="33"/>
      <c r="AG1406" s="33"/>
      <c r="AH1406" s="33"/>
      <c r="AI1406" s="33"/>
      <c r="AJ1406" s="33"/>
      <c r="AK1406" s="216"/>
      <c r="AL1406" s="33"/>
      <c r="AM1406" s="33"/>
      <c r="AN1406" s="33"/>
      <c r="AO1406" s="33"/>
      <c r="AP1406" s="33"/>
    </row>
    <row r="1407" spans="1:42" ht="15.75" customHeight="1">
      <c r="A1407" s="33"/>
      <c r="B1407" s="33"/>
      <c r="C1407" s="33"/>
      <c r="D1407" s="33"/>
      <c r="E1407" s="33"/>
      <c r="F1407" s="199"/>
      <c r="G1407" s="33"/>
      <c r="H1407" s="33"/>
      <c r="I1407" s="33"/>
      <c r="J1407" s="33"/>
      <c r="K1407" s="33"/>
      <c r="L1407" s="33"/>
      <c r="M1407" s="33"/>
      <c r="N1407" s="33"/>
      <c r="O1407" s="33"/>
      <c r="P1407" s="33"/>
      <c r="Q1407" s="33"/>
      <c r="R1407" s="33"/>
      <c r="S1407" s="33"/>
      <c r="T1407" s="33"/>
      <c r="U1407" s="33"/>
      <c r="V1407" s="33"/>
      <c r="W1407" s="33"/>
      <c r="X1407" s="33"/>
      <c r="Y1407" s="33"/>
      <c r="Z1407" s="33"/>
      <c r="AA1407" s="33"/>
      <c r="AB1407" s="33"/>
      <c r="AC1407" s="33"/>
      <c r="AD1407" s="33"/>
      <c r="AE1407" s="33"/>
      <c r="AF1407" s="33"/>
      <c r="AG1407" s="33"/>
      <c r="AH1407" s="33"/>
      <c r="AI1407" s="33"/>
      <c r="AJ1407" s="33"/>
      <c r="AK1407" s="216"/>
      <c r="AL1407" s="33"/>
      <c r="AM1407" s="33"/>
      <c r="AN1407" s="33"/>
      <c r="AO1407" s="33"/>
      <c r="AP1407" s="33"/>
    </row>
    <row r="1408" spans="1:42" ht="15.75" customHeight="1">
      <c r="A1408" s="33"/>
      <c r="B1408" s="33"/>
      <c r="C1408" s="33"/>
      <c r="D1408" s="33"/>
      <c r="E1408" s="33"/>
      <c r="F1408" s="199"/>
      <c r="G1408" s="33"/>
      <c r="H1408" s="33"/>
      <c r="I1408" s="33"/>
      <c r="J1408" s="33"/>
      <c r="K1408" s="33"/>
      <c r="L1408" s="33"/>
      <c r="M1408" s="33"/>
      <c r="N1408" s="33"/>
      <c r="O1408" s="33"/>
      <c r="P1408" s="33"/>
      <c r="Q1408" s="33"/>
      <c r="R1408" s="33"/>
      <c r="S1408" s="33"/>
      <c r="T1408" s="33"/>
      <c r="U1408" s="33"/>
      <c r="V1408" s="33"/>
      <c r="W1408" s="33"/>
      <c r="X1408" s="33"/>
      <c r="Y1408" s="33"/>
      <c r="Z1408" s="33"/>
      <c r="AA1408" s="33"/>
      <c r="AB1408" s="33"/>
      <c r="AC1408" s="33"/>
      <c r="AD1408" s="33"/>
      <c r="AE1408" s="33"/>
      <c r="AF1408" s="33"/>
      <c r="AG1408" s="33"/>
      <c r="AH1408" s="33"/>
      <c r="AI1408" s="33"/>
      <c r="AJ1408" s="33"/>
      <c r="AK1408" s="216"/>
      <c r="AL1408" s="33"/>
      <c r="AM1408" s="33"/>
      <c r="AN1408" s="33"/>
      <c r="AO1408" s="33"/>
      <c r="AP1408" s="33"/>
    </row>
    <row r="1409" spans="1:42" ht="15.75" customHeight="1">
      <c r="A1409" s="33"/>
      <c r="B1409" s="33"/>
      <c r="C1409" s="33"/>
      <c r="D1409" s="33"/>
      <c r="E1409" s="33"/>
      <c r="F1409" s="199"/>
      <c r="G1409" s="33"/>
      <c r="H1409" s="33"/>
      <c r="I1409" s="33"/>
      <c r="J1409" s="33"/>
      <c r="K1409" s="33"/>
      <c r="L1409" s="33"/>
      <c r="M1409" s="33"/>
      <c r="N1409" s="33"/>
      <c r="O1409" s="33"/>
      <c r="P1409" s="33"/>
      <c r="Q1409" s="33"/>
      <c r="R1409" s="33"/>
      <c r="S1409" s="33"/>
      <c r="T1409" s="33"/>
      <c r="U1409" s="33"/>
      <c r="V1409" s="33"/>
      <c r="W1409" s="33"/>
      <c r="X1409" s="33"/>
      <c r="Y1409" s="33"/>
      <c r="Z1409" s="33"/>
      <c r="AA1409" s="33"/>
      <c r="AB1409" s="33"/>
      <c r="AC1409" s="33"/>
      <c r="AD1409" s="33"/>
      <c r="AE1409" s="33"/>
      <c r="AF1409" s="33"/>
      <c r="AG1409" s="33"/>
      <c r="AH1409" s="33"/>
      <c r="AI1409" s="33"/>
      <c r="AJ1409" s="33"/>
      <c r="AK1409" s="216"/>
      <c r="AL1409" s="33"/>
      <c r="AM1409" s="33"/>
      <c r="AN1409" s="33"/>
      <c r="AO1409" s="33"/>
      <c r="AP1409" s="33"/>
    </row>
    <row r="1410" spans="1:42" ht="15.75" customHeight="1">
      <c r="A1410" s="33"/>
      <c r="B1410" s="33"/>
      <c r="C1410" s="33"/>
      <c r="D1410" s="33"/>
      <c r="E1410" s="33"/>
      <c r="F1410" s="199"/>
      <c r="G1410" s="33"/>
      <c r="H1410" s="33"/>
      <c r="I1410" s="33"/>
      <c r="J1410" s="33"/>
      <c r="K1410" s="33"/>
      <c r="L1410" s="33"/>
      <c r="M1410" s="33"/>
      <c r="N1410" s="33"/>
      <c r="O1410" s="33"/>
      <c r="P1410" s="33"/>
      <c r="Q1410" s="33"/>
      <c r="R1410" s="33"/>
      <c r="S1410" s="33"/>
      <c r="T1410" s="33"/>
      <c r="U1410" s="33"/>
      <c r="V1410" s="33"/>
      <c r="W1410" s="33"/>
      <c r="X1410" s="33"/>
      <c r="Y1410" s="33"/>
      <c r="Z1410" s="33"/>
      <c r="AA1410" s="33"/>
      <c r="AB1410" s="33"/>
      <c r="AC1410" s="33"/>
      <c r="AD1410" s="33"/>
      <c r="AE1410" s="33"/>
      <c r="AF1410" s="33"/>
      <c r="AG1410" s="33"/>
      <c r="AH1410" s="33"/>
      <c r="AI1410" s="33"/>
      <c r="AJ1410" s="33"/>
      <c r="AK1410" s="216"/>
      <c r="AL1410" s="33"/>
      <c r="AM1410" s="33"/>
      <c r="AN1410" s="33"/>
      <c r="AO1410" s="33"/>
      <c r="AP1410" s="33"/>
    </row>
    <row r="1411" spans="1:42" ht="15.75" customHeight="1">
      <c r="A1411" s="33"/>
      <c r="B1411" s="33"/>
      <c r="C1411" s="33"/>
      <c r="D1411" s="33"/>
      <c r="E1411" s="33"/>
      <c r="F1411" s="199"/>
      <c r="G1411" s="33"/>
      <c r="H1411" s="33"/>
      <c r="I1411" s="33"/>
      <c r="J1411" s="33"/>
      <c r="K1411" s="33"/>
      <c r="L1411" s="33"/>
      <c r="M1411" s="33"/>
      <c r="N1411" s="33"/>
      <c r="O1411" s="33"/>
      <c r="P1411" s="33"/>
      <c r="Q1411" s="33"/>
      <c r="R1411" s="33"/>
      <c r="S1411" s="33"/>
      <c r="T1411" s="33"/>
      <c r="U1411" s="33"/>
      <c r="V1411" s="33"/>
      <c r="W1411" s="33"/>
      <c r="X1411" s="33"/>
      <c r="Y1411" s="33"/>
      <c r="Z1411" s="33"/>
      <c r="AA1411" s="33"/>
      <c r="AB1411" s="33"/>
      <c r="AC1411" s="33"/>
      <c r="AD1411" s="33"/>
      <c r="AE1411" s="33"/>
      <c r="AF1411" s="33"/>
      <c r="AG1411" s="33"/>
      <c r="AH1411" s="33"/>
      <c r="AI1411" s="33"/>
      <c r="AJ1411" s="33"/>
      <c r="AK1411" s="216"/>
      <c r="AL1411" s="33"/>
      <c r="AM1411" s="33"/>
      <c r="AN1411" s="33"/>
      <c r="AO1411" s="33"/>
      <c r="AP1411" s="33"/>
    </row>
    <row r="1412" spans="1:42" ht="15.75" customHeight="1">
      <c r="A1412" s="33"/>
      <c r="B1412" s="33"/>
      <c r="C1412" s="33"/>
      <c r="D1412" s="33"/>
      <c r="E1412" s="33"/>
      <c r="F1412" s="199"/>
      <c r="G1412" s="33"/>
      <c r="H1412" s="33"/>
      <c r="I1412" s="33"/>
      <c r="J1412" s="33"/>
      <c r="K1412" s="33"/>
      <c r="L1412" s="33"/>
      <c r="M1412" s="33"/>
      <c r="N1412" s="33"/>
      <c r="O1412" s="33"/>
      <c r="P1412" s="33"/>
      <c r="Q1412" s="33"/>
      <c r="R1412" s="33"/>
      <c r="S1412" s="33"/>
      <c r="T1412" s="33"/>
      <c r="U1412" s="33"/>
      <c r="V1412" s="33"/>
      <c r="W1412" s="33"/>
      <c r="X1412" s="33"/>
      <c r="Y1412" s="33"/>
      <c r="Z1412" s="33"/>
      <c r="AA1412" s="33"/>
      <c r="AB1412" s="33"/>
      <c r="AC1412" s="33"/>
      <c r="AD1412" s="33"/>
      <c r="AE1412" s="33"/>
      <c r="AF1412" s="33"/>
      <c r="AG1412" s="33"/>
      <c r="AH1412" s="33"/>
      <c r="AI1412" s="33"/>
      <c r="AJ1412" s="33"/>
      <c r="AK1412" s="216"/>
      <c r="AL1412" s="33"/>
      <c r="AM1412" s="33"/>
      <c r="AN1412" s="33"/>
      <c r="AO1412" s="33"/>
      <c r="AP1412" s="33"/>
    </row>
    <row r="1413" spans="1:42" ht="15.75" customHeight="1">
      <c r="A1413" s="33"/>
      <c r="B1413" s="33"/>
      <c r="C1413" s="33"/>
      <c r="D1413" s="33"/>
      <c r="E1413" s="33"/>
      <c r="F1413" s="199"/>
      <c r="G1413" s="33"/>
      <c r="H1413" s="33"/>
      <c r="I1413" s="33"/>
      <c r="J1413" s="33"/>
      <c r="K1413" s="33"/>
      <c r="L1413" s="33"/>
      <c r="M1413" s="33"/>
      <c r="N1413" s="33"/>
      <c r="O1413" s="33"/>
      <c r="P1413" s="33"/>
      <c r="Q1413" s="33"/>
      <c r="R1413" s="33"/>
      <c r="S1413" s="33"/>
      <c r="T1413" s="33"/>
      <c r="U1413" s="33"/>
      <c r="V1413" s="33"/>
      <c r="W1413" s="33"/>
      <c r="X1413" s="33"/>
      <c r="Y1413" s="33"/>
      <c r="Z1413" s="33"/>
      <c r="AA1413" s="33"/>
      <c r="AB1413" s="33"/>
      <c r="AC1413" s="33"/>
      <c r="AD1413" s="33"/>
      <c r="AE1413" s="33"/>
      <c r="AF1413" s="33"/>
      <c r="AG1413" s="33"/>
      <c r="AH1413" s="33"/>
      <c r="AI1413" s="33"/>
      <c r="AJ1413" s="33"/>
      <c r="AK1413" s="216"/>
      <c r="AL1413" s="33"/>
      <c r="AM1413" s="33"/>
      <c r="AN1413" s="33"/>
      <c r="AO1413" s="33"/>
      <c r="AP1413" s="33"/>
    </row>
    <row r="1414" spans="1:42" ht="15.75" customHeight="1">
      <c r="A1414" s="33"/>
      <c r="B1414" s="33"/>
      <c r="C1414" s="33"/>
      <c r="D1414" s="33"/>
      <c r="E1414" s="33"/>
      <c r="F1414" s="199"/>
      <c r="G1414" s="33"/>
      <c r="H1414" s="33"/>
      <c r="I1414" s="33"/>
      <c r="J1414" s="33"/>
      <c r="K1414" s="33"/>
      <c r="L1414" s="33"/>
      <c r="M1414" s="33"/>
      <c r="N1414" s="33"/>
      <c r="O1414" s="33"/>
      <c r="P1414" s="33"/>
      <c r="Q1414" s="33"/>
      <c r="R1414" s="33"/>
      <c r="S1414" s="33"/>
      <c r="T1414" s="33"/>
      <c r="U1414" s="33"/>
      <c r="V1414" s="33"/>
      <c r="W1414" s="33"/>
      <c r="X1414" s="33"/>
      <c r="Y1414" s="33"/>
      <c r="Z1414" s="33"/>
      <c r="AA1414" s="33"/>
      <c r="AB1414" s="33"/>
      <c r="AC1414" s="33"/>
      <c r="AD1414" s="33"/>
      <c r="AE1414" s="33"/>
      <c r="AF1414" s="33"/>
      <c r="AG1414" s="33"/>
      <c r="AH1414" s="33"/>
      <c r="AI1414" s="33"/>
      <c r="AJ1414" s="33"/>
      <c r="AK1414" s="216"/>
      <c r="AL1414" s="33"/>
      <c r="AM1414" s="33"/>
      <c r="AN1414" s="33"/>
      <c r="AO1414" s="33"/>
      <c r="AP1414" s="33"/>
    </row>
    <row r="1415" spans="1:42" ht="15.75" customHeight="1">
      <c r="A1415" s="33"/>
      <c r="B1415" s="33"/>
      <c r="C1415" s="33"/>
      <c r="D1415" s="33"/>
      <c r="E1415" s="33"/>
      <c r="F1415" s="199"/>
      <c r="G1415" s="33"/>
      <c r="H1415" s="33"/>
      <c r="I1415" s="33"/>
      <c r="J1415" s="33"/>
      <c r="K1415" s="33"/>
      <c r="L1415" s="33"/>
      <c r="M1415" s="33"/>
      <c r="N1415" s="33"/>
      <c r="O1415" s="33"/>
      <c r="P1415" s="33"/>
      <c r="Q1415" s="33"/>
      <c r="R1415" s="33"/>
      <c r="S1415" s="33"/>
      <c r="T1415" s="33"/>
      <c r="U1415" s="33"/>
      <c r="V1415" s="33"/>
      <c r="W1415" s="33"/>
      <c r="X1415" s="33"/>
      <c r="Y1415" s="33"/>
      <c r="Z1415" s="33"/>
      <c r="AA1415" s="33"/>
      <c r="AB1415" s="33"/>
      <c r="AC1415" s="33"/>
      <c r="AD1415" s="33"/>
      <c r="AE1415" s="33"/>
      <c r="AF1415" s="33"/>
      <c r="AG1415" s="33"/>
      <c r="AH1415" s="33"/>
      <c r="AI1415" s="33"/>
      <c r="AJ1415" s="33"/>
      <c r="AK1415" s="216"/>
      <c r="AL1415" s="33"/>
      <c r="AM1415" s="33"/>
      <c r="AN1415" s="33"/>
      <c r="AO1415" s="33"/>
      <c r="AP1415" s="33"/>
    </row>
    <row r="1416" spans="1:42" ht="15.75" customHeight="1">
      <c r="A1416" s="33"/>
      <c r="B1416" s="33"/>
      <c r="C1416" s="33"/>
      <c r="D1416" s="33"/>
      <c r="E1416" s="33"/>
      <c r="F1416" s="199"/>
      <c r="G1416" s="33"/>
      <c r="H1416" s="33"/>
      <c r="I1416" s="33"/>
      <c r="J1416" s="33"/>
      <c r="K1416" s="33"/>
      <c r="L1416" s="33"/>
      <c r="M1416" s="33"/>
      <c r="N1416" s="33"/>
      <c r="O1416" s="33"/>
      <c r="P1416" s="33"/>
      <c r="Q1416" s="33"/>
      <c r="R1416" s="33"/>
      <c r="S1416" s="33"/>
      <c r="T1416" s="33"/>
      <c r="U1416" s="33"/>
      <c r="V1416" s="33"/>
      <c r="W1416" s="33"/>
      <c r="X1416" s="33"/>
      <c r="Y1416" s="33"/>
      <c r="Z1416" s="33"/>
      <c r="AA1416" s="33"/>
      <c r="AB1416" s="33"/>
      <c r="AC1416" s="33"/>
      <c r="AD1416" s="33"/>
      <c r="AE1416" s="33"/>
      <c r="AF1416" s="33"/>
      <c r="AG1416" s="33"/>
      <c r="AH1416" s="33"/>
      <c r="AI1416" s="33"/>
      <c r="AJ1416" s="33"/>
      <c r="AK1416" s="216"/>
      <c r="AL1416" s="33"/>
      <c r="AM1416" s="33"/>
      <c r="AN1416" s="33"/>
      <c r="AO1416" s="33"/>
      <c r="AP1416" s="33"/>
    </row>
    <row r="1417" spans="1:42" ht="15.75" customHeight="1">
      <c r="A1417" s="33"/>
      <c r="B1417" s="33"/>
      <c r="C1417" s="33"/>
      <c r="D1417" s="33"/>
      <c r="E1417" s="33"/>
      <c r="F1417" s="199"/>
      <c r="G1417" s="33"/>
      <c r="H1417" s="33"/>
      <c r="I1417" s="33"/>
      <c r="J1417" s="33"/>
      <c r="K1417" s="33"/>
      <c r="L1417" s="33"/>
      <c r="M1417" s="33"/>
      <c r="N1417" s="33"/>
      <c r="O1417" s="33"/>
      <c r="P1417" s="33"/>
      <c r="Q1417" s="33"/>
      <c r="R1417" s="33"/>
      <c r="S1417" s="33"/>
      <c r="T1417" s="33"/>
      <c r="U1417" s="33"/>
      <c r="V1417" s="33"/>
      <c r="W1417" s="33"/>
      <c r="X1417" s="33"/>
      <c r="Y1417" s="33"/>
      <c r="Z1417" s="33"/>
      <c r="AA1417" s="33"/>
      <c r="AB1417" s="33"/>
      <c r="AC1417" s="33"/>
      <c r="AD1417" s="33"/>
      <c r="AE1417" s="33"/>
      <c r="AF1417" s="33"/>
      <c r="AG1417" s="33"/>
      <c r="AH1417" s="33"/>
      <c r="AI1417" s="33"/>
      <c r="AJ1417" s="33"/>
      <c r="AK1417" s="216"/>
      <c r="AL1417" s="33"/>
      <c r="AM1417" s="33"/>
      <c r="AN1417" s="33"/>
      <c r="AO1417" s="33"/>
      <c r="AP1417" s="33"/>
    </row>
    <row r="1418" spans="1:42" ht="15.75" customHeight="1">
      <c r="A1418" s="33"/>
      <c r="B1418" s="33"/>
      <c r="C1418" s="33"/>
      <c r="D1418" s="33"/>
      <c r="E1418" s="33"/>
      <c r="F1418" s="199"/>
      <c r="G1418" s="33"/>
      <c r="H1418" s="33"/>
      <c r="I1418" s="33"/>
      <c r="J1418" s="33"/>
      <c r="K1418" s="33"/>
      <c r="L1418" s="33"/>
      <c r="M1418" s="33"/>
      <c r="N1418" s="33"/>
      <c r="O1418" s="33"/>
      <c r="P1418" s="33"/>
      <c r="Q1418" s="33"/>
      <c r="R1418" s="33"/>
      <c r="S1418" s="33"/>
      <c r="T1418" s="33"/>
      <c r="U1418" s="33"/>
      <c r="V1418" s="33"/>
      <c r="W1418" s="33"/>
      <c r="X1418" s="33"/>
      <c r="Y1418" s="33"/>
      <c r="Z1418" s="33"/>
      <c r="AA1418" s="33"/>
      <c r="AB1418" s="33"/>
      <c r="AC1418" s="33"/>
      <c r="AD1418" s="33"/>
      <c r="AE1418" s="33"/>
      <c r="AF1418" s="33"/>
      <c r="AG1418" s="33"/>
      <c r="AH1418" s="33"/>
      <c r="AI1418" s="33"/>
      <c r="AJ1418" s="33"/>
      <c r="AK1418" s="216"/>
      <c r="AL1418" s="33"/>
      <c r="AM1418" s="33"/>
      <c r="AN1418" s="33"/>
      <c r="AO1418" s="33"/>
      <c r="AP1418" s="33"/>
    </row>
    <row r="1419" spans="1:42" ht="15.75" customHeight="1">
      <c r="A1419" s="33"/>
      <c r="B1419" s="33"/>
      <c r="C1419" s="33"/>
      <c r="D1419" s="33"/>
      <c r="E1419" s="33"/>
      <c r="F1419" s="199"/>
      <c r="G1419" s="33"/>
      <c r="H1419" s="33"/>
      <c r="I1419" s="33"/>
      <c r="J1419" s="33"/>
      <c r="K1419" s="33"/>
      <c r="L1419" s="33"/>
      <c r="M1419" s="33"/>
      <c r="N1419" s="33"/>
      <c r="O1419" s="33"/>
      <c r="P1419" s="33"/>
      <c r="Q1419" s="33"/>
      <c r="R1419" s="33"/>
      <c r="S1419" s="33"/>
      <c r="T1419" s="33"/>
      <c r="U1419" s="33"/>
      <c r="V1419" s="33"/>
      <c r="W1419" s="33"/>
      <c r="X1419" s="33"/>
      <c r="Y1419" s="33"/>
      <c r="Z1419" s="33"/>
      <c r="AA1419" s="33"/>
      <c r="AB1419" s="33"/>
      <c r="AC1419" s="33"/>
      <c r="AD1419" s="33"/>
      <c r="AE1419" s="33"/>
      <c r="AF1419" s="33"/>
      <c r="AG1419" s="33"/>
      <c r="AH1419" s="33"/>
      <c r="AI1419" s="33"/>
      <c r="AJ1419" s="33"/>
      <c r="AK1419" s="216"/>
      <c r="AL1419" s="33"/>
      <c r="AM1419" s="33"/>
      <c r="AN1419" s="33"/>
      <c r="AO1419" s="33"/>
      <c r="AP1419" s="33"/>
    </row>
    <row r="1420" spans="1:42" ht="15.75" customHeight="1">
      <c r="A1420" s="33"/>
      <c r="B1420" s="33"/>
      <c r="C1420" s="33"/>
      <c r="D1420" s="33"/>
      <c r="E1420" s="33"/>
      <c r="F1420" s="199"/>
      <c r="G1420" s="33"/>
      <c r="H1420" s="33"/>
      <c r="I1420" s="33"/>
      <c r="J1420" s="33"/>
      <c r="K1420" s="33"/>
      <c r="L1420" s="33"/>
      <c r="M1420" s="33"/>
      <c r="N1420" s="33"/>
      <c r="O1420" s="33"/>
      <c r="P1420" s="33"/>
      <c r="Q1420" s="33"/>
      <c r="R1420" s="33"/>
      <c r="S1420" s="33"/>
      <c r="T1420" s="33"/>
      <c r="U1420" s="33"/>
      <c r="V1420" s="33"/>
      <c r="W1420" s="33"/>
      <c r="X1420" s="33"/>
      <c r="Y1420" s="33"/>
      <c r="Z1420" s="33"/>
      <c r="AA1420" s="33"/>
      <c r="AB1420" s="33"/>
      <c r="AC1420" s="33"/>
      <c r="AD1420" s="33"/>
      <c r="AE1420" s="33"/>
      <c r="AF1420" s="33"/>
      <c r="AG1420" s="33"/>
      <c r="AH1420" s="33"/>
      <c r="AI1420" s="33"/>
      <c r="AJ1420" s="33"/>
      <c r="AK1420" s="216"/>
      <c r="AL1420" s="33"/>
      <c r="AM1420" s="33"/>
      <c r="AN1420" s="33"/>
      <c r="AO1420" s="33"/>
      <c r="AP1420" s="33"/>
    </row>
    <row r="1421" spans="1:42" ht="15.75" customHeight="1">
      <c r="A1421" s="33"/>
      <c r="B1421" s="33"/>
      <c r="C1421" s="33"/>
      <c r="D1421" s="33"/>
      <c r="E1421" s="33"/>
      <c r="F1421" s="199"/>
      <c r="G1421" s="33"/>
      <c r="H1421" s="33"/>
      <c r="I1421" s="33"/>
      <c r="J1421" s="33"/>
      <c r="K1421" s="33"/>
      <c r="L1421" s="33"/>
      <c r="M1421" s="33"/>
      <c r="N1421" s="33"/>
      <c r="O1421" s="33"/>
      <c r="P1421" s="33"/>
      <c r="Q1421" s="33"/>
      <c r="R1421" s="33"/>
      <c r="S1421" s="33"/>
      <c r="T1421" s="33"/>
      <c r="U1421" s="33"/>
      <c r="V1421" s="33"/>
      <c r="W1421" s="33"/>
      <c r="X1421" s="33"/>
      <c r="Y1421" s="33"/>
      <c r="Z1421" s="33"/>
      <c r="AA1421" s="33"/>
      <c r="AB1421" s="33"/>
      <c r="AC1421" s="33"/>
      <c r="AD1421" s="33"/>
      <c r="AE1421" s="33"/>
      <c r="AF1421" s="33"/>
      <c r="AG1421" s="33"/>
      <c r="AH1421" s="33"/>
      <c r="AI1421" s="33"/>
      <c r="AJ1421" s="33"/>
      <c r="AK1421" s="216"/>
      <c r="AL1421" s="33"/>
      <c r="AM1421" s="33"/>
      <c r="AN1421" s="33"/>
      <c r="AO1421" s="33"/>
      <c r="AP1421" s="33"/>
    </row>
    <row r="1422" spans="1:42" ht="15.75" customHeight="1">
      <c r="A1422" s="33"/>
      <c r="B1422" s="33"/>
      <c r="C1422" s="33"/>
      <c r="D1422" s="33"/>
      <c r="E1422" s="33"/>
      <c r="F1422" s="199"/>
      <c r="G1422" s="33"/>
      <c r="H1422" s="33"/>
      <c r="I1422" s="33"/>
      <c r="J1422" s="33"/>
      <c r="K1422" s="33"/>
      <c r="L1422" s="33"/>
      <c r="M1422" s="33"/>
      <c r="N1422" s="33"/>
      <c r="O1422" s="33"/>
      <c r="P1422" s="33"/>
      <c r="Q1422" s="33"/>
      <c r="R1422" s="33"/>
      <c r="S1422" s="33"/>
      <c r="T1422" s="33"/>
      <c r="U1422" s="33"/>
      <c r="V1422" s="33"/>
      <c r="W1422" s="33"/>
      <c r="X1422" s="33"/>
      <c r="Y1422" s="33"/>
      <c r="Z1422" s="33"/>
      <c r="AA1422" s="33"/>
      <c r="AB1422" s="33"/>
      <c r="AC1422" s="33"/>
      <c r="AD1422" s="33"/>
      <c r="AE1422" s="33"/>
      <c r="AF1422" s="33"/>
      <c r="AG1422" s="33"/>
      <c r="AH1422" s="33"/>
      <c r="AI1422" s="33"/>
      <c r="AJ1422" s="33"/>
      <c r="AK1422" s="216"/>
      <c r="AL1422" s="33"/>
      <c r="AM1422" s="33"/>
      <c r="AN1422" s="33"/>
      <c r="AO1422" s="33"/>
      <c r="AP1422" s="33"/>
    </row>
    <row r="1423" spans="1:42" ht="15.75" customHeight="1">
      <c r="A1423" s="33"/>
      <c r="B1423" s="33"/>
      <c r="C1423" s="33"/>
      <c r="D1423" s="33"/>
      <c r="E1423" s="33"/>
      <c r="F1423" s="199"/>
      <c r="G1423" s="33"/>
      <c r="H1423" s="33"/>
      <c r="I1423" s="33"/>
      <c r="J1423" s="33"/>
      <c r="K1423" s="33"/>
      <c r="L1423" s="33"/>
      <c r="M1423" s="33"/>
      <c r="N1423" s="33"/>
      <c r="O1423" s="33"/>
      <c r="P1423" s="33"/>
      <c r="Q1423" s="33"/>
      <c r="R1423" s="33"/>
      <c r="S1423" s="33"/>
      <c r="T1423" s="33"/>
      <c r="U1423" s="33"/>
      <c r="V1423" s="33"/>
      <c r="W1423" s="33"/>
      <c r="X1423" s="33"/>
      <c r="Y1423" s="33"/>
      <c r="Z1423" s="33"/>
      <c r="AA1423" s="33"/>
      <c r="AB1423" s="33"/>
      <c r="AC1423" s="33"/>
      <c r="AD1423" s="33"/>
      <c r="AE1423" s="33"/>
      <c r="AF1423" s="33"/>
      <c r="AG1423" s="33"/>
      <c r="AH1423" s="33"/>
      <c r="AI1423" s="33"/>
      <c r="AJ1423" s="33"/>
      <c r="AK1423" s="216"/>
      <c r="AL1423" s="33"/>
      <c r="AM1423" s="33"/>
      <c r="AN1423" s="33"/>
      <c r="AO1423" s="33"/>
      <c r="AP1423" s="33"/>
    </row>
    <row r="1424" spans="1:42" ht="15.75" customHeight="1">
      <c r="A1424" s="33"/>
      <c r="B1424" s="33"/>
      <c r="C1424" s="33"/>
      <c r="D1424" s="33"/>
      <c r="E1424" s="33"/>
      <c r="F1424" s="199"/>
      <c r="G1424" s="33"/>
      <c r="H1424" s="33"/>
      <c r="I1424" s="33"/>
      <c r="J1424" s="33"/>
      <c r="K1424" s="33"/>
      <c r="L1424" s="33"/>
      <c r="M1424" s="33"/>
      <c r="N1424" s="33"/>
      <c r="O1424" s="33"/>
      <c r="P1424" s="33"/>
      <c r="Q1424" s="33"/>
      <c r="R1424" s="33"/>
      <c r="S1424" s="33"/>
      <c r="T1424" s="33"/>
      <c r="U1424" s="33"/>
      <c r="V1424" s="33"/>
      <c r="W1424" s="33"/>
      <c r="X1424" s="33"/>
      <c r="Y1424" s="33"/>
      <c r="Z1424" s="33"/>
      <c r="AA1424" s="33"/>
      <c r="AB1424" s="33"/>
      <c r="AC1424" s="33"/>
      <c r="AD1424" s="33"/>
      <c r="AE1424" s="33"/>
      <c r="AF1424" s="33"/>
      <c r="AG1424" s="33"/>
      <c r="AH1424" s="33"/>
      <c r="AI1424" s="33"/>
      <c r="AJ1424" s="33"/>
      <c r="AK1424" s="216"/>
      <c r="AL1424" s="33"/>
      <c r="AM1424" s="33"/>
      <c r="AN1424" s="33"/>
      <c r="AO1424" s="33"/>
      <c r="AP1424" s="33"/>
    </row>
    <row r="1425" spans="1:42" ht="15.75" customHeight="1">
      <c r="A1425" s="33"/>
      <c r="B1425" s="33"/>
      <c r="C1425" s="33"/>
      <c r="D1425" s="33"/>
      <c r="E1425" s="33"/>
      <c r="F1425" s="199"/>
      <c r="G1425" s="33"/>
      <c r="H1425" s="33"/>
      <c r="I1425" s="33"/>
      <c r="J1425" s="33"/>
      <c r="K1425" s="33"/>
      <c r="L1425" s="33"/>
      <c r="M1425" s="33"/>
      <c r="N1425" s="33"/>
      <c r="O1425" s="33"/>
      <c r="P1425" s="33"/>
      <c r="Q1425" s="33"/>
      <c r="R1425" s="33"/>
      <c r="S1425" s="33"/>
      <c r="T1425" s="33"/>
      <c r="U1425" s="33"/>
      <c r="V1425" s="33"/>
      <c r="W1425" s="33"/>
      <c r="X1425" s="33"/>
      <c r="Y1425" s="33"/>
      <c r="Z1425" s="33"/>
      <c r="AA1425" s="33"/>
      <c r="AB1425" s="33"/>
      <c r="AC1425" s="33"/>
      <c r="AD1425" s="33"/>
      <c r="AE1425" s="33"/>
      <c r="AF1425" s="33"/>
      <c r="AG1425" s="33"/>
      <c r="AH1425" s="33"/>
      <c r="AI1425" s="33"/>
      <c r="AJ1425" s="33"/>
      <c r="AK1425" s="216"/>
      <c r="AL1425" s="33"/>
      <c r="AM1425" s="33"/>
      <c r="AN1425" s="33"/>
      <c r="AO1425" s="33"/>
      <c r="AP1425" s="33"/>
    </row>
    <row r="1426" spans="1:42" ht="15.75" customHeight="1">
      <c r="A1426" s="33"/>
      <c r="B1426" s="33"/>
      <c r="C1426" s="33"/>
      <c r="D1426" s="33"/>
      <c r="E1426" s="33"/>
      <c r="F1426" s="199"/>
      <c r="G1426" s="33"/>
      <c r="H1426" s="33"/>
      <c r="I1426" s="33"/>
      <c r="J1426" s="33"/>
      <c r="K1426" s="33"/>
      <c r="L1426" s="33"/>
      <c r="M1426" s="33"/>
      <c r="N1426" s="33"/>
      <c r="O1426" s="33"/>
      <c r="P1426" s="33"/>
      <c r="Q1426" s="33"/>
      <c r="R1426" s="33"/>
      <c r="S1426" s="33"/>
      <c r="T1426" s="33"/>
      <c r="U1426" s="33"/>
      <c r="V1426" s="33"/>
      <c r="W1426" s="33"/>
      <c r="X1426" s="33"/>
      <c r="Y1426" s="33"/>
      <c r="Z1426" s="33"/>
      <c r="AA1426" s="33"/>
      <c r="AB1426" s="33"/>
      <c r="AC1426" s="33"/>
      <c r="AD1426" s="33"/>
      <c r="AE1426" s="33"/>
      <c r="AF1426" s="33"/>
      <c r="AG1426" s="33"/>
      <c r="AH1426" s="33"/>
      <c r="AI1426" s="33"/>
      <c r="AJ1426" s="33"/>
      <c r="AK1426" s="216"/>
      <c r="AL1426" s="33"/>
      <c r="AM1426" s="33"/>
      <c r="AN1426" s="33"/>
      <c r="AO1426" s="33"/>
      <c r="AP1426" s="33"/>
    </row>
    <row r="1427" spans="1:42" ht="15.75" customHeight="1">
      <c r="A1427" s="33"/>
      <c r="B1427" s="33"/>
      <c r="C1427" s="33"/>
      <c r="D1427" s="33"/>
      <c r="E1427" s="33"/>
      <c r="F1427" s="199"/>
      <c r="G1427" s="33"/>
      <c r="H1427" s="33"/>
      <c r="I1427" s="33"/>
      <c r="J1427" s="33"/>
      <c r="K1427" s="33"/>
      <c r="L1427" s="33"/>
      <c r="M1427" s="33"/>
      <c r="N1427" s="33"/>
      <c r="O1427" s="33"/>
      <c r="P1427" s="33"/>
      <c r="Q1427" s="33"/>
      <c r="R1427" s="33"/>
      <c r="S1427" s="33"/>
      <c r="T1427" s="33"/>
      <c r="U1427" s="33"/>
      <c r="V1427" s="33"/>
      <c r="W1427" s="33"/>
      <c r="X1427" s="33"/>
      <c r="Y1427" s="33"/>
      <c r="Z1427" s="33"/>
      <c r="AA1427" s="33"/>
      <c r="AB1427" s="33"/>
      <c r="AC1427" s="33"/>
      <c r="AD1427" s="33"/>
      <c r="AE1427" s="33"/>
      <c r="AF1427" s="33"/>
      <c r="AG1427" s="33"/>
      <c r="AH1427" s="33"/>
      <c r="AI1427" s="33"/>
      <c r="AJ1427" s="33"/>
      <c r="AK1427" s="216"/>
      <c r="AL1427" s="33"/>
      <c r="AM1427" s="33"/>
      <c r="AN1427" s="33"/>
      <c r="AO1427" s="33"/>
      <c r="AP1427" s="33"/>
    </row>
    <row r="1428" spans="1:42" ht="15.75" customHeight="1">
      <c r="A1428" s="33"/>
      <c r="B1428" s="33"/>
      <c r="C1428" s="33"/>
      <c r="D1428" s="33"/>
      <c r="E1428" s="33"/>
      <c r="F1428" s="199"/>
      <c r="G1428" s="33"/>
      <c r="H1428" s="33"/>
      <c r="I1428" s="33"/>
      <c r="J1428" s="33"/>
      <c r="K1428" s="33"/>
      <c r="L1428" s="33"/>
      <c r="M1428" s="33"/>
      <c r="N1428" s="33"/>
      <c r="O1428" s="33"/>
      <c r="P1428" s="33"/>
      <c r="Q1428" s="33"/>
      <c r="R1428" s="33"/>
      <c r="S1428" s="33"/>
      <c r="T1428" s="33"/>
      <c r="U1428" s="33"/>
      <c r="V1428" s="33"/>
      <c r="W1428" s="33"/>
      <c r="X1428" s="33"/>
      <c r="Y1428" s="33"/>
      <c r="Z1428" s="33"/>
      <c r="AA1428" s="33"/>
      <c r="AB1428" s="33"/>
      <c r="AC1428" s="33"/>
      <c r="AD1428" s="33"/>
      <c r="AE1428" s="33"/>
      <c r="AF1428" s="33"/>
      <c r="AG1428" s="33"/>
      <c r="AH1428" s="33"/>
      <c r="AI1428" s="33"/>
      <c r="AJ1428" s="33"/>
      <c r="AK1428" s="216"/>
      <c r="AL1428" s="33"/>
      <c r="AM1428" s="33"/>
      <c r="AN1428" s="33"/>
      <c r="AO1428" s="33"/>
      <c r="AP1428" s="33"/>
    </row>
    <row r="1429" spans="1:42" ht="15.75" customHeight="1">
      <c r="A1429" s="33"/>
      <c r="B1429" s="33"/>
      <c r="C1429" s="33"/>
      <c r="D1429" s="33"/>
      <c r="E1429" s="33"/>
      <c r="F1429" s="199"/>
      <c r="G1429" s="33"/>
      <c r="H1429" s="33"/>
      <c r="I1429" s="33"/>
      <c r="J1429" s="33"/>
      <c r="K1429" s="33"/>
      <c r="L1429" s="33"/>
      <c r="M1429" s="33"/>
      <c r="N1429" s="33"/>
      <c r="O1429" s="33"/>
      <c r="P1429" s="33"/>
      <c r="Q1429" s="33"/>
      <c r="R1429" s="33"/>
      <c r="S1429" s="33"/>
      <c r="T1429" s="33"/>
      <c r="U1429" s="33"/>
      <c r="V1429" s="33"/>
      <c r="W1429" s="33"/>
      <c r="X1429" s="33"/>
      <c r="Y1429" s="33"/>
      <c r="Z1429" s="33"/>
      <c r="AA1429" s="33"/>
      <c r="AB1429" s="33"/>
      <c r="AC1429" s="33"/>
      <c r="AD1429" s="33"/>
      <c r="AE1429" s="33"/>
      <c r="AF1429" s="33"/>
      <c r="AG1429" s="33"/>
      <c r="AH1429" s="33"/>
      <c r="AI1429" s="33"/>
      <c r="AJ1429" s="33"/>
      <c r="AK1429" s="216"/>
      <c r="AL1429" s="33"/>
      <c r="AM1429" s="33"/>
      <c r="AN1429" s="33"/>
      <c r="AO1429" s="33"/>
      <c r="AP1429" s="33"/>
    </row>
    <row r="1430" spans="1:42" ht="15.75" customHeight="1">
      <c r="A1430" s="33"/>
      <c r="B1430" s="33"/>
      <c r="C1430" s="33"/>
      <c r="D1430" s="33"/>
      <c r="E1430" s="33"/>
      <c r="F1430" s="199"/>
      <c r="G1430" s="33"/>
      <c r="H1430" s="33"/>
      <c r="I1430" s="33"/>
      <c r="J1430" s="33"/>
      <c r="K1430" s="33"/>
      <c r="L1430" s="33"/>
      <c r="M1430" s="33"/>
      <c r="N1430" s="33"/>
      <c r="O1430" s="33"/>
      <c r="P1430" s="33"/>
      <c r="Q1430" s="33"/>
      <c r="R1430" s="33"/>
      <c r="S1430" s="33"/>
      <c r="T1430" s="33"/>
      <c r="U1430" s="33"/>
      <c r="V1430" s="33"/>
      <c r="W1430" s="33"/>
      <c r="X1430" s="33"/>
      <c r="Y1430" s="33"/>
      <c r="Z1430" s="33"/>
      <c r="AA1430" s="33"/>
      <c r="AB1430" s="33"/>
      <c r="AC1430" s="33"/>
      <c r="AD1430" s="33"/>
      <c r="AE1430" s="33"/>
      <c r="AF1430" s="33"/>
      <c r="AG1430" s="33"/>
      <c r="AH1430" s="33"/>
      <c r="AI1430" s="33"/>
      <c r="AJ1430" s="33"/>
      <c r="AK1430" s="216"/>
      <c r="AL1430" s="33"/>
      <c r="AM1430" s="33"/>
      <c r="AN1430" s="33"/>
      <c r="AO1430" s="33"/>
      <c r="AP1430" s="33"/>
    </row>
    <row r="1431" spans="1:42" ht="15.75" customHeight="1">
      <c r="A1431" s="33"/>
      <c r="B1431" s="33"/>
      <c r="C1431" s="33"/>
      <c r="D1431" s="33"/>
      <c r="E1431" s="33"/>
      <c r="F1431" s="199"/>
      <c r="G1431" s="33"/>
      <c r="H1431" s="33"/>
      <c r="I1431" s="33"/>
      <c r="J1431" s="33"/>
      <c r="K1431" s="33"/>
      <c r="L1431" s="33"/>
      <c r="M1431" s="33"/>
      <c r="N1431" s="33"/>
      <c r="O1431" s="33"/>
      <c r="P1431" s="33"/>
      <c r="Q1431" s="33"/>
      <c r="R1431" s="33"/>
      <c r="S1431" s="33"/>
      <c r="T1431" s="33"/>
      <c r="U1431" s="33"/>
      <c r="V1431" s="33"/>
      <c r="W1431" s="33"/>
      <c r="X1431" s="33"/>
      <c r="Y1431" s="33"/>
      <c r="Z1431" s="33"/>
      <c r="AA1431" s="33"/>
      <c r="AB1431" s="33"/>
      <c r="AC1431" s="33"/>
      <c r="AD1431" s="33"/>
      <c r="AE1431" s="33"/>
      <c r="AF1431" s="33"/>
      <c r="AG1431" s="33"/>
      <c r="AH1431" s="33"/>
      <c r="AI1431" s="33"/>
      <c r="AJ1431" s="33"/>
      <c r="AK1431" s="216"/>
      <c r="AL1431" s="33"/>
      <c r="AM1431" s="33"/>
      <c r="AN1431" s="33"/>
      <c r="AO1431" s="33"/>
      <c r="AP1431" s="33"/>
    </row>
    <row r="1432" spans="1:42" ht="15.75" customHeight="1">
      <c r="A1432" s="33"/>
      <c r="B1432" s="33"/>
      <c r="C1432" s="33"/>
      <c r="D1432" s="33"/>
      <c r="E1432" s="33"/>
      <c r="F1432" s="199"/>
      <c r="G1432" s="33"/>
      <c r="H1432" s="33"/>
      <c r="I1432" s="33"/>
      <c r="J1432" s="33"/>
      <c r="K1432" s="33"/>
      <c r="L1432" s="33"/>
      <c r="M1432" s="33"/>
      <c r="N1432" s="33"/>
      <c r="O1432" s="33"/>
      <c r="P1432" s="33"/>
      <c r="Q1432" s="33"/>
      <c r="R1432" s="33"/>
      <c r="S1432" s="33"/>
      <c r="T1432" s="33"/>
      <c r="U1432" s="33"/>
      <c r="V1432" s="33"/>
      <c r="W1432" s="33"/>
      <c r="X1432" s="33"/>
      <c r="Y1432" s="33"/>
      <c r="Z1432" s="33"/>
      <c r="AA1432" s="33"/>
      <c r="AB1432" s="33"/>
      <c r="AC1432" s="33"/>
      <c r="AD1432" s="33"/>
      <c r="AE1432" s="33"/>
      <c r="AF1432" s="33"/>
      <c r="AG1432" s="33"/>
      <c r="AH1432" s="33"/>
      <c r="AI1432" s="33"/>
      <c r="AJ1432" s="33"/>
      <c r="AK1432" s="216"/>
      <c r="AL1432" s="33"/>
      <c r="AM1432" s="33"/>
      <c r="AN1432" s="33"/>
      <c r="AO1432" s="33"/>
      <c r="AP1432" s="33"/>
    </row>
    <row r="1433" spans="1:42" ht="15.75" customHeight="1">
      <c r="A1433" s="33"/>
      <c r="B1433" s="33"/>
      <c r="C1433" s="33"/>
      <c r="D1433" s="33"/>
      <c r="E1433" s="33"/>
      <c r="F1433" s="199"/>
      <c r="G1433" s="33"/>
      <c r="H1433" s="33"/>
      <c r="I1433" s="33"/>
      <c r="J1433" s="33"/>
      <c r="K1433" s="33"/>
      <c r="L1433" s="33"/>
      <c r="M1433" s="33"/>
      <c r="N1433" s="33"/>
      <c r="O1433" s="33"/>
      <c r="P1433" s="33"/>
      <c r="Q1433" s="33"/>
      <c r="R1433" s="33"/>
      <c r="S1433" s="33"/>
      <c r="T1433" s="33"/>
      <c r="U1433" s="33"/>
      <c r="V1433" s="33"/>
      <c r="W1433" s="33"/>
      <c r="X1433" s="33"/>
      <c r="Y1433" s="33"/>
      <c r="Z1433" s="33"/>
      <c r="AA1433" s="33"/>
      <c r="AB1433" s="33"/>
      <c r="AC1433" s="33"/>
      <c r="AD1433" s="33"/>
      <c r="AE1433" s="33"/>
      <c r="AF1433" s="33"/>
      <c r="AG1433" s="33"/>
      <c r="AH1433" s="33"/>
      <c r="AI1433" s="33"/>
      <c r="AJ1433" s="33"/>
      <c r="AK1433" s="216"/>
      <c r="AL1433" s="33"/>
      <c r="AM1433" s="33"/>
      <c r="AN1433" s="33"/>
      <c r="AO1433" s="33"/>
      <c r="AP1433" s="33"/>
    </row>
    <row r="1434" spans="1:42" ht="15.75" customHeight="1">
      <c r="A1434" s="33"/>
      <c r="B1434" s="33"/>
      <c r="C1434" s="33"/>
      <c r="D1434" s="33"/>
      <c r="E1434" s="33"/>
      <c r="F1434" s="199"/>
      <c r="G1434" s="33"/>
      <c r="H1434" s="33"/>
      <c r="I1434" s="33"/>
      <c r="J1434" s="33"/>
      <c r="K1434" s="33"/>
      <c r="L1434" s="33"/>
      <c r="M1434" s="33"/>
      <c r="N1434" s="33"/>
      <c r="O1434" s="33"/>
      <c r="P1434" s="33"/>
      <c r="Q1434" s="33"/>
      <c r="R1434" s="33"/>
      <c r="S1434" s="33"/>
      <c r="T1434" s="33"/>
      <c r="U1434" s="33"/>
      <c r="V1434" s="33"/>
      <c r="W1434" s="33"/>
      <c r="X1434" s="33"/>
      <c r="Y1434" s="33"/>
      <c r="Z1434" s="33"/>
      <c r="AA1434" s="33"/>
      <c r="AB1434" s="33"/>
      <c r="AC1434" s="33"/>
      <c r="AD1434" s="33"/>
      <c r="AE1434" s="33"/>
      <c r="AF1434" s="33"/>
      <c r="AG1434" s="33"/>
      <c r="AH1434" s="33"/>
      <c r="AI1434" s="33"/>
      <c r="AJ1434" s="33"/>
      <c r="AK1434" s="216"/>
      <c r="AL1434" s="33"/>
      <c r="AM1434" s="33"/>
      <c r="AN1434" s="33"/>
      <c r="AO1434" s="33"/>
      <c r="AP1434" s="33"/>
    </row>
    <row r="1435" spans="1:42" ht="15.75" customHeight="1">
      <c r="A1435" s="33"/>
      <c r="B1435" s="33"/>
      <c r="C1435" s="33"/>
      <c r="D1435" s="33"/>
      <c r="E1435" s="33"/>
      <c r="F1435" s="199"/>
      <c r="G1435" s="33"/>
      <c r="H1435" s="33"/>
      <c r="I1435" s="33"/>
      <c r="J1435" s="33"/>
      <c r="K1435" s="33"/>
      <c r="L1435" s="33"/>
      <c r="M1435" s="33"/>
      <c r="N1435" s="33"/>
      <c r="O1435" s="33"/>
      <c r="P1435" s="33"/>
      <c r="Q1435" s="33"/>
      <c r="R1435" s="33"/>
      <c r="S1435" s="33"/>
      <c r="T1435" s="33"/>
      <c r="U1435" s="33"/>
      <c r="V1435" s="33"/>
      <c r="W1435" s="33"/>
      <c r="X1435" s="33"/>
      <c r="Y1435" s="33"/>
      <c r="Z1435" s="33"/>
      <c r="AA1435" s="33"/>
      <c r="AB1435" s="33"/>
      <c r="AC1435" s="33"/>
      <c r="AD1435" s="33"/>
      <c r="AE1435" s="33"/>
      <c r="AF1435" s="33"/>
      <c r="AG1435" s="33"/>
      <c r="AH1435" s="33"/>
      <c r="AI1435" s="33"/>
      <c r="AJ1435" s="33"/>
      <c r="AK1435" s="216"/>
      <c r="AL1435" s="33"/>
      <c r="AM1435" s="33"/>
      <c r="AN1435" s="33"/>
      <c r="AO1435" s="33"/>
      <c r="AP1435" s="33"/>
    </row>
    <row r="1436" spans="1:42" ht="15.75" customHeight="1">
      <c r="A1436" s="33"/>
      <c r="B1436" s="33"/>
      <c r="C1436" s="33"/>
      <c r="D1436" s="33"/>
      <c r="E1436" s="33"/>
      <c r="F1436" s="199"/>
      <c r="G1436" s="33"/>
      <c r="H1436" s="33"/>
      <c r="I1436" s="33"/>
      <c r="J1436" s="33"/>
      <c r="K1436" s="33"/>
      <c r="L1436" s="33"/>
      <c r="M1436" s="33"/>
      <c r="N1436" s="33"/>
      <c r="O1436" s="33"/>
      <c r="P1436" s="33"/>
      <c r="Q1436" s="33"/>
      <c r="R1436" s="33"/>
      <c r="S1436" s="33"/>
      <c r="T1436" s="33"/>
      <c r="U1436" s="33"/>
      <c r="V1436" s="33"/>
      <c r="W1436" s="33"/>
      <c r="X1436" s="33"/>
      <c r="Y1436" s="33"/>
      <c r="Z1436" s="33"/>
      <c r="AA1436" s="33"/>
      <c r="AB1436" s="33"/>
      <c r="AC1436" s="33"/>
      <c r="AD1436" s="33"/>
      <c r="AE1436" s="33"/>
      <c r="AF1436" s="33"/>
      <c r="AG1436" s="33"/>
      <c r="AH1436" s="33"/>
      <c r="AI1436" s="33"/>
      <c r="AJ1436" s="33"/>
      <c r="AK1436" s="216"/>
      <c r="AL1436" s="33"/>
      <c r="AM1436" s="33"/>
      <c r="AN1436" s="33"/>
      <c r="AO1436" s="33"/>
      <c r="AP1436" s="33"/>
    </row>
    <row r="1437" spans="1:42" ht="15.75" customHeight="1">
      <c r="A1437" s="33"/>
      <c r="B1437" s="33"/>
      <c r="C1437" s="33"/>
      <c r="D1437" s="33"/>
      <c r="E1437" s="33"/>
      <c r="F1437" s="199"/>
      <c r="G1437" s="33"/>
      <c r="H1437" s="33"/>
      <c r="I1437" s="33"/>
      <c r="J1437" s="33"/>
      <c r="K1437" s="33"/>
      <c r="L1437" s="33"/>
      <c r="M1437" s="33"/>
      <c r="N1437" s="33"/>
      <c r="O1437" s="33"/>
      <c r="P1437" s="33"/>
      <c r="Q1437" s="33"/>
      <c r="R1437" s="33"/>
      <c r="S1437" s="33"/>
      <c r="T1437" s="33"/>
      <c r="U1437" s="33"/>
      <c r="V1437" s="33"/>
      <c r="W1437" s="33"/>
      <c r="X1437" s="33"/>
      <c r="Y1437" s="33"/>
      <c r="Z1437" s="33"/>
      <c r="AA1437" s="33"/>
      <c r="AB1437" s="33"/>
      <c r="AC1437" s="33"/>
      <c r="AD1437" s="33"/>
      <c r="AE1437" s="33"/>
      <c r="AF1437" s="33"/>
      <c r="AG1437" s="33"/>
      <c r="AH1437" s="33"/>
      <c r="AI1437" s="33"/>
      <c r="AJ1437" s="33"/>
      <c r="AK1437" s="216"/>
      <c r="AL1437" s="33"/>
      <c r="AM1437" s="33"/>
      <c r="AN1437" s="33"/>
      <c r="AO1437" s="33"/>
      <c r="AP1437" s="33"/>
    </row>
    <row r="1438" spans="1:42" ht="15.75" customHeight="1">
      <c r="A1438" s="33"/>
      <c r="B1438" s="33"/>
      <c r="C1438" s="33"/>
      <c r="D1438" s="33"/>
      <c r="E1438" s="33"/>
      <c r="F1438" s="199"/>
      <c r="G1438" s="33"/>
      <c r="H1438" s="33"/>
      <c r="I1438" s="33"/>
      <c r="J1438" s="33"/>
      <c r="K1438" s="33"/>
      <c r="L1438" s="33"/>
      <c r="M1438" s="33"/>
      <c r="N1438" s="33"/>
      <c r="O1438" s="33"/>
      <c r="P1438" s="33"/>
      <c r="Q1438" s="33"/>
      <c r="R1438" s="33"/>
      <c r="S1438" s="33"/>
      <c r="T1438" s="33"/>
      <c r="U1438" s="33"/>
      <c r="V1438" s="33"/>
      <c r="W1438" s="33"/>
      <c r="X1438" s="33"/>
      <c r="Y1438" s="33"/>
      <c r="Z1438" s="33"/>
      <c r="AA1438" s="33"/>
      <c r="AB1438" s="33"/>
      <c r="AC1438" s="33"/>
      <c r="AD1438" s="33"/>
      <c r="AE1438" s="33"/>
      <c r="AF1438" s="33"/>
      <c r="AG1438" s="33"/>
      <c r="AH1438" s="33"/>
      <c r="AI1438" s="33"/>
      <c r="AJ1438" s="33"/>
      <c r="AK1438" s="216"/>
      <c r="AL1438" s="33"/>
      <c r="AM1438" s="33"/>
      <c r="AN1438" s="33"/>
      <c r="AO1438" s="33"/>
      <c r="AP1438" s="33"/>
    </row>
    <row r="1439" spans="1:42" ht="15.75" customHeight="1">
      <c r="A1439" s="33"/>
      <c r="B1439" s="33"/>
      <c r="C1439" s="33"/>
      <c r="D1439" s="33"/>
      <c r="E1439" s="33"/>
      <c r="F1439" s="199"/>
      <c r="G1439" s="33"/>
      <c r="H1439" s="33"/>
      <c r="I1439" s="33"/>
      <c r="J1439" s="33"/>
      <c r="K1439" s="33"/>
      <c r="L1439" s="33"/>
      <c r="M1439" s="33"/>
      <c r="N1439" s="33"/>
      <c r="O1439" s="33"/>
      <c r="P1439" s="33"/>
      <c r="Q1439" s="33"/>
      <c r="R1439" s="33"/>
      <c r="S1439" s="33"/>
      <c r="T1439" s="33"/>
      <c r="U1439" s="33"/>
      <c r="V1439" s="33"/>
      <c r="W1439" s="33"/>
      <c r="X1439" s="33"/>
      <c r="Y1439" s="33"/>
      <c r="Z1439" s="33"/>
      <c r="AA1439" s="33"/>
      <c r="AB1439" s="33"/>
      <c r="AC1439" s="33"/>
      <c r="AD1439" s="33"/>
      <c r="AE1439" s="33"/>
      <c r="AF1439" s="33"/>
      <c r="AG1439" s="33"/>
      <c r="AH1439" s="33"/>
      <c r="AI1439" s="33"/>
      <c r="AJ1439" s="33"/>
      <c r="AK1439" s="216"/>
      <c r="AL1439" s="33"/>
      <c r="AM1439" s="33"/>
      <c r="AN1439" s="33"/>
      <c r="AO1439" s="33"/>
      <c r="AP1439" s="33"/>
    </row>
    <row r="1440" spans="1:42" ht="15.75" customHeight="1">
      <c r="A1440" s="33"/>
      <c r="B1440" s="33"/>
      <c r="C1440" s="33"/>
      <c r="D1440" s="33"/>
      <c r="E1440" s="33"/>
      <c r="F1440" s="199"/>
      <c r="G1440" s="33"/>
      <c r="H1440" s="33"/>
      <c r="I1440" s="33"/>
      <c r="J1440" s="33"/>
      <c r="K1440" s="33"/>
      <c r="L1440" s="33"/>
      <c r="M1440" s="33"/>
      <c r="N1440" s="33"/>
      <c r="O1440" s="33"/>
      <c r="P1440" s="33"/>
      <c r="Q1440" s="33"/>
      <c r="R1440" s="33"/>
      <c r="S1440" s="33"/>
      <c r="T1440" s="33"/>
      <c r="U1440" s="33"/>
      <c r="V1440" s="33"/>
      <c r="W1440" s="33"/>
      <c r="X1440" s="33"/>
      <c r="Y1440" s="33"/>
      <c r="Z1440" s="33"/>
      <c r="AA1440" s="33"/>
      <c r="AB1440" s="33"/>
      <c r="AC1440" s="33"/>
      <c r="AD1440" s="33"/>
      <c r="AE1440" s="33"/>
      <c r="AF1440" s="33"/>
      <c r="AG1440" s="33"/>
      <c r="AH1440" s="33"/>
      <c r="AI1440" s="33"/>
      <c r="AJ1440" s="33"/>
      <c r="AK1440" s="216"/>
      <c r="AL1440" s="33"/>
      <c r="AM1440" s="33"/>
      <c r="AN1440" s="33"/>
      <c r="AO1440" s="33"/>
      <c r="AP1440" s="33"/>
    </row>
    <row r="1441" spans="1:42" ht="15.75" customHeight="1">
      <c r="A1441" s="33"/>
      <c r="B1441" s="33"/>
      <c r="C1441" s="33"/>
      <c r="D1441" s="33"/>
      <c r="E1441" s="33"/>
      <c r="F1441" s="199"/>
      <c r="G1441" s="33"/>
      <c r="H1441" s="33"/>
      <c r="I1441" s="33"/>
      <c r="J1441" s="33"/>
      <c r="K1441" s="33"/>
      <c r="L1441" s="33"/>
      <c r="M1441" s="33"/>
      <c r="N1441" s="33"/>
      <c r="O1441" s="33"/>
      <c r="P1441" s="33"/>
      <c r="Q1441" s="33"/>
      <c r="R1441" s="33"/>
      <c r="S1441" s="33"/>
      <c r="T1441" s="33"/>
      <c r="U1441" s="33"/>
      <c r="V1441" s="33"/>
      <c r="W1441" s="33"/>
      <c r="X1441" s="33"/>
      <c r="Y1441" s="33"/>
      <c r="Z1441" s="33"/>
      <c r="AA1441" s="33"/>
      <c r="AB1441" s="33"/>
      <c r="AC1441" s="33"/>
      <c r="AD1441" s="33"/>
      <c r="AE1441" s="33"/>
      <c r="AF1441" s="33"/>
      <c r="AG1441" s="33"/>
      <c r="AH1441" s="33"/>
      <c r="AI1441" s="33"/>
      <c r="AJ1441" s="33"/>
      <c r="AK1441" s="216"/>
      <c r="AL1441" s="33"/>
      <c r="AM1441" s="33"/>
      <c r="AN1441" s="33"/>
      <c r="AO1441" s="33"/>
      <c r="AP1441" s="33"/>
    </row>
    <row r="1442" spans="1:42" ht="15.75" customHeight="1">
      <c r="A1442" s="33"/>
      <c r="B1442" s="33"/>
      <c r="C1442" s="33"/>
      <c r="D1442" s="33"/>
      <c r="E1442" s="33"/>
      <c r="F1442" s="199"/>
      <c r="G1442" s="33"/>
      <c r="H1442" s="33"/>
      <c r="I1442" s="33"/>
      <c r="J1442" s="33"/>
      <c r="K1442" s="33"/>
      <c r="L1442" s="33"/>
      <c r="M1442" s="33"/>
      <c r="N1442" s="33"/>
      <c r="O1442" s="33"/>
      <c r="P1442" s="33"/>
      <c r="Q1442" s="33"/>
      <c r="R1442" s="33"/>
      <c r="S1442" s="33"/>
      <c r="T1442" s="33"/>
      <c r="U1442" s="33"/>
      <c r="V1442" s="33"/>
      <c r="W1442" s="33"/>
      <c r="X1442" s="33"/>
      <c r="Y1442" s="33"/>
      <c r="Z1442" s="33"/>
      <c r="AA1442" s="33"/>
      <c r="AB1442" s="33"/>
      <c r="AC1442" s="33"/>
      <c r="AD1442" s="33"/>
      <c r="AE1442" s="33"/>
      <c r="AF1442" s="33"/>
      <c r="AG1442" s="33"/>
      <c r="AH1442" s="33"/>
      <c r="AI1442" s="33"/>
      <c r="AJ1442" s="33"/>
      <c r="AK1442" s="216"/>
      <c r="AL1442" s="33"/>
      <c r="AM1442" s="33"/>
      <c r="AN1442" s="33"/>
      <c r="AO1442" s="33"/>
      <c r="AP1442" s="33"/>
    </row>
    <row r="1443" spans="1:42" ht="15.75" customHeight="1">
      <c r="A1443" s="33"/>
      <c r="B1443" s="33"/>
      <c r="C1443" s="33"/>
      <c r="D1443" s="33"/>
      <c r="E1443" s="33"/>
      <c r="F1443" s="199"/>
      <c r="G1443" s="33"/>
      <c r="H1443" s="33"/>
      <c r="I1443" s="33"/>
      <c r="J1443" s="33"/>
      <c r="K1443" s="33"/>
      <c r="L1443" s="33"/>
      <c r="M1443" s="33"/>
      <c r="N1443" s="33"/>
      <c r="O1443" s="33"/>
      <c r="P1443" s="33"/>
      <c r="Q1443" s="33"/>
      <c r="R1443" s="33"/>
      <c r="S1443" s="33"/>
      <c r="T1443" s="33"/>
      <c r="U1443" s="33"/>
      <c r="V1443" s="33"/>
      <c r="W1443" s="33"/>
      <c r="X1443" s="33"/>
      <c r="Y1443" s="33"/>
      <c r="Z1443" s="33"/>
      <c r="AA1443" s="33"/>
      <c r="AB1443" s="33"/>
      <c r="AC1443" s="33"/>
      <c r="AD1443" s="33"/>
      <c r="AE1443" s="33"/>
      <c r="AF1443" s="33"/>
      <c r="AG1443" s="33"/>
      <c r="AH1443" s="33"/>
      <c r="AI1443" s="33"/>
      <c r="AJ1443" s="33"/>
      <c r="AK1443" s="216"/>
      <c r="AL1443" s="33"/>
      <c r="AM1443" s="33"/>
      <c r="AN1443" s="33"/>
      <c r="AO1443" s="33"/>
      <c r="AP1443" s="33"/>
    </row>
    <row r="1444" spans="1:42" ht="15.75" customHeight="1">
      <c r="A1444" s="33"/>
      <c r="B1444" s="33"/>
      <c r="C1444" s="33"/>
      <c r="D1444" s="33"/>
      <c r="E1444" s="33"/>
      <c r="F1444" s="199"/>
      <c r="G1444" s="33"/>
      <c r="H1444" s="33"/>
      <c r="I1444" s="33"/>
      <c r="J1444" s="33"/>
      <c r="K1444" s="33"/>
      <c r="L1444" s="33"/>
      <c r="M1444" s="33"/>
      <c r="N1444" s="33"/>
      <c r="O1444" s="33"/>
      <c r="P1444" s="33"/>
      <c r="Q1444" s="33"/>
      <c r="R1444" s="33"/>
      <c r="S1444" s="33"/>
      <c r="T1444" s="33"/>
      <c r="U1444" s="33"/>
      <c r="V1444" s="33"/>
      <c r="W1444" s="33"/>
      <c r="X1444" s="33"/>
      <c r="Y1444" s="33"/>
      <c r="Z1444" s="33"/>
      <c r="AA1444" s="33"/>
      <c r="AB1444" s="33"/>
      <c r="AC1444" s="33"/>
      <c r="AD1444" s="33"/>
      <c r="AE1444" s="33"/>
      <c r="AF1444" s="33"/>
      <c r="AG1444" s="33"/>
      <c r="AH1444" s="33"/>
      <c r="AI1444" s="33"/>
      <c r="AJ1444" s="33"/>
      <c r="AK1444" s="216"/>
      <c r="AL1444" s="33"/>
      <c r="AM1444" s="33"/>
      <c r="AN1444" s="33"/>
      <c r="AO1444" s="33"/>
      <c r="AP1444" s="33"/>
    </row>
    <row r="1445" spans="1:42" ht="15.75" customHeight="1">
      <c r="A1445" s="33"/>
      <c r="B1445" s="33"/>
      <c r="C1445" s="33"/>
      <c r="D1445" s="33"/>
      <c r="E1445" s="33"/>
      <c r="F1445" s="199"/>
      <c r="G1445" s="33"/>
      <c r="H1445" s="33"/>
      <c r="I1445" s="33"/>
      <c r="J1445" s="33"/>
      <c r="K1445" s="33"/>
      <c r="L1445" s="33"/>
      <c r="M1445" s="33"/>
      <c r="N1445" s="33"/>
      <c r="O1445" s="33"/>
      <c r="P1445" s="33"/>
      <c r="Q1445" s="33"/>
      <c r="R1445" s="33"/>
      <c r="S1445" s="33"/>
      <c r="T1445" s="33"/>
      <c r="U1445" s="33"/>
      <c r="V1445" s="33"/>
      <c r="W1445" s="33"/>
      <c r="X1445" s="33"/>
      <c r="Y1445" s="33"/>
      <c r="Z1445" s="33"/>
      <c r="AA1445" s="33"/>
      <c r="AB1445" s="33"/>
      <c r="AC1445" s="33"/>
      <c r="AD1445" s="33"/>
      <c r="AE1445" s="33"/>
      <c r="AF1445" s="33"/>
      <c r="AG1445" s="33"/>
      <c r="AH1445" s="33"/>
      <c r="AI1445" s="33"/>
      <c r="AJ1445" s="33"/>
      <c r="AK1445" s="216"/>
      <c r="AL1445" s="33"/>
      <c r="AM1445" s="33"/>
      <c r="AN1445" s="33"/>
      <c r="AO1445" s="33"/>
      <c r="AP1445" s="33"/>
    </row>
    <row r="1446" spans="1:42" ht="15.75" customHeight="1">
      <c r="A1446" s="33"/>
      <c r="B1446" s="33"/>
      <c r="C1446" s="33"/>
      <c r="D1446" s="33"/>
      <c r="E1446" s="33"/>
      <c r="F1446" s="199"/>
      <c r="G1446" s="33"/>
      <c r="H1446" s="33"/>
      <c r="I1446" s="33"/>
      <c r="J1446" s="33"/>
      <c r="K1446" s="33"/>
      <c r="L1446" s="33"/>
      <c r="M1446" s="33"/>
      <c r="N1446" s="33"/>
      <c r="O1446" s="33"/>
      <c r="P1446" s="33"/>
      <c r="Q1446" s="33"/>
      <c r="R1446" s="33"/>
      <c r="S1446" s="33"/>
      <c r="T1446" s="33"/>
      <c r="U1446" s="33"/>
      <c r="V1446" s="33"/>
      <c r="W1446" s="33"/>
      <c r="X1446" s="33"/>
      <c r="Y1446" s="33"/>
      <c r="Z1446" s="33"/>
      <c r="AA1446" s="33"/>
      <c r="AB1446" s="33"/>
      <c r="AC1446" s="33"/>
      <c r="AD1446" s="33"/>
      <c r="AE1446" s="33"/>
      <c r="AF1446" s="33"/>
      <c r="AG1446" s="33"/>
      <c r="AH1446" s="33"/>
      <c r="AI1446" s="33"/>
      <c r="AJ1446" s="33"/>
      <c r="AK1446" s="216"/>
      <c r="AL1446" s="33"/>
      <c r="AM1446" s="33"/>
      <c r="AN1446" s="33"/>
      <c r="AO1446" s="33"/>
      <c r="AP1446" s="33"/>
    </row>
    <row r="1447" spans="1:42" ht="15.75" customHeight="1">
      <c r="A1447" s="33"/>
      <c r="B1447" s="33"/>
      <c r="C1447" s="33"/>
      <c r="D1447" s="33"/>
      <c r="E1447" s="33"/>
      <c r="F1447" s="199"/>
      <c r="G1447" s="33"/>
      <c r="H1447" s="33"/>
      <c r="I1447" s="33"/>
      <c r="J1447" s="33"/>
      <c r="K1447" s="33"/>
      <c r="L1447" s="33"/>
      <c r="M1447" s="33"/>
      <c r="N1447" s="33"/>
      <c r="O1447" s="33"/>
      <c r="P1447" s="33"/>
      <c r="Q1447" s="33"/>
      <c r="R1447" s="33"/>
      <c r="S1447" s="33"/>
      <c r="T1447" s="33"/>
      <c r="U1447" s="33"/>
      <c r="V1447" s="33"/>
      <c r="W1447" s="33"/>
      <c r="X1447" s="33"/>
      <c r="Y1447" s="33"/>
      <c r="Z1447" s="33"/>
      <c r="AA1447" s="33"/>
      <c r="AB1447" s="33"/>
      <c r="AC1447" s="33"/>
      <c r="AD1447" s="33"/>
      <c r="AE1447" s="33"/>
      <c r="AF1447" s="33"/>
      <c r="AG1447" s="33"/>
      <c r="AH1447" s="33"/>
      <c r="AI1447" s="33"/>
      <c r="AJ1447" s="33"/>
      <c r="AK1447" s="216"/>
      <c r="AL1447" s="33"/>
      <c r="AM1447" s="33"/>
      <c r="AN1447" s="33"/>
      <c r="AO1447" s="33"/>
      <c r="AP1447" s="33"/>
    </row>
    <row r="1448" spans="1:42" ht="15.75" customHeight="1">
      <c r="A1448" s="33"/>
      <c r="B1448" s="33"/>
      <c r="C1448" s="33"/>
      <c r="D1448" s="33"/>
      <c r="E1448" s="33"/>
      <c r="F1448" s="199"/>
      <c r="G1448" s="33"/>
      <c r="H1448" s="33"/>
      <c r="I1448" s="33"/>
      <c r="J1448" s="33"/>
      <c r="K1448" s="33"/>
      <c r="L1448" s="33"/>
      <c r="M1448" s="33"/>
      <c r="N1448" s="33"/>
      <c r="O1448" s="33"/>
      <c r="P1448" s="33"/>
      <c r="Q1448" s="33"/>
      <c r="R1448" s="33"/>
      <c r="S1448" s="33"/>
      <c r="T1448" s="33"/>
      <c r="U1448" s="33"/>
      <c r="V1448" s="33"/>
      <c r="W1448" s="33"/>
      <c r="X1448" s="33"/>
      <c r="Y1448" s="33"/>
      <c r="Z1448" s="33"/>
      <c r="AA1448" s="33"/>
      <c r="AB1448" s="33"/>
      <c r="AC1448" s="33"/>
      <c r="AD1448" s="33"/>
      <c r="AE1448" s="33"/>
      <c r="AF1448" s="33"/>
      <c r="AG1448" s="33"/>
      <c r="AH1448" s="33"/>
      <c r="AI1448" s="33"/>
      <c r="AJ1448" s="33"/>
      <c r="AK1448" s="216"/>
      <c r="AL1448" s="33"/>
      <c r="AM1448" s="33"/>
      <c r="AN1448" s="33"/>
      <c r="AO1448" s="33"/>
      <c r="AP1448" s="33"/>
    </row>
    <row r="1449" spans="1:42" ht="15.75" customHeight="1">
      <c r="A1449" s="33"/>
      <c r="B1449" s="33"/>
      <c r="C1449" s="33"/>
      <c r="D1449" s="33"/>
      <c r="E1449" s="33"/>
      <c r="F1449" s="199"/>
      <c r="G1449" s="33"/>
      <c r="H1449" s="33"/>
      <c r="I1449" s="33"/>
      <c r="J1449" s="33"/>
      <c r="K1449" s="33"/>
      <c r="L1449" s="33"/>
      <c r="M1449" s="33"/>
      <c r="N1449" s="33"/>
      <c r="O1449" s="33"/>
      <c r="P1449" s="33"/>
      <c r="Q1449" s="33"/>
      <c r="R1449" s="33"/>
      <c r="S1449" s="33"/>
      <c r="T1449" s="33"/>
      <c r="U1449" s="33"/>
      <c r="V1449" s="33"/>
      <c r="W1449" s="33"/>
      <c r="X1449" s="33"/>
      <c r="Y1449" s="33"/>
      <c r="Z1449" s="33"/>
      <c r="AA1449" s="33"/>
      <c r="AB1449" s="33"/>
      <c r="AC1449" s="33"/>
      <c r="AD1449" s="33"/>
      <c r="AE1449" s="33"/>
      <c r="AF1449" s="33"/>
      <c r="AG1449" s="33"/>
      <c r="AH1449" s="33"/>
      <c r="AI1449" s="33"/>
      <c r="AJ1449" s="33"/>
      <c r="AK1449" s="216"/>
      <c r="AL1449" s="33"/>
      <c r="AM1449" s="33"/>
      <c r="AN1449" s="33"/>
      <c r="AO1449" s="33"/>
      <c r="AP1449" s="33"/>
    </row>
    <row r="1450" spans="1:42" ht="15.75" customHeight="1">
      <c r="A1450" s="33"/>
      <c r="B1450" s="33"/>
      <c r="C1450" s="33"/>
      <c r="D1450" s="33"/>
      <c r="E1450" s="33"/>
      <c r="F1450" s="199"/>
      <c r="G1450" s="33"/>
      <c r="H1450" s="33"/>
      <c r="I1450" s="33"/>
      <c r="J1450" s="33"/>
      <c r="K1450" s="33"/>
      <c r="L1450" s="33"/>
      <c r="M1450" s="33"/>
      <c r="N1450" s="33"/>
      <c r="O1450" s="33"/>
      <c r="P1450" s="33"/>
      <c r="Q1450" s="33"/>
      <c r="R1450" s="33"/>
      <c r="S1450" s="33"/>
      <c r="T1450" s="33"/>
      <c r="U1450" s="33"/>
      <c r="V1450" s="33"/>
      <c r="W1450" s="33"/>
      <c r="X1450" s="33"/>
      <c r="Y1450" s="33"/>
      <c r="Z1450" s="33"/>
      <c r="AA1450" s="33"/>
      <c r="AB1450" s="33"/>
      <c r="AC1450" s="33"/>
      <c r="AD1450" s="33"/>
      <c r="AE1450" s="33"/>
      <c r="AF1450" s="33"/>
      <c r="AG1450" s="33"/>
      <c r="AH1450" s="33"/>
      <c r="AI1450" s="33"/>
      <c r="AJ1450" s="33"/>
      <c r="AK1450" s="216"/>
      <c r="AL1450" s="33"/>
      <c r="AM1450" s="33"/>
      <c r="AN1450" s="33"/>
      <c r="AO1450" s="33"/>
      <c r="AP1450" s="33"/>
    </row>
    <row r="1451" spans="1:42" ht="15.75" customHeight="1">
      <c r="A1451" s="33"/>
      <c r="B1451" s="33"/>
      <c r="C1451" s="33"/>
      <c r="D1451" s="33"/>
      <c r="E1451" s="33"/>
      <c r="F1451" s="199"/>
      <c r="G1451" s="33"/>
      <c r="H1451" s="33"/>
      <c r="I1451" s="33"/>
      <c r="J1451" s="33"/>
      <c r="K1451" s="33"/>
      <c r="L1451" s="33"/>
      <c r="M1451" s="33"/>
      <c r="N1451" s="33"/>
      <c r="O1451" s="33"/>
      <c r="P1451" s="33"/>
      <c r="Q1451" s="33"/>
      <c r="R1451" s="33"/>
      <c r="S1451" s="33"/>
      <c r="T1451" s="33"/>
      <c r="U1451" s="33"/>
      <c r="V1451" s="33"/>
      <c r="W1451" s="33"/>
      <c r="X1451" s="33"/>
      <c r="Y1451" s="33"/>
      <c r="Z1451" s="33"/>
      <c r="AA1451" s="33"/>
      <c r="AB1451" s="33"/>
      <c r="AC1451" s="33"/>
      <c r="AD1451" s="33"/>
      <c r="AE1451" s="33"/>
      <c r="AF1451" s="33"/>
      <c r="AG1451" s="33"/>
      <c r="AH1451" s="33"/>
      <c r="AI1451" s="33"/>
      <c r="AJ1451" s="33"/>
      <c r="AK1451" s="216"/>
      <c r="AL1451" s="33"/>
      <c r="AM1451" s="33"/>
      <c r="AN1451" s="33"/>
      <c r="AO1451" s="33"/>
      <c r="AP1451" s="33"/>
    </row>
    <row r="1452" spans="1:42" ht="15.75" customHeight="1">
      <c r="A1452" s="33"/>
      <c r="B1452" s="33"/>
      <c r="C1452" s="33"/>
      <c r="D1452" s="33"/>
      <c r="E1452" s="33"/>
      <c r="F1452" s="199"/>
      <c r="G1452" s="33"/>
      <c r="H1452" s="33"/>
      <c r="I1452" s="33"/>
      <c r="J1452" s="33"/>
      <c r="K1452" s="33"/>
      <c r="L1452" s="33"/>
      <c r="M1452" s="33"/>
      <c r="N1452" s="33"/>
      <c r="O1452" s="33"/>
      <c r="P1452" s="33"/>
      <c r="Q1452" s="33"/>
      <c r="R1452" s="33"/>
      <c r="S1452" s="33"/>
      <c r="T1452" s="33"/>
      <c r="U1452" s="33"/>
      <c r="V1452" s="33"/>
      <c r="W1452" s="33"/>
      <c r="X1452" s="33"/>
      <c r="Y1452" s="33"/>
      <c r="Z1452" s="33"/>
      <c r="AA1452" s="33"/>
      <c r="AB1452" s="33"/>
      <c r="AC1452" s="33"/>
      <c r="AD1452" s="33"/>
      <c r="AE1452" s="33"/>
      <c r="AF1452" s="33"/>
      <c r="AG1452" s="33"/>
      <c r="AH1452" s="33"/>
      <c r="AI1452" s="33"/>
      <c r="AJ1452" s="33"/>
      <c r="AK1452" s="216"/>
      <c r="AL1452" s="33"/>
      <c r="AM1452" s="33"/>
      <c r="AN1452" s="33"/>
      <c r="AO1452" s="33"/>
      <c r="AP1452" s="33"/>
    </row>
    <row r="1453" spans="1:42" ht="15.75" customHeight="1">
      <c r="A1453" s="33"/>
      <c r="B1453" s="33"/>
      <c r="C1453" s="33"/>
      <c r="D1453" s="33"/>
      <c r="E1453" s="33"/>
      <c r="F1453" s="199"/>
      <c r="G1453" s="33"/>
      <c r="H1453" s="33"/>
      <c r="I1453" s="33"/>
      <c r="J1453" s="33"/>
      <c r="K1453" s="33"/>
      <c r="L1453" s="33"/>
      <c r="M1453" s="33"/>
      <c r="N1453" s="33"/>
      <c r="O1453" s="33"/>
      <c r="P1453" s="33"/>
      <c r="Q1453" s="33"/>
      <c r="R1453" s="33"/>
      <c r="S1453" s="33"/>
      <c r="T1453" s="33"/>
      <c r="U1453" s="33"/>
      <c r="V1453" s="33"/>
      <c r="W1453" s="33"/>
      <c r="X1453" s="33"/>
      <c r="Y1453" s="33"/>
      <c r="Z1453" s="33"/>
      <c r="AA1453" s="33"/>
      <c r="AB1453" s="33"/>
      <c r="AC1453" s="33"/>
      <c r="AD1453" s="33"/>
      <c r="AE1453" s="33"/>
      <c r="AF1453" s="33"/>
      <c r="AG1453" s="33"/>
      <c r="AH1453" s="33"/>
      <c r="AI1453" s="33"/>
      <c r="AJ1453" s="33"/>
      <c r="AK1453" s="216"/>
      <c r="AL1453" s="33"/>
      <c r="AM1453" s="33"/>
      <c r="AN1453" s="33"/>
      <c r="AO1453" s="33"/>
      <c r="AP1453" s="33"/>
    </row>
    <row r="1454" spans="1:42" ht="15.75" customHeight="1">
      <c r="A1454" s="33"/>
      <c r="B1454" s="33"/>
      <c r="C1454" s="33"/>
      <c r="D1454" s="33"/>
      <c r="E1454" s="33"/>
      <c r="F1454" s="199"/>
      <c r="G1454" s="33"/>
      <c r="H1454" s="33"/>
      <c r="I1454" s="33"/>
      <c r="J1454" s="33"/>
      <c r="K1454" s="33"/>
      <c r="L1454" s="33"/>
      <c r="M1454" s="33"/>
      <c r="N1454" s="33"/>
      <c r="O1454" s="33"/>
      <c r="P1454" s="33"/>
      <c r="Q1454" s="33"/>
      <c r="R1454" s="33"/>
      <c r="S1454" s="33"/>
      <c r="T1454" s="33"/>
      <c r="U1454" s="33"/>
      <c r="V1454" s="33"/>
      <c r="W1454" s="33"/>
      <c r="X1454" s="33"/>
      <c r="Y1454" s="33"/>
      <c r="Z1454" s="33"/>
      <c r="AA1454" s="33"/>
      <c r="AB1454" s="33"/>
      <c r="AC1454" s="33"/>
      <c r="AD1454" s="33"/>
      <c r="AE1454" s="33"/>
      <c r="AF1454" s="33"/>
      <c r="AG1454" s="33"/>
      <c r="AH1454" s="33"/>
      <c r="AI1454" s="33"/>
      <c r="AJ1454" s="33"/>
      <c r="AK1454" s="216"/>
      <c r="AL1454" s="33"/>
      <c r="AM1454" s="33"/>
      <c r="AN1454" s="33"/>
      <c r="AO1454" s="33"/>
      <c r="AP1454" s="33"/>
    </row>
    <row r="1455" spans="1:42" ht="15.75" customHeight="1">
      <c r="A1455" s="33"/>
      <c r="B1455" s="33"/>
      <c r="C1455" s="33"/>
      <c r="D1455" s="33"/>
      <c r="E1455" s="33"/>
      <c r="F1455" s="199"/>
      <c r="G1455" s="33"/>
      <c r="H1455" s="33"/>
      <c r="I1455" s="33"/>
      <c r="J1455" s="33"/>
      <c r="K1455" s="33"/>
      <c r="L1455" s="33"/>
      <c r="M1455" s="33"/>
      <c r="N1455" s="33"/>
      <c r="O1455" s="33"/>
      <c r="P1455" s="33"/>
      <c r="Q1455" s="33"/>
      <c r="R1455" s="33"/>
      <c r="S1455" s="33"/>
      <c r="T1455" s="33"/>
      <c r="U1455" s="33"/>
      <c r="V1455" s="33"/>
      <c r="W1455" s="33"/>
      <c r="X1455" s="33"/>
      <c r="Y1455" s="33"/>
      <c r="Z1455" s="33"/>
      <c r="AA1455" s="33"/>
      <c r="AB1455" s="33"/>
      <c r="AC1455" s="33"/>
      <c r="AD1455" s="33"/>
      <c r="AE1455" s="33"/>
      <c r="AF1455" s="33"/>
      <c r="AG1455" s="33"/>
      <c r="AH1455" s="33"/>
      <c r="AI1455" s="33"/>
      <c r="AJ1455" s="33"/>
      <c r="AK1455" s="216"/>
      <c r="AL1455" s="33"/>
      <c r="AM1455" s="33"/>
      <c r="AN1455" s="33"/>
      <c r="AO1455" s="33"/>
      <c r="AP1455" s="33"/>
    </row>
    <row r="1456" spans="1:42" ht="15.75" customHeight="1">
      <c r="A1456" s="33"/>
      <c r="B1456" s="33"/>
      <c r="C1456" s="33"/>
      <c r="D1456" s="33"/>
      <c r="E1456" s="33"/>
      <c r="F1456" s="199"/>
      <c r="G1456" s="33"/>
      <c r="H1456" s="33"/>
      <c r="I1456" s="33"/>
      <c r="J1456" s="33"/>
      <c r="K1456" s="33"/>
      <c r="L1456" s="33"/>
      <c r="M1456" s="33"/>
      <c r="N1456" s="33"/>
      <c r="O1456" s="33"/>
      <c r="P1456" s="33"/>
      <c r="Q1456" s="33"/>
      <c r="R1456" s="33"/>
      <c r="S1456" s="33"/>
      <c r="T1456" s="33"/>
      <c r="U1456" s="33"/>
      <c r="V1456" s="33"/>
      <c r="W1456" s="33"/>
      <c r="X1456" s="33"/>
      <c r="Y1456" s="33"/>
      <c r="Z1456" s="33"/>
      <c r="AA1456" s="33"/>
      <c r="AB1456" s="33"/>
      <c r="AC1456" s="33"/>
      <c r="AD1456" s="33"/>
      <c r="AE1456" s="33"/>
      <c r="AF1456" s="33"/>
      <c r="AG1456" s="33"/>
      <c r="AH1456" s="33"/>
      <c r="AI1456" s="33"/>
      <c r="AJ1456" s="33"/>
      <c r="AK1456" s="216"/>
      <c r="AL1456" s="33"/>
      <c r="AM1456" s="33"/>
      <c r="AN1456" s="33"/>
      <c r="AO1456" s="33"/>
      <c r="AP1456" s="33"/>
    </row>
    <row r="1457" spans="1:42" ht="15.75" customHeight="1">
      <c r="A1457" s="33"/>
      <c r="B1457" s="33"/>
      <c r="C1457" s="33"/>
      <c r="D1457" s="33"/>
      <c r="E1457" s="33"/>
      <c r="F1457" s="199"/>
      <c r="G1457" s="33"/>
      <c r="H1457" s="33"/>
      <c r="I1457" s="33"/>
      <c r="J1457" s="33"/>
      <c r="K1457" s="33"/>
      <c r="L1457" s="33"/>
      <c r="M1457" s="33"/>
      <c r="N1457" s="33"/>
      <c r="O1457" s="33"/>
      <c r="P1457" s="33"/>
      <c r="Q1457" s="33"/>
      <c r="R1457" s="33"/>
      <c r="S1457" s="33"/>
      <c r="T1457" s="33"/>
      <c r="U1457" s="33"/>
      <c r="V1457" s="33"/>
      <c r="W1457" s="33"/>
      <c r="X1457" s="33"/>
      <c r="Y1457" s="33"/>
      <c r="Z1457" s="33"/>
      <c r="AA1457" s="33"/>
      <c r="AB1457" s="33"/>
      <c r="AC1457" s="33"/>
      <c r="AD1457" s="33"/>
      <c r="AE1457" s="33"/>
      <c r="AF1457" s="33"/>
      <c r="AG1457" s="33"/>
      <c r="AH1457" s="33"/>
      <c r="AI1457" s="33"/>
      <c r="AJ1457" s="33"/>
      <c r="AK1457" s="216"/>
      <c r="AL1457" s="33"/>
      <c r="AM1457" s="33"/>
      <c r="AN1457" s="33"/>
      <c r="AO1457" s="33"/>
      <c r="AP1457" s="33"/>
    </row>
    <row r="1458" spans="1:42" ht="15.75" customHeight="1">
      <c r="A1458" s="33"/>
      <c r="B1458" s="33"/>
      <c r="C1458" s="33"/>
      <c r="D1458" s="33"/>
      <c r="E1458" s="33"/>
      <c r="F1458" s="199"/>
      <c r="G1458" s="33"/>
      <c r="H1458" s="33"/>
      <c r="I1458" s="33"/>
      <c r="J1458" s="33"/>
      <c r="K1458" s="33"/>
      <c r="L1458" s="33"/>
      <c r="M1458" s="33"/>
      <c r="N1458" s="33"/>
      <c r="O1458" s="33"/>
      <c r="P1458" s="33"/>
      <c r="Q1458" s="33"/>
      <c r="R1458" s="33"/>
      <c r="S1458" s="33"/>
      <c r="T1458" s="33"/>
      <c r="U1458" s="33"/>
      <c r="V1458" s="33"/>
      <c r="W1458" s="33"/>
      <c r="X1458" s="33"/>
      <c r="Y1458" s="33"/>
      <c r="Z1458" s="33"/>
      <c r="AA1458" s="33"/>
      <c r="AB1458" s="33"/>
      <c r="AC1458" s="33"/>
      <c r="AD1458" s="33"/>
      <c r="AE1458" s="33"/>
      <c r="AF1458" s="33"/>
      <c r="AG1458" s="33"/>
      <c r="AH1458" s="33"/>
      <c r="AI1458" s="33"/>
      <c r="AJ1458" s="33"/>
      <c r="AK1458" s="216"/>
      <c r="AL1458" s="33"/>
      <c r="AM1458" s="33"/>
      <c r="AN1458" s="33"/>
      <c r="AO1458" s="33"/>
      <c r="AP1458" s="33"/>
    </row>
    <row r="1459" spans="1:42" ht="15.75" customHeight="1">
      <c r="A1459" s="33"/>
      <c r="B1459" s="33"/>
      <c r="C1459" s="33"/>
      <c r="D1459" s="33"/>
      <c r="E1459" s="33"/>
      <c r="F1459" s="199"/>
      <c r="G1459" s="33"/>
      <c r="H1459" s="33"/>
      <c r="I1459" s="33"/>
      <c r="J1459" s="33"/>
      <c r="K1459" s="33"/>
      <c r="L1459" s="33"/>
      <c r="M1459" s="33"/>
      <c r="N1459" s="33"/>
      <c r="O1459" s="33"/>
      <c r="P1459" s="33"/>
      <c r="Q1459" s="33"/>
      <c r="R1459" s="33"/>
      <c r="S1459" s="33"/>
      <c r="T1459" s="33"/>
      <c r="U1459" s="33"/>
      <c r="V1459" s="33"/>
      <c r="W1459" s="33"/>
      <c r="X1459" s="33"/>
      <c r="Y1459" s="33"/>
      <c r="Z1459" s="33"/>
      <c r="AA1459" s="33"/>
      <c r="AB1459" s="33"/>
      <c r="AC1459" s="33"/>
      <c r="AD1459" s="33"/>
      <c r="AE1459" s="33"/>
      <c r="AF1459" s="33"/>
      <c r="AG1459" s="33"/>
      <c r="AH1459" s="33"/>
      <c r="AI1459" s="33"/>
      <c r="AJ1459" s="33"/>
      <c r="AK1459" s="216"/>
      <c r="AL1459" s="33"/>
      <c r="AM1459" s="33"/>
      <c r="AN1459" s="33"/>
      <c r="AO1459" s="33"/>
      <c r="AP1459" s="33"/>
    </row>
    <row r="1460" spans="1:42" ht="15.75" customHeight="1">
      <c r="A1460" s="33"/>
      <c r="B1460" s="33"/>
      <c r="C1460" s="33"/>
      <c r="D1460" s="33"/>
      <c r="E1460" s="33"/>
      <c r="F1460" s="199"/>
      <c r="G1460" s="33"/>
      <c r="H1460" s="33"/>
      <c r="I1460" s="33"/>
      <c r="J1460" s="33"/>
      <c r="K1460" s="33"/>
      <c r="L1460" s="33"/>
      <c r="M1460" s="33"/>
      <c r="N1460" s="33"/>
      <c r="O1460" s="33"/>
      <c r="P1460" s="33"/>
      <c r="Q1460" s="33"/>
      <c r="R1460" s="33"/>
      <c r="S1460" s="33"/>
      <c r="T1460" s="33"/>
      <c r="U1460" s="33"/>
      <c r="V1460" s="33"/>
      <c r="W1460" s="33"/>
      <c r="X1460" s="33"/>
      <c r="Y1460" s="33"/>
      <c r="Z1460" s="33"/>
      <c r="AA1460" s="33"/>
      <c r="AB1460" s="33"/>
      <c r="AC1460" s="33"/>
      <c r="AD1460" s="33"/>
      <c r="AE1460" s="33"/>
      <c r="AF1460" s="33"/>
      <c r="AG1460" s="33"/>
      <c r="AH1460" s="33"/>
      <c r="AI1460" s="33"/>
      <c r="AJ1460" s="33"/>
      <c r="AK1460" s="216"/>
      <c r="AL1460" s="33"/>
      <c r="AM1460" s="33"/>
      <c r="AN1460" s="33"/>
      <c r="AO1460" s="33"/>
      <c r="AP1460" s="33"/>
    </row>
    <row r="1461" spans="1:42" ht="15.75" customHeight="1">
      <c r="A1461" s="33"/>
      <c r="B1461" s="33"/>
      <c r="C1461" s="33"/>
      <c r="D1461" s="33"/>
      <c r="E1461" s="33"/>
      <c r="F1461" s="199"/>
      <c r="G1461" s="33"/>
      <c r="H1461" s="33"/>
      <c r="I1461" s="33"/>
      <c r="J1461" s="33"/>
      <c r="K1461" s="33"/>
      <c r="L1461" s="33"/>
      <c r="M1461" s="33"/>
      <c r="N1461" s="33"/>
      <c r="O1461" s="33"/>
      <c r="P1461" s="33"/>
      <c r="Q1461" s="33"/>
      <c r="R1461" s="33"/>
      <c r="S1461" s="33"/>
      <c r="T1461" s="33"/>
      <c r="U1461" s="33"/>
      <c r="V1461" s="33"/>
      <c r="W1461" s="33"/>
      <c r="X1461" s="33"/>
      <c r="Y1461" s="33"/>
      <c r="Z1461" s="33"/>
      <c r="AA1461" s="33"/>
      <c r="AB1461" s="33"/>
      <c r="AC1461" s="33"/>
      <c r="AD1461" s="33"/>
      <c r="AE1461" s="33"/>
      <c r="AF1461" s="33"/>
      <c r="AG1461" s="33"/>
      <c r="AH1461" s="33"/>
      <c r="AI1461" s="33"/>
      <c r="AJ1461" s="33"/>
      <c r="AK1461" s="216"/>
      <c r="AL1461" s="33"/>
      <c r="AM1461" s="33"/>
      <c r="AN1461" s="33"/>
      <c r="AO1461" s="33"/>
      <c r="AP1461" s="33"/>
    </row>
    <row r="1462" spans="1:42" ht="15.75" customHeight="1">
      <c r="A1462" s="33"/>
      <c r="B1462" s="33"/>
      <c r="C1462" s="33"/>
      <c r="D1462" s="33"/>
      <c r="E1462" s="33"/>
      <c r="F1462" s="199"/>
      <c r="G1462" s="33"/>
      <c r="H1462" s="33"/>
      <c r="I1462" s="33"/>
      <c r="J1462" s="33"/>
      <c r="K1462" s="33"/>
      <c r="L1462" s="33"/>
      <c r="M1462" s="33"/>
      <c r="N1462" s="33"/>
      <c r="O1462" s="33"/>
      <c r="P1462" s="33"/>
      <c r="Q1462" s="33"/>
      <c r="R1462" s="33"/>
      <c r="S1462" s="33"/>
      <c r="T1462" s="33"/>
      <c r="U1462" s="33"/>
      <c r="V1462" s="33"/>
      <c r="W1462" s="33"/>
      <c r="X1462" s="33"/>
      <c r="Y1462" s="33"/>
      <c r="Z1462" s="33"/>
      <c r="AA1462" s="33"/>
      <c r="AB1462" s="33"/>
      <c r="AC1462" s="33"/>
      <c r="AD1462" s="33"/>
      <c r="AE1462" s="33"/>
      <c r="AF1462" s="33"/>
      <c r="AG1462" s="33"/>
      <c r="AH1462" s="33"/>
      <c r="AI1462" s="33"/>
      <c r="AJ1462" s="33"/>
      <c r="AK1462" s="216"/>
      <c r="AL1462" s="33"/>
      <c r="AM1462" s="33"/>
      <c r="AN1462" s="33"/>
      <c r="AO1462" s="33"/>
      <c r="AP1462" s="33"/>
    </row>
    <row r="1463" spans="1:42" ht="15.75" customHeight="1">
      <c r="A1463" s="33"/>
      <c r="B1463" s="33"/>
      <c r="C1463" s="33"/>
      <c r="D1463" s="33"/>
      <c r="E1463" s="33"/>
      <c r="F1463" s="199"/>
      <c r="G1463" s="33"/>
      <c r="H1463" s="33"/>
      <c r="I1463" s="33"/>
      <c r="J1463" s="33"/>
      <c r="K1463" s="33"/>
      <c r="L1463" s="33"/>
      <c r="M1463" s="33"/>
      <c r="N1463" s="33"/>
      <c r="O1463" s="33"/>
      <c r="P1463" s="33"/>
      <c r="Q1463" s="33"/>
      <c r="R1463" s="33"/>
      <c r="S1463" s="33"/>
      <c r="T1463" s="33"/>
      <c r="U1463" s="33"/>
      <c r="V1463" s="33"/>
      <c r="W1463" s="33"/>
      <c r="X1463" s="33"/>
      <c r="Y1463" s="33"/>
      <c r="Z1463" s="33"/>
      <c r="AA1463" s="33"/>
      <c r="AB1463" s="33"/>
      <c r="AC1463" s="33"/>
      <c r="AD1463" s="33"/>
      <c r="AE1463" s="33"/>
      <c r="AF1463" s="33"/>
      <c r="AG1463" s="33"/>
      <c r="AH1463" s="33"/>
      <c r="AI1463" s="33"/>
      <c r="AJ1463" s="33"/>
      <c r="AK1463" s="216"/>
      <c r="AL1463" s="33"/>
      <c r="AM1463" s="33"/>
      <c r="AN1463" s="33"/>
      <c r="AO1463" s="33"/>
      <c r="AP1463" s="33"/>
    </row>
    <row r="1464" spans="1:42" ht="15.75" customHeight="1">
      <c r="A1464" s="33"/>
      <c r="B1464" s="33"/>
      <c r="C1464" s="33"/>
      <c r="D1464" s="33"/>
      <c r="E1464" s="33"/>
      <c r="F1464" s="199"/>
      <c r="G1464" s="33"/>
      <c r="H1464" s="33"/>
      <c r="I1464" s="33"/>
      <c r="J1464" s="33"/>
      <c r="K1464" s="33"/>
      <c r="L1464" s="33"/>
      <c r="M1464" s="33"/>
      <c r="N1464" s="33"/>
      <c r="O1464" s="33"/>
      <c r="P1464" s="33"/>
      <c r="Q1464" s="33"/>
      <c r="R1464" s="33"/>
      <c r="S1464" s="33"/>
      <c r="T1464" s="33"/>
      <c r="U1464" s="33"/>
      <c r="V1464" s="33"/>
      <c r="W1464" s="33"/>
      <c r="X1464" s="33"/>
      <c r="Y1464" s="33"/>
      <c r="Z1464" s="33"/>
      <c r="AA1464" s="33"/>
      <c r="AB1464" s="33"/>
      <c r="AC1464" s="33"/>
      <c r="AD1464" s="33"/>
      <c r="AE1464" s="33"/>
      <c r="AF1464" s="33"/>
      <c r="AG1464" s="33"/>
      <c r="AH1464" s="33"/>
      <c r="AI1464" s="33"/>
      <c r="AJ1464" s="33"/>
      <c r="AK1464" s="216"/>
      <c r="AL1464" s="33"/>
      <c r="AM1464" s="33"/>
      <c r="AN1464" s="33"/>
      <c r="AO1464" s="33"/>
      <c r="AP1464" s="33"/>
    </row>
    <row r="1465" spans="1:42" ht="15.75" customHeight="1">
      <c r="A1465" s="33"/>
      <c r="B1465" s="33"/>
      <c r="C1465" s="33"/>
      <c r="D1465" s="33"/>
      <c r="E1465" s="33"/>
      <c r="F1465" s="199"/>
      <c r="G1465" s="33"/>
      <c r="H1465" s="33"/>
      <c r="I1465" s="33"/>
      <c r="J1465" s="33"/>
      <c r="K1465" s="33"/>
      <c r="L1465" s="33"/>
      <c r="M1465" s="33"/>
      <c r="N1465" s="33"/>
      <c r="O1465" s="33"/>
      <c r="P1465" s="33"/>
      <c r="Q1465" s="33"/>
      <c r="R1465" s="33"/>
      <c r="S1465" s="33"/>
      <c r="T1465" s="33"/>
      <c r="U1465" s="33"/>
      <c r="V1465" s="33"/>
      <c r="W1465" s="33"/>
      <c r="X1465" s="33"/>
      <c r="Y1465" s="33"/>
      <c r="Z1465" s="33"/>
      <c r="AA1465" s="33"/>
      <c r="AB1465" s="33"/>
      <c r="AC1465" s="33"/>
      <c r="AD1465" s="33"/>
      <c r="AE1465" s="33"/>
      <c r="AF1465" s="33"/>
      <c r="AG1465" s="33"/>
      <c r="AH1465" s="33"/>
      <c r="AI1465" s="33"/>
      <c r="AJ1465" s="33"/>
      <c r="AK1465" s="216"/>
      <c r="AL1465" s="33"/>
      <c r="AM1465" s="33"/>
      <c r="AN1465" s="33"/>
      <c r="AO1465" s="33"/>
      <c r="AP1465" s="33"/>
    </row>
    <row r="1466" spans="1:42" ht="15.75" customHeight="1">
      <c r="A1466" s="33"/>
      <c r="B1466" s="33"/>
      <c r="C1466" s="33"/>
      <c r="D1466" s="33"/>
      <c r="E1466" s="33"/>
      <c r="F1466" s="199"/>
      <c r="G1466" s="33"/>
      <c r="H1466" s="33"/>
      <c r="I1466" s="33"/>
      <c r="J1466" s="33"/>
      <c r="K1466" s="33"/>
      <c r="L1466" s="33"/>
      <c r="M1466" s="33"/>
      <c r="N1466" s="33"/>
      <c r="O1466" s="33"/>
      <c r="P1466" s="33"/>
      <c r="Q1466" s="33"/>
      <c r="R1466" s="33"/>
      <c r="S1466" s="33"/>
      <c r="T1466" s="33"/>
      <c r="U1466" s="33"/>
      <c r="V1466" s="33"/>
      <c r="W1466" s="33"/>
      <c r="X1466" s="33"/>
      <c r="Y1466" s="33"/>
      <c r="Z1466" s="33"/>
      <c r="AA1466" s="33"/>
      <c r="AB1466" s="33"/>
      <c r="AC1466" s="33"/>
      <c r="AD1466" s="33"/>
      <c r="AE1466" s="33"/>
      <c r="AF1466" s="33"/>
      <c r="AG1466" s="33"/>
      <c r="AH1466" s="33"/>
      <c r="AI1466" s="33"/>
      <c r="AJ1466" s="33"/>
      <c r="AK1466" s="216"/>
      <c r="AL1466" s="33"/>
      <c r="AM1466" s="33"/>
      <c r="AN1466" s="33"/>
      <c r="AO1466" s="33"/>
      <c r="AP1466" s="33"/>
    </row>
    <row r="1467" spans="1:42" ht="15.75" customHeight="1">
      <c r="A1467" s="33"/>
      <c r="B1467" s="33"/>
      <c r="C1467" s="33"/>
      <c r="D1467" s="33"/>
      <c r="E1467" s="33"/>
      <c r="F1467" s="199"/>
      <c r="G1467" s="33"/>
      <c r="H1467" s="33"/>
      <c r="I1467" s="33"/>
      <c r="J1467" s="33"/>
      <c r="K1467" s="33"/>
      <c r="L1467" s="33"/>
      <c r="M1467" s="33"/>
      <c r="N1467" s="33"/>
      <c r="O1467" s="33"/>
      <c r="P1467" s="33"/>
      <c r="Q1467" s="33"/>
      <c r="R1467" s="33"/>
      <c r="S1467" s="33"/>
      <c r="T1467" s="33"/>
      <c r="U1467" s="33"/>
      <c r="V1467" s="33"/>
      <c r="W1467" s="33"/>
      <c r="X1467" s="33"/>
      <c r="Y1467" s="33"/>
      <c r="Z1467" s="33"/>
      <c r="AA1467" s="33"/>
      <c r="AB1467" s="33"/>
      <c r="AC1467" s="33"/>
      <c r="AD1467" s="33"/>
      <c r="AE1467" s="33"/>
      <c r="AF1467" s="33"/>
      <c r="AG1467" s="33"/>
      <c r="AH1467" s="33"/>
      <c r="AI1467" s="33"/>
      <c r="AJ1467" s="33"/>
      <c r="AK1467" s="216"/>
      <c r="AL1467" s="33"/>
      <c r="AM1467" s="33"/>
      <c r="AN1467" s="33"/>
      <c r="AO1467" s="33"/>
      <c r="AP1467" s="33"/>
    </row>
    <row r="1468" spans="1:42" ht="15.75" customHeight="1">
      <c r="A1468" s="33"/>
      <c r="B1468" s="33"/>
      <c r="C1468" s="33"/>
      <c r="D1468" s="33"/>
      <c r="E1468" s="33"/>
      <c r="F1468" s="199"/>
      <c r="G1468" s="33"/>
      <c r="H1468" s="33"/>
      <c r="I1468" s="33"/>
      <c r="J1468" s="33"/>
      <c r="K1468" s="33"/>
      <c r="L1468" s="33"/>
      <c r="M1468" s="33"/>
      <c r="N1468" s="33"/>
      <c r="O1468" s="33"/>
      <c r="P1468" s="33"/>
      <c r="Q1468" s="33"/>
      <c r="R1468" s="33"/>
      <c r="S1468" s="33"/>
      <c r="T1468" s="33"/>
      <c r="U1468" s="33"/>
      <c r="V1468" s="33"/>
      <c r="W1468" s="33"/>
      <c r="X1468" s="33"/>
      <c r="Y1468" s="33"/>
      <c r="Z1468" s="33"/>
      <c r="AA1468" s="33"/>
      <c r="AB1468" s="33"/>
      <c r="AC1468" s="33"/>
      <c r="AD1468" s="33"/>
      <c r="AE1468" s="33"/>
      <c r="AF1468" s="33"/>
      <c r="AG1468" s="33"/>
      <c r="AH1468" s="33"/>
      <c r="AI1468" s="33"/>
      <c r="AJ1468" s="33"/>
      <c r="AK1468" s="216"/>
      <c r="AL1468" s="33"/>
      <c r="AM1468" s="33"/>
      <c r="AN1468" s="33"/>
      <c r="AO1468" s="33"/>
      <c r="AP1468" s="33"/>
    </row>
    <row r="1469" spans="1:42" ht="15.75" customHeight="1">
      <c r="A1469" s="33"/>
      <c r="B1469" s="33"/>
      <c r="C1469" s="33"/>
      <c r="D1469" s="33"/>
      <c r="E1469" s="33"/>
      <c r="F1469" s="199"/>
      <c r="G1469" s="33"/>
      <c r="H1469" s="33"/>
      <c r="I1469" s="33"/>
      <c r="J1469" s="33"/>
      <c r="K1469" s="33"/>
      <c r="L1469" s="33"/>
      <c r="M1469" s="33"/>
      <c r="N1469" s="33"/>
      <c r="O1469" s="33"/>
      <c r="P1469" s="33"/>
      <c r="Q1469" s="33"/>
      <c r="R1469" s="33"/>
      <c r="S1469" s="33"/>
      <c r="T1469" s="33"/>
      <c r="U1469" s="33"/>
      <c r="V1469" s="33"/>
      <c r="W1469" s="33"/>
      <c r="X1469" s="33"/>
      <c r="Y1469" s="33"/>
      <c r="Z1469" s="33"/>
      <c r="AA1469" s="33"/>
      <c r="AB1469" s="33"/>
      <c r="AC1469" s="33"/>
      <c r="AD1469" s="33"/>
      <c r="AE1469" s="33"/>
      <c r="AF1469" s="33"/>
      <c r="AG1469" s="33"/>
      <c r="AH1469" s="33"/>
      <c r="AI1469" s="33"/>
      <c r="AJ1469" s="33"/>
      <c r="AK1469" s="216"/>
      <c r="AL1469" s="33"/>
      <c r="AM1469" s="33"/>
      <c r="AN1469" s="33"/>
      <c r="AO1469" s="33"/>
      <c r="AP1469" s="33"/>
    </row>
    <row r="1470" spans="1:42" ht="15.75" customHeight="1">
      <c r="A1470" s="33"/>
      <c r="B1470" s="33"/>
      <c r="C1470" s="33"/>
      <c r="D1470" s="33"/>
      <c r="E1470" s="33"/>
      <c r="F1470" s="199"/>
      <c r="G1470" s="33"/>
      <c r="H1470" s="33"/>
      <c r="I1470" s="33"/>
      <c r="J1470" s="33"/>
      <c r="K1470" s="33"/>
      <c r="L1470" s="33"/>
      <c r="M1470" s="33"/>
      <c r="N1470" s="33"/>
      <c r="O1470" s="33"/>
      <c r="P1470" s="33"/>
      <c r="Q1470" s="33"/>
      <c r="R1470" s="33"/>
      <c r="S1470" s="33"/>
      <c r="T1470" s="33"/>
      <c r="U1470" s="33"/>
      <c r="V1470" s="33"/>
      <c r="W1470" s="33"/>
      <c r="X1470" s="33"/>
      <c r="Y1470" s="33"/>
      <c r="Z1470" s="33"/>
      <c r="AA1470" s="33"/>
      <c r="AB1470" s="33"/>
      <c r="AC1470" s="33"/>
      <c r="AD1470" s="33"/>
      <c r="AE1470" s="33"/>
      <c r="AF1470" s="33"/>
      <c r="AG1470" s="33"/>
      <c r="AH1470" s="33"/>
      <c r="AI1470" s="33"/>
      <c r="AJ1470" s="33"/>
      <c r="AK1470" s="216"/>
      <c r="AL1470" s="33"/>
      <c r="AM1470" s="33"/>
      <c r="AN1470" s="33"/>
      <c r="AO1470" s="33"/>
      <c r="AP1470" s="33"/>
    </row>
    <row r="1471" spans="1:42" ht="15.75" customHeight="1">
      <c r="A1471" s="33"/>
      <c r="B1471" s="33"/>
      <c r="C1471" s="33"/>
      <c r="D1471" s="33"/>
      <c r="E1471" s="33"/>
      <c r="F1471" s="199"/>
      <c r="G1471" s="33"/>
      <c r="H1471" s="33"/>
      <c r="I1471" s="33"/>
      <c r="J1471" s="33"/>
      <c r="K1471" s="33"/>
      <c r="L1471" s="33"/>
      <c r="M1471" s="33"/>
      <c r="N1471" s="33"/>
      <c r="O1471" s="33"/>
      <c r="P1471" s="33"/>
      <c r="Q1471" s="33"/>
      <c r="R1471" s="33"/>
      <c r="S1471" s="33"/>
      <c r="T1471" s="33"/>
      <c r="U1471" s="33"/>
      <c r="V1471" s="33"/>
      <c r="W1471" s="33"/>
      <c r="X1471" s="33"/>
      <c r="Y1471" s="33"/>
      <c r="Z1471" s="33"/>
      <c r="AA1471" s="33"/>
      <c r="AB1471" s="33"/>
      <c r="AC1471" s="33"/>
      <c r="AD1471" s="33"/>
      <c r="AE1471" s="33"/>
      <c r="AF1471" s="33"/>
      <c r="AG1471" s="33"/>
      <c r="AH1471" s="33"/>
      <c r="AI1471" s="33"/>
      <c r="AJ1471" s="33"/>
      <c r="AK1471" s="216"/>
      <c r="AL1471" s="33"/>
      <c r="AM1471" s="33"/>
      <c r="AN1471" s="33"/>
      <c r="AO1471" s="33"/>
      <c r="AP1471" s="33"/>
    </row>
    <row r="1472" spans="1:42" ht="15.75" customHeight="1">
      <c r="A1472" s="33"/>
      <c r="B1472" s="33"/>
      <c r="C1472" s="33"/>
      <c r="D1472" s="33"/>
      <c r="E1472" s="33"/>
      <c r="F1472" s="199"/>
      <c r="G1472" s="33"/>
      <c r="H1472" s="33"/>
      <c r="I1472" s="33"/>
      <c r="J1472" s="33"/>
      <c r="K1472" s="33"/>
      <c r="L1472" s="33"/>
      <c r="M1472" s="33"/>
      <c r="N1472" s="33"/>
      <c r="O1472" s="33"/>
      <c r="P1472" s="33"/>
      <c r="Q1472" s="33"/>
      <c r="R1472" s="33"/>
      <c r="S1472" s="33"/>
      <c r="T1472" s="33"/>
      <c r="U1472" s="33"/>
      <c r="V1472" s="33"/>
      <c r="W1472" s="33"/>
      <c r="X1472" s="33"/>
      <c r="Y1472" s="33"/>
      <c r="Z1472" s="33"/>
      <c r="AA1472" s="33"/>
      <c r="AB1472" s="33"/>
      <c r="AC1472" s="33"/>
      <c r="AD1472" s="33"/>
      <c r="AE1472" s="33"/>
      <c r="AF1472" s="33"/>
      <c r="AG1472" s="33"/>
      <c r="AH1472" s="33"/>
      <c r="AI1472" s="33"/>
      <c r="AJ1472" s="33"/>
      <c r="AK1472" s="216"/>
      <c r="AL1472" s="33"/>
      <c r="AM1472" s="33"/>
      <c r="AN1472" s="33"/>
      <c r="AO1472" s="33"/>
      <c r="AP1472" s="33"/>
    </row>
    <row r="1473" spans="1:42" ht="15.75" customHeight="1">
      <c r="A1473" s="33"/>
      <c r="B1473" s="33"/>
      <c r="C1473" s="33"/>
      <c r="D1473" s="33"/>
      <c r="E1473" s="33"/>
      <c r="F1473" s="199"/>
      <c r="G1473" s="33"/>
      <c r="H1473" s="33"/>
      <c r="I1473" s="33"/>
      <c r="J1473" s="33"/>
      <c r="K1473" s="33"/>
      <c r="L1473" s="33"/>
      <c r="M1473" s="33"/>
      <c r="N1473" s="33"/>
      <c r="O1473" s="33"/>
      <c r="P1473" s="33"/>
      <c r="Q1473" s="33"/>
      <c r="R1473" s="33"/>
      <c r="S1473" s="33"/>
      <c r="T1473" s="33"/>
      <c r="U1473" s="33"/>
      <c r="V1473" s="33"/>
      <c r="W1473" s="33"/>
      <c r="X1473" s="33"/>
      <c r="Y1473" s="33"/>
      <c r="Z1473" s="33"/>
      <c r="AA1473" s="33"/>
      <c r="AB1473" s="33"/>
      <c r="AC1473" s="33"/>
      <c r="AD1473" s="33"/>
      <c r="AE1473" s="33"/>
      <c r="AF1473" s="33"/>
      <c r="AG1473" s="33"/>
      <c r="AH1473" s="33"/>
      <c r="AI1473" s="33"/>
      <c r="AJ1473" s="33"/>
      <c r="AK1473" s="216"/>
      <c r="AL1473" s="33"/>
      <c r="AM1473" s="33"/>
      <c r="AN1473" s="33"/>
      <c r="AO1473" s="33"/>
      <c r="AP1473" s="33"/>
    </row>
    <row r="1474" spans="1:42" ht="15.75" customHeight="1">
      <c r="A1474" s="33"/>
      <c r="B1474" s="33"/>
      <c r="C1474" s="33"/>
      <c r="D1474" s="33"/>
      <c r="E1474" s="33"/>
      <c r="F1474" s="199"/>
      <c r="G1474" s="33"/>
      <c r="H1474" s="33"/>
      <c r="I1474" s="33"/>
      <c r="J1474" s="33"/>
      <c r="K1474" s="33"/>
      <c r="L1474" s="33"/>
      <c r="M1474" s="33"/>
      <c r="N1474" s="33"/>
      <c r="O1474" s="33"/>
      <c r="P1474" s="33"/>
      <c r="Q1474" s="33"/>
      <c r="R1474" s="33"/>
      <c r="S1474" s="33"/>
      <c r="T1474" s="33"/>
      <c r="U1474" s="33"/>
      <c r="V1474" s="33"/>
      <c r="W1474" s="33"/>
      <c r="X1474" s="33"/>
      <c r="Y1474" s="33"/>
      <c r="Z1474" s="33"/>
      <c r="AA1474" s="33"/>
      <c r="AB1474" s="33"/>
      <c r="AC1474" s="33"/>
      <c r="AD1474" s="33"/>
      <c r="AE1474" s="33"/>
      <c r="AF1474" s="33"/>
      <c r="AG1474" s="33"/>
      <c r="AH1474" s="33"/>
      <c r="AI1474" s="33"/>
      <c r="AJ1474" s="33"/>
      <c r="AK1474" s="216"/>
      <c r="AL1474" s="33"/>
      <c r="AM1474" s="33"/>
      <c r="AN1474" s="33"/>
      <c r="AO1474" s="33"/>
      <c r="AP1474" s="33"/>
    </row>
    <row r="1475" spans="1:42" ht="15.75" customHeight="1">
      <c r="A1475" s="33"/>
      <c r="B1475" s="33"/>
      <c r="C1475" s="33"/>
      <c r="D1475" s="33"/>
      <c r="E1475" s="33"/>
      <c r="F1475" s="199"/>
      <c r="G1475" s="33"/>
      <c r="H1475" s="33"/>
      <c r="I1475" s="33"/>
      <c r="J1475" s="33"/>
      <c r="K1475" s="33"/>
      <c r="L1475" s="33"/>
      <c r="M1475" s="33"/>
      <c r="N1475" s="33"/>
      <c r="O1475" s="33"/>
      <c r="P1475" s="33"/>
      <c r="Q1475" s="33"/>
      <c r="R1475" s="33"/>
      <c r="S1475" s="33"/>
      <c r="T1475" s="33"/>
      <c r="U1475" s="33"/>
      <c r="V1475" s="33"/>
      <c r="W1475" s="33"/>
      <c r="X1475" s="33"/>
      <c r="Y1475" s="33"/>
      <c r="Z1475" s="33"/>
      <c r="AA1475" s="33"/>
      <c r="AB1475" s="33"/>
      <c r="AC1475" s="33"/>
      <c r="AD1475" s="33"/>
      <c r="AE1475" s="33"/>
      <c r="AF1475" s="33"/>
      <c r="AG1475" s="33"/>
      <c r="AH1475" s="33"/>
      <c r="AI1475" s="33"/>
      <c r="AJ1475" s="33"/>
      <c r="AK1475" s="216"/>
      <c r="AL1475" s="33"/>
      <c r="AM1475" s="33"/>
      <c r="AN1475" s="33"/>
      <c r="AO1475" s="33"/>
      <c r="AP1475" s="33"/>
    </row>
    <row r="1476" spans="1:42" ht="15.75" customHeight="1">
      <c r="A1476" s="33"/>
      <c r="B1476" s="33"/>
      <c r="C1476" s="33"/>
      <c r="D1476" s="33"/>
      <c r="E1476" s="33"/>
      <c r="F1476" s="199"/>
      <c r="G1476" s="33"/>
      <c r="H1476" s="33"/>
      <c r="I1476" s="33"/>
      <c r="J1476" s="33"/>
      <c r="K1476" s="33"/>
      <c r="L1476" s="33"/>
      <c r="M1476" s="33"/>
      <c r="N1476" s="33"/>
      <c r="O1476" s="33"/>
      <c r="P1476" s="33"/>
      <c r="Q1476" s="33"/>
      <c r="R1476" s="33"/>
      <c r="S1476" s="33"/>
      <c r="T1476" s="33"/>
      <c r="U1476" s="33"/>
      <c r="V1476" s="33"/>
      <c r="W1476" s="33"/>
      <c r="X1476" s="33"/>
      <c r="Y1476" s="33"/>
      <c r="Z1476" s="33"/>
      <c r="AA1476" s="33"/>
      <c r="AB1476" s="33"/>
      <c r="AC1476" s="33"/>
      <c r="AD1476" s="33"/>
      <c r="AE1476" s="33"/>
      <c r="AF1476" s="33"/>
      <c r="AG1476" s="33"/>
      <c r="AH1476" s="33"/>
      <c r="AI1476" s="33"/>
      <c r="AJ1476" s="33"/>
      <c r="AK1476" s="216"/>
      <c r="AL1476" s="33"/>
      <c r="AM1476" s="33"/>
      <c r="AN1476" s="33"/>
      <c r="AO1476" s="33"/>
      <c r="AP1476" s="33"/>
    </row>
    <row r="1477" spans="1:42" ht="15.75" customHeight="1">
      <c r="A1477" s="33"/>
      <c r="B1477" s="33"/>
      <c r="C1477" s="33"/>
      <c r="D1477" s="33"/>
      <c r="E1477" s="33"/>
      <c r="F1477" s="199"/>
      <c r="G1477" s="33"/>
      <c r="H1477" s="33"/>
      <c r="I1477" s="33"/>
      <c r="J1477" s="33"/>
      <c r="K1477" s="33"/>
      <c r="L1477" s="33"/>
      <c r="M1477" s="33"/>
      <c r="N1477" s="33"/>
      <c r="O1477" s="33"/>
      <c r="P1477" s="33"/>
      <c r="Q1477" s="33"/>
      <c r="R1477" s="33"/>
      <c r="S1477" s="33"/>
      <c r="T1477" s="33"/>
      <c r="U1477" s="33"/>
      <c r="V1477" s="33"/>
      <c r="W1477" s="33"/>
      <c r="X1477" s="33"/>
      <c r="Y1477" s="33"/>
      <c r="Z1477" s="33"/>
      <c r="AA1477" s="33"/>
      <c r="AB1477" s="33"/>
      <c r="AC1477" s="33"/>
      <c r="AD1477" s="33"/>
      <c r="AE1477" s="33"/>
      <c r="AF1477" s="33"/>
      <c r="AG1477" s="33"/>
      <c r="AH1477" s="33"/>
      <c r="AI1477" s="33"/>
      <c r="AJ1477" s="33"/>
      <c r="AK1477" s="216"/>
      <c r="AL1477" s="33"/>
      <c r="AM1477" s="33"/>
      <c r="AN1477" s="33"/>
      <c r="AO1477" s="33"/>
      <c r="AP1477" s="33"/>
    </row>
    <row r="1478" spans="1:42" ht="15.75" customHeight="1">
      <c r="A1478" s="33"/>
      <c r="B1478" s="33"/>
      <c r="C1478" s="33"/>
      <c r="D1478" s="33"/>
      <c r="E1478" s="33"/>
      <c r="F1478" s="199"/>
      <c r="G1478" s="33"/>
      <c r="H1478" s="33"/>
      <c r="I1478" s="33"/>
      <c r="J1478" s="33"/>
      <c r="K1478" s="33"/>
      <c r="L1478" s="33"/>
      <c r="M1478" s="33"/>
      <c r="N1478" s="33"/>
      <c r="O1478" s="33"/>
      <c r="P1478" s="33"/>
      <c r="Q1478" s="33"/>
      <c r="R1478" s="33"/>
      <c r="S1478" s="33"/>
      <c r="T1478" s="33"/>
      <c r="U1478" s="33"/>
      <c r="V1478" s="33"/>
      <c r="W1478" s="33"/>
      <c r="X1478" s="33"/>
      <c r="Y1478" s="33"/>
      <c r="Z1478" s="33"/>
      <c r="AA1478" s="33"/>
      <c r="AB1478" s="33"/>
      <c r="AC1478" s="33"/>
      <c r="AD1478" s="33"/>
      <c r="AE1478" s="33"/>
      <c r="AF1478" s="33"/>
      <c r="AG1478" s="33"/>
      <c r="AH1478" s="33"/>
      <c r="AI1478" s="33"/>
      <c r="AJ1478" s="33"/>
      <c r="AK1478" s="216"/>
      <c r="AL1478" s="33"/>
      <c r="AM1478" s="33"/>
      <c r="AN1478" s="33"/>
      <c r="AO1478" s="33"/>
      <c r="AP1478" s="33"/>
    </row>
    <row r="1479" spans="1:42" ht="15.75" customHeight="1">
      <c r="A1479" s="33"/>
      <c r="B1479" s="33"/>
      <c r="C1479" s="33"/>
      <c r="D1479" s="33"/>
      <c r="E1479" s="33"/>
      <c r="F1479" s="199"/>
      <c r="G1479" s="33"/>
      <c r="H1479" s="33"/>
      <c r="I1479" s="33"/>
      <c r="J1479" s="33"/>
      <c r="K1479" s="33"/>
      <c r="L1479" s="33"/>
      <c r="M1479" s="33"/>
      <c r="N1479" s="33"/>
      <c r="O1479" s="33"/>
      <c r="P1479" s="33"/>
      <c r="Q1479" s="33"/>
      <c r="R1479" s="33"/>
      <c r="S1479" s="33"/>
      <c r="T1479" s="33"/>
      <c r="U1479" s="33"/>
      <c r="V1479" s="33"/>
      <c r="W1479" s="33"/>
      <c r="X1479" s="33"/>
      <c r="Y1479" s="33"/>
      <c r="Z1479" s="33"/>
      <c r="AA1479" s="33"/>
      <c r="AB1479" s="33"/>
      <c r="AC1479" s="33"/>
      <c r="AD1479" s="33"/>
      <c r="AE1479" s="33"/>
      <c r="AF1479" s="33"/>
      <c r="AG1479" s="33"/>
      <c r="AH1479" s="33"/>
      <c r="AI1479" s="33"/>
      <c r="AJ1479" s="33"/>
      <c r="AK1479" s="216"/>
      <c r="AL1479" s="33"/>
      <c r="AM1479" s="33"/>
      <c r="AN1479" s="33"/>
      <c r="AO1479" s="33"/>
      <c r="AP1479" s="33"/>
    </row>
    <row r="1480" spans="1:42" ht="15.75" customHeight="1">
      <c r="A1480" s="33"/>
      <c r="B1480" s="33"/>
      <c r="C1480" s="33"/>
      <c r="D1480" s="33"/>
      <c r="E1480" s="33"/>
      <c r="F1480" s="199"/>
      <c r="G1480" s="33"/>
      <c r="H1480" s="33"/>
      <c r="I1480" s="33"/>
      <c r="J1480" s="33"/>
      <c r="K1480" s="33"/>
      <c r="L1480" s="33"/>
      <c r="M1480" s="33"/>
      <c r="N1480" s="33"/>
      <c r="O1480" s="33"/>
      <c r="P1480" s="33"/>
      <c r="Q1480" s="33"/>
      <c r="R1480" s="33"/>
      <c r="S1480" s="33"/>
      <c r="T1480" s="33"/>
      <c r="U1480" s="33"/>
      <c r="V1480" s="33"/>
      <c r="W1480" s="33"/>
      <c r="X1480" s="33"/>
      <c r="Y1480" s="33"/>
      <c r="Z1480" s="33"/>
      <c r="AA1480" s="33"/>
      <c r="AB1480" s="33"/>
      <c r="AC1480" s="33"/>
      <c r="AD1480" s="33"/>
      <c r="AE1480" s="33"/>
      <c r="AF1480" s="33"/>
      <c r="AG1480" s="33"/>
      <c r="AH1480" s="33"/>
      <c r="AI1480" s="33"/>
      <c r="AJ1480" s="33"/>
      <c r="AK1480" s="216"/>
      <c r="AL1480" s="33"/>
      <c r="AM1480" s="33"/>
      <c r="AN1480" s="33"/>
      <c r="AO1480" s="33"/>
      <c r="AP1480" s="33"/>
    </row>
    <row r="1481" spans="1:42" ht="15.75" customHeight="1">
      <c r="A1481" s="33"/>
      <c r="B1481" s="33"/>
      <c r="C1481" s="33"/>
      <c r="D1481" s="33"/>
      <c r="E1481" s="33"/>
      <c r="F1481" s="199"/>
      <c r="G1481" s="33"/>
      <c r="H1481" s="33"/>
      <c r="I1481" s="33"/>
      <c r="J1481" s="33"/>
      <c r="K1481" s="33"/>
      <c r="L1481" s="33"/>
      <c r="M1481" s="33"/>
      <c r="N1481" s="33"/>
      <c r="O1481" s="33"/>
      <c r="P1481" s="33"/>
      <c r="Q1481" s="33"/>
      <c r="R1481" s="33"/>
      <c r="S1481" s="33"/>
      <c r="T1481" s="33"/>
      <c r="U1481" s="33"/>
      <c r="V1481" s="33"/>
      <c r="W1481" s="33"/>
      <c r="X1481" s="33"/>
      <c r="Y1481" s="33"/>
      <c r="Z1481" s="33"/>
      <c r="AA1481" s="33"/>
      <c r="AB1481" s="33"/>
      <c r="AC1481" s="33"/>
      <c r="AD1481" s="33"/>
      <c r="AE1481" s="33"/>
      <c r="AF1481" s="33"/>
      <c r="AG1481" s="33"/>
      <c r="AH1481" s="33"/>
      <c r="AI1481" s="33"/>
      <c r="AJ1481" s="33"/>
      <c r="AK1481" s="216"/>
      <c r="AL1481" s="33"/>
      <c r="AM1481" s="33"/>
      <c r="AN1481" s="33"/>
      <c r="AO1481" s="33"/>
      <c r="AP1481" s="33"/>
    </row>
    <row r="1482" spans="1:42" ht="15.75" customHeight="1">
      <c r="A1482" s="33"/>
      <c r="B1482" s="33"/>
      <c r="C1482" s="33"/>
      <c r="D1482" s="33"/>
      <c r="E1482" s="33"/>
      <c r="F1482" s="199"/>
      <c r="G1482" s="33"/>
      <c r="H1482" s="33"/>
      <c r="I1482" s="33"/>
      <c r="J1482" s="33"/>
      <c r="K1482" s="33"/>
      <c r="L1482" s="33"/>
      <c r="M1482" s="33"/>
      <c r="N1482" s="33"/>
      <c r="O1482" s="33"/>
      <c r="P1482" s="33"/>
      <c r="Q1482" s="33"/>
      <c r="R1482" s="33"/>
      <c r="S1482" s="33"/>
      <c r="T1482" s="33"/>
      <c r="U1482" s="33"/>
      <c r="V1482" s="33"/>
      <c r="W1482" s="33"/>
      <c r="X1482" s="33"/>
      <c r="Y1482" s="33"/>
      <c r="Z1482" s="33"/>
      <c r="AA1482" s="33"/>
      <c r="AB1482" s="33"/>
      <c r="AC1482" s="33"/>
      <c r="AD1482" s="33"/>
      <c r="AE1482" s="33"/>
      <c r="AF1482" s="33"/>
      <c r="AG1482" s="33"/>
      <c r="AH1482" s="33"/>
      <c r="AI1482" s="33"/>
      <c r="AJ1482" s="33"/>
      <c r="AK1482" s="216"/>
      <c r="AL1482" s="33"/>
      <c r="AM1482" s="33"/>
      <c r="AN1482" s="33"/>
      <c r="AO1482" s="33"/>
      <c r="AP1482" s="33"/>
    </row>
    <row r="1483" spans="1:42" ht="15.75" customHeight="1">
      <c r="A1483" s="33"/>
      <c r="B1483" s="33"/>
      <c r="C1483" s="33"/>
      <c r="D1483" s="33"/>
      <c r="E1483" s="33"/>
      <c r="F1483" s="199"/>
      <c r="G1483" s="33"/>
      <c r="H1483" s="33"/>
      <c r="I1483" s="33"/>
      <c r="J1483" s="33"/>
      <c r="K1483" s="33"/>
      <c r="L1483" s="33"/>
      <c r="M1483" s="33"/>
      <c r="N1483" s="33"/>
      <c r="O1483" s="33"/>
      <c r="P1483" s="33"/>
      <c r="Q1483" s="33"/>
      <c r="R1483" s="33"/>
      <c r="S1483" s="33"/>
      <c r="T1483" s="33"/>
      <c r="U1483" s="33"/>
      <c r="V1483" s="33"/>
      <c r="W1483" s="33"/>
      <c r="X1483" s="33"/>
      <c r="Y1483" s="33"/>
      <c r="Z1483" s="33"/>
      <c r="AA1483" s="33"/>
      <c r="AB1483" s="33"/>
      <c r="AC1483" s="33"/>
      <c r="AD1483" s="33"/>
      <c r="AE1483" s="33"/>
      <c r="AF1483" s="33"/>
      <c r="AG1483" s="33"/>
      <c r="AH1483" s="33"/>
      <c r="AI1483" s="33"/>
      <c r="AJ1483" s="33"/>
      <c r="AK1483" s="216"/>
      <c r="AL1483" s="33"/>
      <c r="AM1483" s="33"/>
      <c r="AN1483" s="33"/>
      <c r="AO1483" s="33"/>
      <c r="AP1483" s="33"/>
    </row>
    <row r="1484" spans="1:42" ht="15.75" customHeight="1">
      <c r="A1484" s="33"/>
      <c r="B1484" s="33"/>
      <c r="C1484" s="33"/>
      <c r="D1484" s="33"/>
      <c r="E1484" s="33"/>
      <c r="F1484" s="199"/>
      <c r="G1484" s="33"/>
      <c r="H1484" s="33"/>
      <c r="I1484" s="33"/>
      <c r="J1484" s="33"/>
      <c r="K1484" s="33"/>
      <c r="L1484" s="33"/>
      <c r="M1484" s="33"/>
      <c r="N1484" s="33"/>
      <c r="O1484" s="33"/>
      <c r="P1484" s="33"/>
      <c r="Q1484" s="33"/>
      <c r="R1484" s="33"/>
      <c r="S1484" s="33"/>
      <c r="T1484" s="33"/>
      <c r="U1484" s="33"/>
      <c r="V1484" s="33"/>
      <c r="W1484" s="33"/>
      <c r="X1484" s="33"/>
      <c r="Y1484" s="33"/>
      <c r="Z1484" s="33"/>
      <c r="AA1484" s="33"/>
      <c r="AB1484" s="33"/>
      <c r="AC1484" s="33"/>
      <c r="AD1484" s="33"/>
      <c r="AE1484" s="33"/>
      <c r="AF1484" s="33"/>
      <c r="AG1484" s="33"/>
      <c r="AH1484" s="33"/>
      <c r="AI1484" s="33"/>
      <c r="AJ1484" s="33"/>
      <c r="AK1484" s="216"/>
      <c r="AL1484" s="33"/>
      <c r="AM1484" s="33"/>
      <c r="AN1484" s="33"/>
      <c r="AO1484" s="33"/>
      <c r="AP1484" s="33"/>
    </row>
    <row r="1485" spans="1:42" ht="15.75" customHeight="1">
      <c r="A1485" s="33"/>
      <c r="B1485" s="33"/>
      <c r="C1485" s="33"/>
      <c r="D1485" s="33"/>
      <c r="E1485" s="33"/>
      <c r="F1485" s="199"/>
      <c r="G1485" s="33"/>
      <c r="H1485" s="33"/>
      <c r="I1485" s="33"/>
      <c r="J1485" s="33"/>
      <c r="K1485" s="33"/>
      <c r="L1485" s="33"/>
      <c r="M1485" s="33"/>
      <c r="N1485" s="33"/>
      <c r="O1485" s="33"/>
      <c r="P1485" s="33"/>
      <c r="Q1485" s="33"/>
      <c r="R1485" s="33"/>
      <c r="S1485" s="33"/>
      <c r="T1485" s="33"/>
      <c r="U1485" s="33"/>
      <c r="V1485" s="33"/>
      <c r="W1485" s="33"/>
      <c r="X1485" s="33"/>
      <c r="Y1485" s="33"/>
      <c r="Z1485" s="33"/>
      <c r="AA1485" s="33"/>
      <c r="AB1485" s="33"/>
      <c r="AC1485" s="33"/>
      <c r="AD1485" s="33"/>
      <c r="AE1485" s="33"/>
      <c r="AF1485" s="33"/>
      <c r="AG1485" s="33"/>
      <c r="AH1485" s="33"/>
      <c r="AI1485" s="33"/>
      <c r="AJ1485" s="33"/>
      <c r="AK1485" s="216"/>
      <c r="AL1485" s="33"/>
      <c r="AM1485" s="33"/>
      <c r="AN1485" s="33"/>
      <c r="AO1485" s="33"/>
      <c r="AP1485" s="33"/>
    </row>
    <row r="1486" spans="1:42" ht="15.75" customHeight="1">
      <c r="A1486" s="33"/>
      <c r="B1486" s="33"/>
      <c r="C1486" s="33"/>
      <c r="D1486" s="33"/>
      <c r="E1486" s="33"/>
      <c r="F1486" s="199"/>
      <c r="G1486" s="33"/>
      <c r="H1486" s="33"/>
      <c r="I1486" s="33"/>
      <c r="J1486" s="33"/>
      <c r="K1486" s="33"/>
      <c r="L1486" s="33"/>
      <c r="M1486" s="33"/>
      <c r="N1486" s="33"/>
      <c r="O1486" s="33"/>
      <c r="P1486" s="33"/>
      <c r="Q1486" s="33"/>
      <c r="R1486" s="33"/>
      <c r="S1486" s="33"/>
      <c r="T1486" s="33"/>
      <c r="U1486" s="33"/>
      <c r="V1486" s="33"/>
      <c r="W1486" s="33"/>
      <c r="X1486" s="33"/>
      <c r="Y1486" s="33"/>
      <c r="Z1486" s="33"/>
      <c r="AA1486" s="33"/>
      <c r="AB1486" s="33"/>
      <c r="AC1486" s="33"/>
      <c r="AD1486" s="33"/>
      <c r="AE1486" s="33"/>
      <c r="AF1486" s="33"/>
      <c r="AG1486" s="33"/>
      <c r="AH1486" s="33"/>
      <c r="AI1486" s="33"/>
      <c r="AJ1486" s="33"/>
      <c r="AK1486" s="216"/>
      <c r="AL1486" s="33"/>
      <c r="AM1486" s="33"/>
      <c r="AN1486" s="33"/>
      <c r="AO1486" s="33"/>
      <c r="AP1486" s="33"/>
    </row>
    <row r="1487" spans="1:42" ht="15.75" customHeight="1">
      <c r="A1487" s="33"/>
      <c r="B1487" s="33"/>
      <c r="C1487" s="33"/>
      <c r="D1487" s="33"/>
      <c r="E1487" s="33"/>
      <c r="F1487" s="199"/>
      <c r="G1487" s="33"/>
      <c r="H1487" s="33"/>
      <c r="I1487" s="33"/>
      <c r="J1487" s="33"/>
      <c r="K1487" s="33"/>
      <c r="L1487" s="33"/>
      <c r="M1487" s="33"/>
      <c r="N1487" s="33"/>
      <c r="O1487" s="33"/>
      <c r="P1487" s="33"/>
      <c r="Q1487" s="33"/>
      <c r="R1487" s="33"/>
      <c r="S1487" s="33"/>
      <c r="T1487" s="33"/>
      <c r="U1487" s="33"/>
      <c r="V1487" s="33"/>
      <c r="W1487" s="33"/>
      <c r="X1487" s="33"/>
      <c r="Y1487" s="33"/>
      <c r="Z1487" s="33"/>
      <c r="AA1487" s="33"/>
      <c r="AB1487" s="33"/>
      <c r="AC1487" s="33"/>
      <c r="AD1487" s="33"/>
      <c r="AE1487" s="33"/>
      <c r="AF1487" s="33"/>
      <c r="AG1487" s="33"/>
      <c r="AH1487" s="33"/>
      <c r="AI1487" s="33"/>
      <c r="AJ1487" s="33"/>
      <c r="AK1487" s="216"/>
      <c r="AL1487" s="33"/>
      <c r="AM1487" s="33"/>
      <c r="AN1487" s="33"/>
      <c r="AO1487" s="33"/>
      <c r="AP1487" s="33"/>
    </row>
    <row r="1488" spans="1:42" ht="15.75" customHeight="1">
      <c r="A1488" s="33"/>
      <c r="B1488" s="33"/>
      <c r="C1488" s="33"/>
      <c r="D1488" s="33"/>
      <c r="E1488" s="33"/>
      <c r="F1488" s="199"/>
      <c r="G1488" s="33"/>
      <c r="H1488" s="33"/>
      <c r="I1488" s="33"/>
      <c r="J1488" s="33"/>
      <c r="K1488" s="33"/>
      <c r="L1488" s="33"/>
      <c r="M1488" s="33"/>
      <c r="N1488" s="33"/>
      <c r="O1488" s="33"/>
      <c r="P1488" s="33"/>
      <c r="Q1488" s="33"/>
      <c r="R1488" s="33"/>
      <c r="S1488" s="33"/>
      <c r="T1488" s="33"/>
      <c r="U1488" s="33"/>
      <c r="V1488" s="33"/>
      <c r="W1488" s="33"/>
      <c r="X1488" s="33"/>
      <c r="Y1488" s="33"/>
      <c r="Z1488" s="33"/>
      <c r="AA1488" s="33"/>
      <c r="AB1488" s="33"/>
      <c r="AC1488" s="33"/>
      <c r="AD1488" s="33"/>
      <c r="AE1488" s="33"/>
      <c r="AF1488" s="33"/>
      <c r="AG1488" s="33"/>
      <c r="AH1488" s="33"/>
      <c r="AI1488" s="33"/>
      <c r="AJ1488" s="33"/>
      <c r="AK1488" s="216"/>
      <c r="AL1488" s="33"/>
      <c r="AM1488" s="33"/>
      <c r="AN1488" s="33"/>
      <c r="AO1488" s="33"/>
      <c r="AP1488" s="33"/>
    </row>
    <row r="1489" spans="1:42" ht="15.75" customHeight="1">
      <c r="A1489" s="33"/>
      <c r="B1489" s="33"/>
      <c r="C1489" s="33"/>
      <c r="D1489" s="33"/>
      <c r="E1489" s="33"/>
      <c r="F1489" s="199"/>
      <c r="G1489" s="33"/>
      <c r="H1489" s="33"/>
      <c r="I1489" s="33"/>
      <c r="J1489" s="33"/>
      <c r="K1489" s="33"/>
      <c r="L1489" s="33"/>
      <c r="M1489" s="33"/>
      <c r="N1489" s="33"/>
      <c r="O1489" s="33"/>
      <c r="P1489" s="33"/>
      <c r="Q1489" s="33"/>
      <c r="R1489" s="33"/>
      <c r="S1489" s="33"/>
      <c r="T1489" s="33"/>
      <c r="U1489" s="33"/>
      <c r="V1489" s="33"/>
      <c r="W1489" s="33"/>
      <c r="X1489" s="33"/>
      <c r="Y1489" s="33"/>
      <c r="Z1489" s="33"/>
      <c r="AA1489" s="33"/>
      <c r="AB1489" s="33"/>
      <c r="AC1489" s="33"/>
      <c r="AD1489" s="33"/>
      <c r="AE1489" s="33"/>
      <c r="AF1489" s="33"/>
      <c r="AG1489" s="33"/>
      <c r="AH1489" s="33"/>
      <c r="AI1489" s="33"/>
      <c r="AJ1489" s="33"/>
      <c r="AK1489" s="216"/>
      <c r="AL1489" s="33"/>
      <c r="AM1489" s="33"/>
      <c r="AN1489" s="33"/>
      <c r="AO1489" s="33"/>
      <c r="AP1489" s="33"/>
    </row>
    <row r="1490" spans="1:42" ht="15.75" customHeight="1">
      <c r="A1490" s="33"/>
      <c r="B1490" s="33"/>
      <c r="C1490" s="33"/>
      <c r="D1490" s="33"/>
      <c r="E1490" s="33"/>
      <c r="F1490" s="199"/>
      <c r="G1490" s="33"/>
      <c r="H1490" s="33"/>
      <c r="I1490" s="33"/>
      <c r="J1490" s="33"/>
      <c r="K1490" s="33"/>
      <c r="L1490" s="33"/>
      <c r="M1490" s="33"/>
      <c r="N1490" s="33"/>
      <c r="O1490" s="33"/>
      <c r="P1490" s="33"/>
      <c r="Q1490" s="33"/>
      <c r="R1490" s="33"/>
      <c r="S1490" s="33"/>
      <c r="T1490" s="33"/>
      <c r="U1490" s="33"/>
      <c r="V1490" s="33"/>
      <c r="W1490" s="33"/>
      <c r="X1490" s="33"/>
      <c r="Y1490" s="33"/>
      <c r="Z1490" s="33"/>
      <c r="AA1490" s="33"/>
      <c r="AB1490" s="33"/>
      <c r="AC1490" s="33"/>
      <c r="AD1490" s="33"/>
      <c r="AE1490" s="33"/>
      <c r="AF1490" s="33"/>
      <c r="AG1490" s="33"/>
      <c r="AH1490" s="33"/>
      <c r="AI1490" s="33"/>
      <c r="AJ1490" s="33"/>
      <c r="AK1490" s="216"/>
      <c r="AL1490" s="33"/>
      <c r="AM1490" s="33"/>
      <c r="AN1490" s="33"/>
      <c r="AO1490" s="33"/>
      <c r="AP1490" s="33"/>
    </row>
    <row r="1491" spans="1:42" ht="15.75" customHeight="1">
      <c r="A1491" s="33"/>
      <c r="B1491" s="33"/>
      <c r="C1491" s="33"/>
      <c r="D1491" s="33"/>
      <c r="E1491" s="33"/>
      <c r="F1491" s="199"/>
      <c r="G1491" s="33"/>
      <c r="H1491" s="33"/>
      <c r="I1491" s="33"/>
      <c r="J1491" s="33"/>
      <c r="K1491" s="33"/>
      <c r="L1491" s="33"/>
      <c r="M1491" s="33"/>
      <c r="N1491" s="33"/>
      <c r="O1491" s="33"/>
      <c r="P1491" s="33"/>
      <c r="Q1491" s="33"/>
      <c r="R1491" s="33"/>
      <c r="S1491" s="33"/>
      <c r="T1491" s="33"/>
      <c r="U1491" s="33"/>
      <c r="V1491" s="33"/>
      <c r="W1491" s="33"/>
      <c r="X1491" s="33"/>
      <c r="Y1491" s="33"/>
      <c r="Z1491" s="33"/>
      <c r="AA1491" s="33"/>
      <c r="AB1491" s="33"/>
      <c r="AC1491" s="33"/>
      <c r="AD1491" s="33"/>
      <c r="AE1491" s="33"/>
      <c r="AF1491" s="33"/>
      <c r="AG1491" s="33"/>
      <c r="AH1491" s="33"/>
      <c r="AI1491" s="33"/>
      <c r="AJ1491" s="33"/>
      <c r="AK1491" s="216"/>
      <c r="AL1491" s="33"/>
      <c r="AM1491" s="33"/>
      <c r="AN1491" s="33"/>
      <c r="AO1491" s="33"/>
      <c r="AP1491" s="33"/>
    </row>
    <row r="1492" spans="1:42" ht="15.75" customHeight="1">
      <c r="A1492" s="33"/>
      <c r="B1492" s="33"/>
      <c r="C1492" s="33"/>
      <c r="D1492" s="33"/>
      <c r="E1492" s="33"/>
      <c r="F1492" s="199"/>
      <c r="G1492" s="33"/>
      <c r="H1492" s="33"/>
      <c r="I1492" s="33"/>
      <c r="J1492" s="33"/>
      <c r="K1492" s="33"/>
      <c r="L1492" s="33"/>
      <c r="M1492" s="33"/>
      <c r="N1492" s="33"/>
      <c r="O1492" s="33"/>
      <c r="P1492" s="33"/>
      <c r="Q1492" s="33"/>
      <c r="R1492" s="33"/>
      <c r="S1492" s="33"/>
      <c r="T1492" s="33"/>
      <c r="U1492" s="33"/>
      <c r="V1492" s="33"/>
      <c r="W1492" s="33"/>
      <c r="X1492" s="33"/>
      <c r="Y1492" s="33"/>
      <c r="Z1492" s="33"/>
      <c r="AA1492" s="33"/>
      <c r="AB1492" s="33"/>
      <c r="AC1492" s="33"/>
      <c r="AD1492" s="33"/>
      <c r="AE1492" s="33"/>
      <c r="AF1492" s="33"/>
      <c r="AG1492" s="33"/>
      <c r="AH1492" s="33"/>
      <c r="AI1492" s="33"/>
      <c r="AJ1492" s="33"/>
      <c r="AK1492" s="216"/>
      <c r="AL1492" s="33"/>
      <c r="AM1492" s="33"/>
      <c r="AN1492" s="33"/>
      <c r="AO1492" s="33"/>
      <c r="AP1492" s="33"/>
    </row>
    <row r="1493" spans="1:42" ht="15.75" customHeight="1">
      <c r="A1493" s="33"/>
      <c r="B1493" s="33"/>
      <c r="C1493" s="33"/>
      <c r="D1493" s="33"/>
      <c r="E1493" s="33"/>
      <c r="F1493" s="199"/>
      <c r="G1493" s="33"/>
      <c r="H1493" s="33"/>
      <c r="I1493" s="33"/>
      <c r="J1493" s="33"/>
      <c r="K1493" s="33"/>
      <c r="L1493" s="33"/>
      <c r="M1493" s="33"/>
      <c r="N1493" s="33"/>
      <c r="O1493" s="33"/>
      <c r="P1493" s="33"/>
      <c r="Q1493" s="33"/>
      <c r="R1493" s="33"/>
      <c r="S1493" s="33"/>
      <c r="T1493" s="33"/>
      <c r="U1493" s="33"/>
      <c r="V1493" s="33"/>
      <c r="W1493" s="33"/>
      <c r="X1493" s="33"/>
      <c r="Y1493" s="33"/>
      <c r="Z1493" s="33"/>
      <c r="AA1493" s="33"/>
      <c r="AB1493" s="33"/>
      <c r="AC1493" s="33"/>
      <c r="AD1493" s="33"/>
      <c r="AE1493" s="33"/>
      <c r="AF1493" s="33"/>
      <c r="AG1493" s="33"/>
      <c r="AH1493" s="33"/>
      <c r="AI1493" s="33"/>
      <c r="AJ1493" s="33"/>
      <c r="AK1493" s="216"/>
      <c r="AL1493" s="33"/>
      <c r="AM1493" s="33"/>
      <c r="AN1493" s="33"/>
      <c r="AO1493" s="33"/>
      <c r="AP1493" s="33"/>
    </row>
    <row r="1494" spans="1:42" ht="15.75" customHeight="1">
      <c r="A1494" s="33"/>
      <c r="B1494" s="33"/>
      <c r="C1494" s="33"/>
      <c r="D1494" s="33"/>
      <c r="E1494" s="33"/>
      <c r="F1494" s="199"/>
      <c r="G1494" s="33"/>
      <c r="H1494" s="33"/>
      <c r="I1494" s="33"/>
      <c r="J1494" s="33"/>
      <c r="K1494" s="33"/>
      <c r="L1494" s="33"/>
      <c r="M1494" s="33"/>
      <c r="N1494" s="33"/>
      <c r="O1494" s="33"/>
      <c r="P1494" s="33"/>
      <c r="Q1494" s="33"/>
      <c r="R1494" s="33"/>
      <c r="S1494" s="33"/>
      <c r="T1494" s="33"/>
      <c r="U1494" s="33"/>
      <c r="V1494" s="33"/>
      <c r="W1494" s="33"/>
      <c r="X1494" s="33"/>
      <c r="Y1494" s="33"/>
      <c r="Z1494" s="33"/>
      <c r="AA1494" s="33"/>
      <c r="AB1494" s="33"/>
      <c r="AC1494" s="33"/>
      <c r="AD1494" s="33"/>
      <c r="AE1494" s="33"/>
      <c r="AF1494" s="33"/>
      <c r="AG1494" s="33"/>
      <c r="AH1494" s="33"/>
      <c r="AI1494" s="33"/>
      <c r="AJ1494" s="33"/>
      <c r="AK1494" s="216"/>
      <c r="AL1494" s="33"/>
      <c r="AM1494" s="33"/>
      <c r="AN1494" s="33"/>
      <c r="AO1494" s="33"/>
      <c r="AP1494" s="33"/>
    </row>
    <row r="1495" spans="1:42" ht="15.75" customHeight="1">
      <c r="A1495" s="33"/>
      <c r="B1495" s="33"/>
      <c r="C1495" s="33"/>
      <c r="D1495" s="33"/>
      <c r="E1495" s="33"/>
      <c r="F1495" s="199"/>
      <c r="G1495" s="33"/>
      <c r="H1495" s="33"/>
      <c r="I1495" s="33"/>
      <c r="J1495" s="33"/>
      <c r="K1495" s="33"/>
      <c r="L1495" s="33"/>
      <c r="M1495" s="33"/>
      <c r="N1495" s="33"/>
      <c r="O1495" s="33"/>
      <c r="P1495" s="33"/>
      <c r="Q1495" s="33"/>
      <c r="R1495" s="33"/>
      <c r="S1495" s="33"/>
      <c r="T1495" s="33"/>
      <c r="U1495" s="33"/>
      <c r="V1495" s="33"/>
      <c r="W1495" s="33"/>
      <c r="X1495" s="33"/>
      <c r="Y1495" s="33"/>
      <c r="Z1495" s="33"/>
      <c r="AA1495" s="33"/>
      <c r="AB1495" s="33"/>
      <c r="AC1495" s="33"/>
      <c r="AD1495" s="33"/>
      <c r="AE1495" s="33"/>
      <c r="AF1495" s="33"/>
      <c r="AG1495" s="33"/>
      <c r="AH1495" s="33"/>
      <c r="AI1495" s="33"/>
      <c r="AJ1495" s="33"/>
      <c r="AK1495" s="216"/>
      <c r="AL1495" s="33"/>
      <c r="AM1495" s="33"/>
      <c r="AN1495" s="33"/>
      <c r="AO1495" s="33"/>
      <c r="AP1495" s="33"/>
    </row>
    <row r="1496" spans="1:42" ht="15.75" customHeight="1">
      <c r="A1496" s="33"/>
      <c r="B1496" s="33"/>
      <c r="C1496" s="33"/>
      <c r="D1496" s="33"/>
      <c r="E1496" s="33"/>
      <c r="F1496" s="199"/>
      <c r="G1496" s="33"/>
      <c r="H1496" s="33"/>
      <c r="I1496" s="33"/>
      <c r="J1496" s="33"/>
      <c r="K1496" s="33"/>
      <c r="L1496" s="33"/>
      <c r="M1496" s="33"/>
      <c r="N1496" s="33"/>
      <c r="O1496" s="33"/>
      <c r="P1496" s="33"/>
      <c r="Q1496" s="33"/>
      <c r="R1496" s="33"/>
      <c r="S1496" s="33"/>
      <c r="T1496" s="33"/>
      <c r="U1496" s="33"/>
      <c r="V1496" s="33"/>
      <c r="W1496" s="33"/>
      <c r="X1496" s="33"/>
      <c r="Y1496" s="33"/>
      <c r="Z1496" s="33"/>
      <c r="AA1496" s="33"/>
      <c r="AB1496" s="33"/>
      <c r="AC1496" s="33"/>
      <c r="AD1496" s="33"/>
      <c r="AE1496" s="33"/>
      <c r="AF1496" s="33"/>
      <c r="AG1496" s="33"/>
      <c r="AH1496" s="33"/>
      <c r="AI1496" s="33"/>
      <c r="AJ1496" s="33"/>
      <c r="AK1496" s="216"/>
      <c r="AL1496" s="33"/>
      <c r="AM1496" s="33"/>
      <c r="AN1496" s="33"/>
      <c r="AO1496" s="33"/>
      <c r="AP1496" s="33"/>
    </row>
    <row r="1497" spans="1:42" ht="15.75" customHeight="1">
      <c r="A1497" s="33"/>
      <c r="B1497" s="33"/>
      <c r="C1497" s="33"/>
      <c r="D1497" s="33"/>
      <c r="E1497" s="33"/>
      <c r="F1497" s="199"/>
      <c r="G1497" s="33"/>
      <c r="H1497" s="33"/>
      <c r="I1497" s="33"/>
      <c r="J1497" s="33"/>
      <c r="K1497" s="33"/>
      <c r="L1497" s="33"/>
      <c r="M1497" s="33"/>
      <c r="N1497" s="33"/>
      <c r="O1497" s="33"/>
      <c r="P1497" s="33"/>
      <c r="Q1497" s="33"/>
      <c r="R1497" s="33"/>
      <c r="S1497" s="33"/>
      <c r="T1497" s="33"/>
      <c r="U1497" s="33"/>
      <c r="V1497" s="33"/>
      <c r="W1497" s="33"/>
      <c r="X1497" s="33"/>
      <c r="Y1497" s="33"/>
      <c r="Z1497" s="33"/>
      <c r="AA1497" s="33"/>
      <c r="AB1497" s="33"/>
      <c r="AC1497" s="33"/>
      <c r="AD1497" s="33"/>
      <c r="AE1497" s="33"/>
      <c r="AF1497" s="33"/>
      <c r="AG1497" s="33"/>
      <c r="AH1497" s="33"/>
      <c r="AI1497" s="33"/>
      <c r="AJ1497" s="33"/>
      <c r="AK1497" s="216"/>
      <c r="AL1497" s="33"/>
      <c r="AM1497" s="33"/>
      <c r="AN1497" s="33"/>
      <c r="AO1497" s="33"/>
      <c r="AP1497" s="33"/>
    </row>
    <row r="1498" spans="1:42" ht="15.75" customHeight="1">
      <c r="A1498" s="33"/>
      <c r="B1498" s="33"/>
      <c r="C1498" s="33"/>
      <c r="D1498" s="33"/>
      <c r="E1498" s="33"/>
      <c r="F1498" s="199"/>
      <c r="G1498" s="33"/>
      <c r="H1498" s="33"/>
      <c r="I1498" s="33"/>
      <c r="J1498" s="33"/>
      <c r="K1498" s="33"/>
      <c r="L1498" s="33"/>
      <c r="M1498" s="33"/>
      <c r="N1498" s="33"/>
      <c r="O1498" s="33"/>
      <c r="P1498" s="33"/>
      <c r="Q1498" s="33"/>
      <c r="R1498" s="33"/>
      <c r="S1498" s="33"/>
      <c r="T1498" s="33"/>
      <c r="U1498" s="33"/>
      <c r="V1498" s="33"/>
      <c r="W1498" s="33"/>
      <c r="X1498" s="33"/>
      <c r="Y1498" s="33"/>
      <c r="Z1498" s="33"/>
      <c r="AA1498" s="33"/>
      <c r="AB1498" s="33"/>
      <c r="AC1498" s="33"/>
      <c r="AD1498" s="33"/>
      <c r="AE1498" s="33"/>
      <c r="AF1498" s="33"/>
      <c r="AG1498" s="33"/>
      <c r="AH1498" s="33"/>
      <c r="AI1498" s="33"/>
      <c r="AJ1498" s="33"/>
      <c r="AK1498" s="216"/>
      <c r="AL1498" s="33"/>
      <c r="AM1498" s="33"/>
      <c r="AN1498" s="33"/>
      <c r="AO1498" s="33"/>
      <c r="AP1498" s="33"/>
    </row>
    <row r="1499" spans="1:42" ht="15.75" customHeight="1">
      <c r="A1499" s="33"/>
      <c r="B1499" s="33"/>
      <c r="C1499" s="33"/>
      <c r="D1499" s="33"/>
      <c r="E1499" s="33"/>
      <c r="F1499" s="199"/>
      <c r="G1499" s="33"/>
      <c r="H1499" s="33"/>
      <c r="I1499" s="33"/>
      <c r="J1499" s="33"/>
      <c r="K1499" s="33"/>
      <c r="L1499" s="33"/>
      <c r="M1499" s="33"/>
      <c r="N1499" s="33"/>
      <c r="O1499" s="33"/>
      <c r="P1499" s="33"/>
      <c r="Q1499" s="33"/>
      <c r="R1499" s="33"/>
      <c r="S1499" s="33"/>
      <c r="T1499" s="33"/>
      <c r="U1499" s="33"/>
      <c r="V1499" s="33"/>
      <c r="W1499" s="33"/>
      <c r="X1499" s="33"/>
      <c r="Y1499" s="33"/>
      <c r="Z1499" s="33"/>
      <c r="AA1499" s="33"/>
      <c r="AB1499" s="33"/>
      <c r="AC1499" s="33"/>
      <c r="AD1499" s="33"/>
      <c r="AE1499" s="33"/>
      <c r="AF1499" s="33"/>
      <c r="AG1499" s="33"/>
      <c r="AH1499" s="33"/>
      <c r="AI1499" s="33"/>
      <c r="AJ1499" s="33"/>
      <c r="AK1499" s="216"/>
      <c r="AL1499" s="33"/>
      <c r="AM1499" s="33"/>
      <c r="AN1499" s="33"/>
      <c r="AO1499" s="33"/>
      <c r="AP1499" s="33"/>
    </row>
    <row r="1500" spans="1:42" ht="15.75" customHeight="1">
      <c r="A1500" s="33"/>
      <c r="B1500" s="33"/>
      <c r="C1500" s="33"/>
      <c r="D1500" s="33"/>
      <c r="E1500" s="33"/>
      <c r="F1500" s="199"/>
      <c r="G1500" s="33"/>
      <c r="H1500" s="33"/>
      <c r="I1500" s="33"/>
      <c r="J1500" s="33"/>
      <c r="K1500" s="33"/>
      <c r="L1500" s="33"/>
      <c r="M1500" s="33"/>
      <c r="N1500" s="33"/>
      <c r="O1500" s="33"/>
      <c r="P1500" s="33"/>
      <c r="Q1500" s="33"/>
      <c r="R1500" s="33"/>
      <c r="S1500" s="33"/>
      <c r="T1500" s="33"/>
      <c r="U1500" s="33"/>
      <c r="V1500" s="33"/>
      <c r="W1500" s="33"/>
      <c r="X1500" s="33"/>
      <c r="Y1500" s="33"/>
      <c r="Z1500" s="33"/>
      <c r="AA1500" s="33"/>
      <c r="AB1500" s="33"/>
      <c r="AC1500" s="33"/>
      <c r="AD1500" s="33"/>
      <c r="AE1500" s="33"/>
      <c r="AF1500" s="33"/>
      <c r="AG1500" s="33"/>
      <c r="AH1500" s="33"/>
      <c r="AI1500" s="33"/>
      <c r="AJ1500" s="33"/>
      <c r="AK1500" s="216"/>
      <c r="AL1500" s="33"/>
      <c r="AM1500" s="33"/>
      <c r="AN1500" s="33"/>
      <c r="AO1500" s="33"/>
      <c r="AP1500" s="33"/>
    </row>
    <row r="1501" spans="1:42" ht="15.75" customHeight="1">
      <c r="A1501" s="33"/>
      <c r="B1501" s="33"/>
      <c r="C1501" s="33"/>
      <c r="D1501" s="33"/>
      <c r="E1501" s="33"/>
      <c r="F1501" s="199"/>
      <c r="G1501" s="33"/>
      <c r="H1501" s="33"/>
      <c r="I1501" s="33"/>
      <c r="J1501" s="33"/>
      <c r="K1501" s="33"/>
      <c r="L1501" s="33"/>
      <c r="M1501" s="33"/>
      <c r="N1501" s="33"/>
      <c r="O1501" s="33"/>
      <c r="P1501" s="33"/>
      <c r="Q1501" s="33"/>
      <c r="R1501" s="33"/>
      <c r="S1501" s="33"/>
      <c r="T1501" s="33"/>
      <c r="U1501" s="33"/>
      <c r="V1501" s="33"/>
      <c r="W1501" s="33"/>
      <c r="X1501" s="33"/>
      <c r="Y1501" s="33"/>
      <c r="Z1501" s="33"/>
      <c r="AA1501" s="33"/>
      <c r="AB1501" s="33"/>
      <c r="AC1501" s="33"/>
      <c r="AD1501" s="33"/>
      <c r="AE1501" s="33"/>
      <c r="AF1501" s="33"/>
      <c r="AG1501" s="33"/>
      <c r="AH1501" s="33"/>
      <c r="AI1501" s="33"/>
      <c r="AJ1501" s="33"/>
      <c r="AK1501" s="216"/>
      <c r="AL1501" s="33"/>
      <c r="AM1501" s="33"/>
      <c r="AN1501" s="33"/>
      <c r="AO1501" s="33"/>
      <c r="AP1501" s="33"/>
    </row>
    <row r="1502" spans="1:42" ht="15.75" customHeight="1">
      <c r="A1502" s="33"/>
      <c r="B1502" s="33"/>
      <c r="C1502" s="33"/>
      <c r="D1502" s="33"/>
      <c r="E1502" s="33"/>
      <c r="F1502" s="199"/>
      <c r="G1502" s="33"/>
      <c r="H1502" s="33"/>
      <c r="I1502" s="33"/>
      <c r="J1502" s="33"/>
      <c r="K1502" s="33"/>
      <c r="L1502" s="33"/>
      <c r="M1502" s="33"/>
      <c r="N1502" s="33"/>
      <c r="O1502" s="33"/>
      <c r="P1502" s="33"/>
      <c r="Q1502" s="33"/>
      <c r="R1502" s="33"/>
      <c r="S1502" s="33"/>
      <c r="T1502" s="33"/>
      <c r="U1502" s="33"/>
      <c r="V1502" s="33"/>
      <c r="W1502" s="33"/>
      <c r="X1502" s="33"/>
      <c r="Y1502" s="33"/>
      <c r="Z1502" s="33"/>
      <c r="AA1502" s="33"/>
      <c r="AB1502" s="33"/>
      <c r="AC1502" s="33"/>
      <c r="AD1502" s="33"/>
      <c r="AE1502" s="33"/>
      <c r="AF1502" s="33"/>
      <c r="AG1502" s="33"/>
      <c r="AH1502" s="33"/>
      <c r="AI1502" s="33"/>
      <c r="AJ1502" s="33"/>
      <c r="AK1502" s="216"/>
      <c r="AL1502" s="33"/>
      <c r="AM1502" s="33"/>
      <c r="AN1502" s="33"/>
      <c r="AO1502" s="33"/>
      <c r="AP1502" s="33"/>
    </row>
    <row r="1503" spans="1:42" ht="15.75" customHeight="1">
      <c r="A1503" s="33"/>
      <c r="B1503" s="33"/>
      <c r="C1503" s="33"/>
      <c r="D1503" s="33"/>
      <c r="E1503" s="33"/>
      <c r="F1503" s="199"/>
      <c r="G1503" s="33"/>
      <c r="H1503" s="33"/>
      <c r="I1503" s="33"/>
      <c r="J1503" s="33"/>
      <c r="K1503" s="33"/>
      <c r="L1503" s="33"/>
      <c r="M1503" s="33"/>
      <c r="N1503" s="33"/>
      <c r="O1503" s="33"/>
      <c r="P1503" s="33"/>
      <c r="Q1503" s="33"/>
      <c r="R1503" s="33"/>
      <c r="S1503" s="33"/>
      <c r="T1503" s="33"/>
      <c r="U1503" s="33"/>
      <c r="V1503" s="33"/>
      <c r="W1503" s="33"/>
      <c r="X1503" s="33"/>
      <c r="Y1503" s="33"/>
      <c r="Z1503" s="33"/>
      <c r="AA1503" s="33"/>
      <c r="AB1503" s="33"/>
      <c r="AC1503" s="33"/>
      <c r="AD1503" s="33"/>
      <c r="AE1503" s="33"/>
      <c r="AF1503" s="33"/>
      <c r="AG1503" s="33"/>
      <c r="AH1503" s="33"/>
      <c r="AI1503" s="33"/>
      <c r="AJ1503" s="33"/>
      <c r="AK1503" s="216"/>
      <c r="AL1503" s="33"/>
      <c r="AM1503" s="33"/>
      <c r="AN1503" s="33"/>
      <c r="AO1503" s="33"/>
      <c r="AP1503" s="33"/>
    </row>
    <row r="1504" spans="1:42" ht="15.75" customHeight="1">
      <c r="A1504" s="33"/>
      <c r="B1504" s="33"/>
      <c r="C1504" s="33"/>
      <c r="D1504" s="33"/>
      <c r="E1504" s="33"/>
      <c r="F1504" s="199"/>
      <c r="G1504" s="33"/>
      <c r="H1504" s="33"/>
      <c r="I1504" s="33"/>
      <c r="J1504" s="33"/>
      <c r="K1504" s="33"/>
      <c r="L1504" s="33"/>
      <c r="M1504" s="33"/>
      <c r="N1504" s="33"/>
      <c r="O1504" s="33"/>
      <c r="P1504" s="33"/>
      <c r="Q1504" s="33"/>
      <c r="R1504" s="33"/>
      <c r="S1504" s="33"/>
      <c r="T1504" s="33"/>
      <c r="U1504" s="33"/>
      <c r="V1504" s="33"/>
      <c r="W1504" s="33"/>
      <c r="X1504" s="33"/>
      <c r="Y1504" s="33"/>
      <c r="Z1504" s="33"/>
      <c r="AA1504" s="33"/>
      <c r="AB1504" s="33"/>
      <c r="AC1504" s="33"/>
      <c r="AD1504" s="33"/>
      <c r="AE1504" s="33"/>
      <c r="AF1504" s="33"/>
      <c r="AG1504" s="33"/>
      <c r="AH1504" s="33"/>
      <c r="AI1504" s="33"/>
      <c r="AJ1504" s="33"/>
      <c r="AK1504" s="216"/>
      <c r="AL1504" s="33"/>
      <c r="AM1504" s="33"/>
      <c r="AN1504" s="33"/>
      <c r="AO1504" s="33"/>
      <c r="AP1504" s="33"/>
    </row>
    <row r="1505" spans="1:42" ht="15.75" customHeight="1">
      <c r="A1505" s="33"/>
      <c r="B1505" s="33"/>
      <c r="C1505" s="33"/>
      <c r="D1505" s="33"/>
      <c r="E1505" s="33"/>
      <c r="F1505" s="199"/>
      <c r="G1505" s="33"/>
      <c r="H1505" s="33"/>
      <c r="I1505" s="33"/>
      <c r="J1505" s="33"/>
      <c r="K1505" s="33"/>
      <c r="L1505" s="33"/>
      <c r="M1505" s="33"/>
      <c r="N1505" s="33"/>
      <c r="O1505" s="33"/>
      <c r="P1505" s="33"/>
      <c r="Q1505" s="33"/>
      <c r="R1505" s="33"/>
      <c r="S1505" s="33"/>
      <c r="T1505" s="33"/>
      <c r="U1505" s="33"/>
      <c r="V1505" s="33"/>
      <c r="W1505" s="33"/>
      <c r="X1505" s="33"/>
      <c r="Y1505" s="33"/>
      <c r="Z1505" s="33"/>
      <c r="AA1505" s="33"/>
      <c r="AB1505" s="33"/>
      <c r="AC1505" s="33"/>
      <c r="AD1505" s="33"/>
      <c r="AE1505" s="33"/>
      <c r="AF1505" s="33"/>
      <c r="AG1505" s="33"/>
      <c r="AH1505" s="33"/>
      <c r="AI1505" s="33"/>
      <c r="AJ1505" s="33"/>
      <c r="AK1505" s="216"/>
      <c r="AL1505" s="33"/>
      <c r="AM1505" s="33"/>
      <c r="AN1505" s="33"/>
      <c r="AO1505" s="33"/>
      <c r="AP1505" s="33"/>
    </row>
    <row r="1506" spans="1:42" ht="15.75" customHeight="1">
      <c r="A1506" s="33"/>
      <c r="B1506" s="33"/>
      <c r="C1506" s="33"/>
      <c r="D1506" s="33"/>
      <c r="E1506" s="33"/>
      <c r="F1506" s="199"/>
      <c r="G1506" s="33"/>
      <c r="H1506" s="33"/>
      <c r="I1506" s="33"/>
      <c r="J1506" s="33"/>
      <c r="K1506" s="33"/>
      <c r="L1506" s="33"/>
      <c r="M1506" s="33"/>
      <c r="N1506" s="33"/>
      <c r="O1506" s="33"/>
      <c r="P1506" s="33"/>
      <c r="Q1506" s="33"/>
      <c r="R1506" s="33"/>
      <c r="S1506" s="33"/>
      <c r="T1506" s="33"/>
      <c r="U1506" s="33"/>
      <c r="V1506" s="33"/>
      <c r="W1506" s="33"/>
      <c r="X1506" s="33"/>
      <c r="Y1506" s="33"/>
      <c r="Z1506" s="33"/>
      <c r="AA1506" s="33"/>
      <c r="AB1506" s="33"/>
      <c r="AC1506" s="33"/>
      <c r="AD1506" s="33"/>
      <c r="AE1506" s="33"/>
      <c r="AF1506" s="33"/>
      <c r="AG1506" s="33"/>
      <c r="AH1506" s="33"/>
      <c r="AI1506" s="33"/>
      <c r="AJ1506" s="33"/>
      <c r="AK1506" s="216"/>
      <c r="AL1506" s="33"/>
      <c r="AM1506" s="33"/>
      <c r="AN1506" s="33"/>
      <c r="AO1506" s="33"/>
      <c r="AP1506" s="33"/>
    </row>
    <row r="1507" spans="1:42" ht="15.75" customHeight="1">
      <c r="A1507" s="33"/>
      <c r="B1507" s="33"/>
      <c r="C1507" s="33"/>
      <c r="D1507" s="33"/>
      <c r="E1507" s="33"/>
      <c r="F1507" s="199"/>
      <c r="G1507" s="33"/>
      <c r="H1507" s="33"/>
      <c r="I1507" s="33"/>
      <c r="J1507" s="33"/>
      <c r="K1507" s="33"/>
      <c r="L1507" s="33"/>
      <c r="M1507" s="33"/>
      <c r="N1507" s="33"/>
      <c r="O1507" s="33"/>
      <c r="P1507" s="33"/>
      <c r="Q1507" s="33"/>
      <c r="R1507" s="33"/>
      <c r="S1507" s="33"/>
      <c r="T1507" s="33"/>
      <c r="U1507" s="33"/>
      <c r="V1507" s="33"/>
      <c r="W1507" s="33"/>
      <c r="X1507" s="33"/>
      <c r="Y1507" s="33"/>
      <c r="Z1507" s="33"/>
      <c r="AA1507" s="33"/>
      <c r="AB1507" s="33"/>
      <c r="AC1507" s="33"/>
      <c r="AD1507" s="33"/>
      <c r="AE1507" s="33"/>
      <c r="AF1507" s="33"/>
      <c r="AG1507" s="33"/>
      <c r="AH1507" s="33"/>
      <c r="AI1507" s="33"/>
      <c r="AJ1507" s="33"/>
      <c r="AK1507" s="216"/>
      <c r="AL1507" s="33"/>
      <c r="AM1507" s="33"/>
      <c r="AN1507" s="33"/>
      <c r="AO1507" s="33"/>
      <c r="AP1507" s="33"/>
    </row>
    <row r="1508" spans="1:42" ht="15.75" customHeight="1">
      <c r="A1508" s="33"/>
      <c r="B1508" s="33"/>
      <c r="C1508" s="33"/>
      <c r="D1508" s="33"/>
      <c r="E1508" s="33"/>
      <c r="F1508" s="199"/>
      <c r="G1508" s="33"/>
      <c r="H1508" s="33"/>
      <c r="I1508" s="33"/>
      <c r="J1508" s="33"/>
      <c r="K1508" s="33"/>
      <c r="L1508" s="33"/>
      <c r="M1508" s="33"/>
      <c r="N1508" s="33"/>
      <c r="O1508" s="33"/>
      <c r="P1508" s="33"/>
      <c r="Q1508" s="33"/>
      <c r="R1508" s="33"/>
      <c r="S1508" s="33"/>
      <c r="T1508" s="33"/>
      <c r="U1508" s="33"/>
      <c r="V1508" s="33"/>
      <c r="W1508" s="33"/>
      <c r="X1508" s="33"/>
      <c r="Y1508" s="33"/>
      <c r="Z1508" s="33"/>
      <c r="AA1508" s="33"/>
      <c r="AB1508" s="33"/>
      <c r="AC1508" s="33"/>
      <c r="AD1508" s="33"/>
      <c r="AE1508" s="33"/>
      <c r="AF1508" s="33"/>
      <c r="AG1508" s="33"/>
      <c r="AH1508" s="33"/>
      <c r="AI1508" s="33"/>
      <c r="AJ1508" s="33"/>
      <c r="AK1508" s="216"/>
      <c r="AL1508" s="33"/>
      <c r="AM1508" s="33"/>
      <c r="AN1508" s="33"/>
      <c r="AO1508" s="33"/>
      <c r="AP1508" s="33"/>
    </row>
    <row r="1509" spans="1:42" ht="15.75" customHeight="1">
      <c r="A1509" s="33"/>
      <c r="B1509" s="33"/>
      <c r="C1509" s="33"/>
      <c r="D1509" s="33"/>
      <c r="E1509" s="33"/>
      <c r="F1509" s="199"/>
      <c r="G1509" s="33"/>
      <c r="H1509" s="33"/>
      <c r="I1509" s="33"/>
      <c r="J1509" s="33"/>
      <c r="K1509" s="33"/>
      <c r="L1509" s="33"/>
      <c r="M1509" s="33"/>
      <c r="N1509" s="33"/>
      <c r="O1509" s="33"/>
      <c r="P1509" s="33"/>
      <c r="Q1509" s="33"/>
      <c r="R1509" s="33"/>
      <c r="S1509" s="33"/>
      <c r="T1509" s="33"/>
      <c r="U1509" s="33"/>
      <c r="V1509" s="33"/>
      <c r="W1509" s="33"/>
      <c r="X1509" s="33"/>
      <c r="Y1509" s="33"/>
      <c r="Z1509" s="33"/>
      <c r="AA1509" s="33"/>
      <c r="AB1509" s="33"/>
      <c r="AC1509" s="33"/>
      <c r="AD1509" s="33"/>
      <c r="AE1509" s="33"/>
      <c r="AF1509" s="33"/>
      <c r="AG1509" s="33"/>
      <c r="AH1509" s="33"/>
      <c r="AI1509" s="33"/>
      <c r="AJ1509" s="33"/>
      <c r="AK1509" s="216"/>
      <c r="AL1509" s="33"/>
      <c r="AM1509" s="33"/>
      <c r="AN1509" s="33"/>
      <c r="AO1509" s="33"/>
      <c r="AP1509" s="33"/>
    </row>
    <row r="1510" spans="1:42" ht="15.75" customHeight="1">
      <c r="A1510" s="33"/>
      <c r="B1510" s="33"/>
      <c r="C1510" s="33"/>
      <c r="D1510" s="33"/>
      <c r="E1510" s="33"/>
      <c r="F1510" s="199"/>
      <c r="G1510" s="33"/>
      <c r="H1510" s="33"/>
      <c r="I1510" s="33"/>
      <c r="J1510" s="33"/>
      <c r="K1510" s="33"/>
      <c r="L1510" s="33"/>
      <c r="M1510" s="33"/>
      <c r="N1510" s="33"/>
      <c r="O1510" s="33"/>
      <c r="P1510" s="33"/>
      <c r="Q1510" s="33"/>
      <c r="R1510" s="33"/>
      <c r="S1510" s="33"/>
      <c r="T1510" s="33"/>
      <c r="U1510" s="33"/>
      <c r="V1510" s="33"/>
      <c r="W1510" s="33"/>
      <c r="X1510" s="33"/>
      <c r="Y1510" s="33"/>
      <c r="Z1510" s="33"/>
      <c r="AA1510" s="33"/>
      <c r="AB1510" s="33"/>
      <c r="AC1510" s="33"/>
      <c r="AD1510" s="33"/>
      <c r="AE1510" s="33"/>
      <c r="AF1510" s="33"/>
      <c r="AG1510" s="33"/>
      <c r="AH1510" s="33"/>
      <c r="AI1510" s="33"/>
      <c r="AJ1510" s="33"/>
      <c r="AK1510" s="216"/>
      <c r="AL1510" s="33"/>
      <c r="AM1510" s="33"/>
      <c r="AN1510" s="33"/>
      <c r="AO1510" s="33"/>
      <c r="AP1510" s="33"/>
    </row>
    <row r="1511" spans="1:42" ht="15.75" customHeight="1">
      <c r="A1511" s="33"/>
      <c r="B1511" s="33"/>
      <c r="C1511" s="33"/>
      <c r="D1511" s="33"/>
      <c r="E1511" s="33"/>
      <c r="F1511" s="199"/>
      <c r="G1511" s="33"/>
      <c r="H1511" s="33"/>
      <c r="I1511" s="33"/>
      <c r="J1511" s="33"/>
      <c r="K1511" s="33"/>
      <c r="L1511" s="33"/>
      <c r="M1511" s="33"/>
      <c r="N1511" s="33"/>
      <c r="O1511" s="33"/>
      <c r="P1511" s="33"/>
      <c r="Q1511" s="33"/>
      <c r="R1511" s="33"/>
      <c r="S1511" s="33"/>
      <c r="T1511" s="33"/>
      <c r="U1511" s="33"/>
      <c r="V1511" s="33"/>
      <c r="W1511" s="33"/>
      <c r="X1511" s="33"/>
      <c r="Y1511" s="33"/>
      <c r="Z1511" s="33"/>
      <c r="AA1511" s="33"/>
      <c r="AB1511" s="33"/>
      <c r="AC1511" s="33"/>
      <c r="AD1511" s="33"/>
      <c r="AE1511" s="33"/>
      <c r="AF1511" s="33"/>
      <c r="AG1511" s="33"/>
      <c r="AH1511" s="33"/>
      <c r="AI1511" s="33"/>
      <c r="AJ1511" s="33"/>
      <c r="AK1511" s="216"/>
      <c r="AL1511" s="33"/>
      <c r="AM1511" s="33"/>
      <c r="AN1511" s="33"/>
      <c r="AO1511" s="33"/>
      <c r="AP1511" s="33"/>
    </row>
    <row r="1512" spans="1:42" ht="15.75" customHeight="1">
      <c r="A1512" s="33"/>
      <c r="B1512" s="33"/>
      <c r="C1512" s="33"/>
      <c r="D1512" s="33"/>
      <c r="E1512" s="33"/>
      <c r="F1512" s="199"/>
      <c r="G1512" s="33"/>
      <c r="H1512" s="33"/>
      <c r="I1512" s="33"/>
      <c r="J1512" s="33"/>
      <c r="K1512" s="33"/>
      <c r="L1512" s="33"/>
      <c r="M1512" s="33"/>
      <c r="N1512" s="33"/>
      <c r="O1512" s="33"/>
      <c r="P1512" s="33"/>
      <c r="Q1512" s="33"/>
      <c r="R1512" s="33"/>
      <c r="S1512" s="33"/>
      <c r="T1512" s="33"/>
      <c r="U1512" s="33"/>
      <c r="V1512" s="33"/>
      <c r="W1512" s="33"/>
      <c r="X1512" s="33"/>
      <c r="Y1512" s="33"/>
      <c r="Z1512" s="33"/>
      <c r="AA1512" s="33"/>
      <c r="AB1512" s="33"/>
      <c r="AC1512" s="33"/>
      <c r="AD1512" s="33"/>
      <c r="AE1512" s="33"/>
      <c r="AF1512" s="33"/>
      <c r="AG1512" s="33"/>
      <c r="AH1512" s="33"/>
      <c r="AI1512" s="33"/>
      <c r="AJ1512" s="33"/>
      <c r="AK1512" s="216"/>
      <c r="AL1512" s="33"/>
      <c r="AM1512" s="33"/>
      <c r="AN1512" s="33"/>
      <c r="AO1512" s="33"/>
      <c r="AP1512" s="33"/>
    </row>
    <row r="1513" spans="1:42" ht="15.75" customHeight="1">
      <c r="A1513" s="33"/>
      <c r="B1513" s="33"/>
      <c r="C1513" s="33"/>
      <c r="D1513" s="33"/>
      <c r="E1513" s="33"/>
      <c r="F1513" s="199"/>
      <c r="G1513" s="33"/>
      <c r="H1513" s="33"/>
      <c r="I1513" s="33"/>
      <c r="J1513" s="33"/>
      <c r="K1513" s="33"/>
      <c r="L1513" s="33"/>
      <c r="M1513" s="33"/>
      <c r="N1513" s="33"/>
      <c r="O1513" s="33"/>
      <c r="P1513" s="33"/>
      <c r="Q1513" s="33"/>
      <c r="R1513" s="33"/>
      <c r="S1513" s="33"/>
      <c r="T1513" s="33"/>
      <c r="U1513" s="33"/>
      <c r="V1513" s="33"/>
      <c r="W1513" s="33"/>
      <c r="X1513" s="33"/>
      <c r="Y1513" s="33"/>
      <c r="Z1513" s="33"/>
      <c r="AA1513" s="33"/>
      <c r="AB1513" s="33"/>
      <c r="AC1513" s="33"/>
      <c r="AD1513" s="33"/>
      <c r="AE1513" s="33"/>
      <c r="AF1513" s="33"/>
      <c r="AG1513" s="33"/>
      <c r="AH1513" s="33"/>
      <c r="AI1513" s="33"/>
      <c r="AJ1513" s="33"/>
      <c r="AK1513" s="216"/>
      <c r="AL1513" s="33"/>
      <c r="AM1513" s="33"/>
      <c r="AN1513" s="33"/>
      <c r="AO1513" s="33"/>
      <c r="AP1513" s="33"/>
    </row>
    <row r="1514" spans="1:42" ht="15.75" customHeight="1">
      <c r="A1514" s="33"/>
      <c r="B1514" s="33"/>
      <c r="C1514" s="33"/>
      <c r="D1514" s="33"/>
      <c r="E1514" s="33"/>
      <c r="F1514" s="199"/>
      <c r="G1514" s="33"/>
      <c r="H1514" s="33"/>
      <c r="I1514" s="33"/>
      <c r="J1514" s="33"/>
      <c r="K1514" s="33"/>
      <c r="L1514" s="33"/>
      <c r="M1514" s="33"/>
      <c r="N1514" s="33"/>
      <c r="O1514" s="33"/>
      <c r="P1514" s="33"/>
      <c r="Q1514" s="33"/>
      <c r="R1514" s="33"/>
      <c r="S1514" s="33"/>
      <c r="T1514" s="33"/>
      <c r="U1514" s="33"/>
      <c r="V1514" s="33"/>
      <c r="W1514" s="33"/>
      <c r="X1514" s="33"/>
      <c r="Y1514" s="33"/>
      <c r="Z1514" s="33"/>
      <c r="AA1514" s="33"/>
      <c r="AB1514" s="33"/>
      <c r="AC1514" s="33"/>
      <c r="AD1514" s="33"/>
      <c r="AE1514" s="33"/>
      <c r="AF1514" s="33"/>
      <c r="AG1514" s="33"/>
      <c r="AH1514" s="33"/>
      <c r="AI1514" s="33"/>
      <c r="AJ1514" s="33"/>
      <c r="AK1514" s="216"/>
      <c r="AL1514" s="33"/>
      <c r="AM1514" s="33"/>
      <c r="AN1514" s="33"/>
      <c r="AO1514" s="33"/>
      <c r="AP1514" s="33"/>
    </row>
    <row r="1515" spans="1:42" ht="15.75" customHeight="1">
      <c r="A1515" s="33"/>
      <c r="B1515" s="33"/>
      <c r="C1515" s="33"/>
      <c r="D1515" s="33"/>
      <c r="E1515" s="33"/>
      <c r="F1515" s="199"/>
      <c r="G1515" s="33"/>
      <c r="H1515" s="33"/>
      <c r="I1515" s="33"/>
      <c r="J1515" s="33"/>
      <c r="K1515" s="33"/>
      <c r="L1515" s="33"/>
      <c r="M1515" s="33"/>
      <c r="N1515" s="33"/>
      <c r="O1515" s="33"/>
      <c r="P1515" s="33"/>
      <c r="Q1515" s="33"/>
      <c r="R1515" s="33"/>
      <c r="S1515" s="33"/>
      <c r="T1515" s="33"/>
      <c r="U1515" s="33"/>
      <c r="V1515" s="33"/>
      <c r="W1515" s="33"/>
      <c r="X1515" s="33"/>
      <c r="Y1515" s="33"/>
      <c r="Z1515" s="33"/>
      <c r="AA1515" s="33"/>
      <c r="AB1515" s="33"/>
      <c r="AC1515" s="33"/>
      <c r="AD1515" s="33"/>
      <c r="AE1515" s="33"/>
      <c r="AF1515" s="33"/>
      <c r="AG1515" s="33"/>
      <c r="AH1515" s="33"/>
      <c r="AI1515" s="33"/>
      <c r="AJ1515" s="33"/>
      <c r="AK1515" s="216"/>
      <c r="AL1515" s="33"/>
      <c r="AM1515" s="33"/>
      <c r="AN1515" s="33"/>
      <c r="AO1515" s="33"/>
      <c r="AP1515" s="33"/>
    </row>
    <row r="1516" spans="1:42" ht="15.75" customHeight="1">
      <c r="A1516" s="33"/>
      <c r="B1516" s="33"/>
      <c r="C1516" s="33"/>
      <c r="D1516" s="33"/>
      <c r="E1516" s="33"/>
      <c r="F1516" s="199"/>
      <c r="G1516" s="33"/>
      <c r="H1516" s="33"/>
      <c r="I1516" s="33"/>
      <c r="J1516" s="33"/>
      <c r="K1516" s="33"/>
      <c r="L1516" s="33"/>
      <c r="M1516" s="33"/>
      <c r="N1516" s="33"/>
      <c r="O1516" s="33"/>
      <c r="P1516" s="33"/>
      <c r="Q1516" s="33"/>
      <c r="R1516" s="33"/>
      <c r="S1516" s="33"/>
      <c r="T1516" s="33"/>
      <c r="U1516" s="33"/>
      <c r="V1516" s="33"/>
      <c r="W1516" s="33"/>
      <c r="X1516" s="33"/>
      <c r="Y1516" s="33"/>
      <c r="Z1516" s="33"/>
      <c r="AA1516" s="33"/>
      <c r="AB1516" s="33"/>
      <c r="AC1516" s="33"/>
      <c r="AD1516" s="33"/>
      <c r="AE1516" s="33"/>
      <c r="AF1516" s="33"/>
      <c r="AG1516" s="33"/>
      <c r="AH1516" s="33"/>
      <c r="AI1516" s="33"/>
      <c r="AJ1516" s="33"/>
      <c r="AK1516" s="216"/>
      <c r="AL1516" s="33"/>
      <c r="AM1516" s="33"/>
      <c r="AN1516" s="33"/>
      <c r="AO1516" s="33"/>
      <c r="AP1516" s="33"/>
    </row>
    <row r="1517" spans="1:42" ht="15.75" customHeight="1">
      <c r="A1517" s="33"/>
      <c r="B1517" s="33"/>
      <c r="C1517" s="33"/>
      <c r="D1517" s="33"/>
      <c r="E1517" s="33"/>
      <c r="F1517" s="199"/>
      <c r="G1517" s="33"/>
      <c r="H1517" s="33"/>
      <c r="I1517" s="33"/>
      <c r="J1517" s="33"/>
      <c r="K1517" s="33"/>
      <c r="L1517" s="33"/>
      <c r="M1517" s="33"/>
      <c r="N1517" s="33"/>
      <c r="O1517" s="33"/>
      <c r="P1517" s="33"/>
      <c r="Q1517" s="33"/>
      <c r="R1517" s="33"/>
      <c r="S1517" s="33"/>
      <c r="T1517" s="33"/>
      <c r="U1517" s="33"/>
      <c r="V1517" s="33"/>
      <c r="W1517" s="33"/>
      <c r="X1517" s="33"/>
      <c r="Y1517" s="33"/>
      <c r="Z1517" s="33"/>
      <c r="AA1517" s="33"/>
      <c r="AB1517" s="33"/>
      <c r="AC1517" s="33"/>
      <c r="AD1517" s="33"/>
      <c r="AE1517" s="33"/>
      <c r="AF1517" s="33"/>
      <c r="AG1517" s="33"/>
      <c r="AH1517" s="33"/>
      <c r="AI1517" s="33"/>
      <c r="AJ1517" s="33"/>
      <c r="AK1517" s="216"/>
      <c r="AL1517" s="33"/>
      <c r="AM1517" s="33"/>
      <c r="AN1517" s="33"/>
      <c r="AO1517" s="33"/>
      <c r="AP1517" s="33"/>
    </row>
    <row r="1518" spans="1:42" ht="15.75" customHeight="1">
      <c r="A1518" s="33"/>
      <c r="B1518" s="33"/>
      <c r="C1518" s="33"/>
      <c r="D1518" s="33"/>
      <c r="E1518" s="33"/>
      <c r="F1518" s="199"/>
      <c r="G1518" s="33"/>
      <c r="H1518" s="33"/>
      <c r="I1518" s="33"/>
      <c r="J1518" s="33"/>
      <c r="K1518" s="33"/>
      <c r="L1518" s="33"/>
      <c r="M1518" s="33"/>
      <c r="N1518" s="33"/>
      <c r="O1518" s="33"/>
      <c r="P1518" s="33"/>
      <c r="Q1518" s="33"/>
      <c r="R1518" s="33"/>
      <c r="S1518" s="33"/>
      <c r="T1518" s="33"/>
      <c r="U1518" s="33"/>
      <c r="V1518" s="33"/>
      <c r="W1518" s="33"/>
      <c r="X1518" s="33"/>
      <c r="Y1518" s="33"/>
      <c r="Z1518" s="33"/>
      <c r="AA1518" s="33"/>
      <c r="AB1518" s="33"/>
      <c r="AC1518" s="33"/>
      <c r="AD1518" s="33"/>
      <c r="AE1518" s="33"/>
      <c r="AF1518" s="33"/>
      <c r="AG1518" s="33"/>
      <c r="AH1518" s="33"/>
      <c r="AI1518" s="33"/>
      <c r="AJ1518" s="33"/>
      <c r="AK1518" s="216"/>
      <c r="AL1518" s="33"/>
      <c r="AM1518" s="33"/>
      <c r="AN1518" s="33"/>
      <c r="AO1518" s="33"/>
      <c r="AP1518" s="33"/>
    </row>
    <row r="1519" spans="1:42" ht="15.75" customHeight="1">
      <c r="A1519" s="33"/>
      <c r="B1519" s="33"/>
      <c r="C1519" s="33"/>
      <c r="D1519" s="33"/>
      <c r="E1519" s="33"/>
      <c r="F1519" s="199"/>
      <c r="G1519" s="33"/>
      <c r="H1519" s="33"/>
      <c r="I1519" s="33"/>
      <c r="J1519" s="33"/>
      <c r="K1519" s="33"/>
      <c r="L1519" s="33"/>
      <c r="M1519" s="33"/>
      <c r="N1519" s="33"/>
      <c r="O1519" s="33"/>
      <c r="P1519" s="33"/>
      <c r="Q1519" s="33"/>
      <c r="R1519" s="33"/>
      <c r="S1519" s="33"/>
      <c r="T1519" s="33"/>
      <c r="U1519" s="33"/>
      <c r="V1519" s="33"/>
      <c r="W1519" s="33"/>
      <c r="X1519" s="33"/>
      <c r="Y1519" s="33"/>
      <c r="Z1519" s="33"/>
      <c r="AA1519" s="33"/>
      <c r="AB1519" s="33"/>
      <c r="AC1519" s="33"/>
      <c r="AD1519" s="33"/>
      <c r="AE1519" s="33"/>
      <c r="AF1519" s="33"/>
      <c r="AG1519" s="33"/>
      <c r="AH1519" s="33"/>
      <c r="AI1519" s="33"/>
      <c r="AJ1519" s="33"/>
      <c r="AK1519" s="216"/>
      <c r="AL1519" s="33"/>
      <c r="AM1519" s="33"/>
      <c r="AN1519" s="33"/>
      <c r="AO1519" s="33"/>
      <c r="AP1519" s="33"/>
    </row>
    <row r="1520" spans="1:42" ht="15.75" customHeight="1">
      <c r="A1520" s="33"/>
      <c r="B1520" s="33"/>
      <c r="C1520" s="33"/>
      <c r="D1520" s="33"/>
      <c r="E1520" s="33"/>
      <c r="F1520" s="199"/>
      <c r="G1520" s="33"/>
      <c r="H1520" s="33"/>
      <c r="I1520" s="33"/>
      <c r="J1520" s="33"/>
      <c r="K1520" s="33"/>
      <c r="L1520" s="33"/>
      <c r="M1520" s="33"/>
      <c r="N1520" s="33"/>
      <c r="O1520" s="33"/>
      <c r="P1520" s="33"/>
      <c r="Q1520" s="33"/>
      <c r="R1520" s="33"/>
      <c r="S1520" s="33"/>
      <c r="T1520" s="33"/>
      <c r="U1520" s="33"/>
      <c r="V1520" s="33"/>
      <c r="W1520" s="33"/>
      <c r="X1520" s="33"/>
      <c r="Y1520" s="33"/>
      <c r="Z1520" s="33"/>
      <c r="AA1520" s="33"/>
      <c r="AB1520" s="33"/>
      <c r="AC1520" s="33"/>
      <c r="AD1520" s="33"/>
      <c r="AE1520" s="33"/>
      <c r="AF1520" s="33"/>
      <c r="AG1520" s="33"/>
      <c r="AH1520" s="33"/>
      <c r="AI1520" s="33"/>
      <c r="AJ1520" s="33"/>
      <c r="AK1520" s="216"/>
      <c r="AL1520" s="33"/>
      <c r="AM1520" s="33"/>
      <c r="AN1520" s="33"/>
      <c r="AO1520" s="33"/>
      <c r="AP1520" s="33"/>
    </row>
    <row r="1521" spans="1:42" ht="15.75" customHeight="1">
      <c r="A1521" s="33"/>
      <c r="B1521" s="33"/>
      <c r="C1521" s="33"/>
      <c r="D1521" s="33"/>
      <c r="E1521" s="33"/>
      <c r="F1521" s="199"/>
      <c r="G1521" s="33"/>
      <c r="H1521" s="33"/>
      <c r="I1521" s="33"/>
      <c r="J1521" s="33"/>
      <c r="K1521" s="33"/>
      <c r="L1521" s="33"/>
      <c r="M1521" s="33"/>
      <c r="N1521" s="33"/>
      <c r="O1521" s="33"/>
      <c r="P1521" s="33"/>
      <c r="Q1521" s="33"/>
      <c r="R1521" s="33"/>
      <c r="S1521" s="33"/>
      <c r="T1521" s="33"/>
      <c r="U1521" s="33"/>
      <c r="V1521" s="33"/>
      <c r="W1521" s="33"/>
      <c r="X1521" s="33"/>
      <c r="Y1521" s="33"/>
      <c r="Z1521" s="33"/>
      <c r="AA1521" s="33"/>
      <c r="AB1521" s="33"/>
      <c r="AC1521" s="33"/>
      <c r="AD1521" s="33"/>
      <c r="AE1521" s="33"/>
      <c r="AF1521" s="33"/>
      <c r="AG1521" s="33"/>
      <c r="AH1521" s="33"/>
      <c r="AI1521" s="33"/>
      <c r="AJ1521" s="33"/>
      <c r="AK1521" s="216"/>
      <c r="AL1521" s="33"/>
      <c r="AM1521" s="33"/>
      <c r="AN1521" s="33"/>
      <c r="AO1521" s="33"/>
      <c r="AP1521" s="33"/>
    </row>
    <row r="1522" spans="1:42" ht="15.75" customHeight="1">
      <c r="A1522" s="33"/>
      <c r="B1522" s="33"/>
      <c r="C1522" s="33"/>
      <c r="D1522" s="33"/>
      <c r="E1522" s="33"/>
      <c r="F1522" s="199"/>
      <c r="G1522" s="33"/>
      <c r="H1522" s="33"/>
      <c r="I1522" s="33"/>
      <c r="J1522" s="33"/>
      <c r="K1522" s="33"/>
      <c r="L1522" s="33"/>
      <c r="M1522" s="33"/>
      <c r="N1522" s="33"/>
      <c r="O1522" s="33"/>
      <c r="P1522" s="33"/>
      <c r="Q1522" s="33"/>
      <c r="R1522" s="33"/>
      <c r="S1522" s="33"/>
      <c r="T1522" s="33"/>
      <c r="U1522" s="33"/>
      <c r="V1522" s="33"/>
      <c r="W1522" s="33"/>
      <c r="X1522" s="33"/>
      <c r="Y1522" s="33"/>
      <c r="Z1522" s="33"/>
      <c r="AA1522" s="33"/>
      <c r="AB1522" s="33"/>
      <c r="AC1522" s="33"/>
      <c r="AD1522" s="33"/>
      <c r="AE1522" s="33"/>
      <c r="AF1522" s="33"/>
      <c r="AG1522" s="33"/>
      <c r="AH1522" s="33"/>
      <c r="AI1522" s="33"/>
      <c r="AJ1522" s="33"/>
      <c r="AK1522" s="216"/>
      <c r="AL1522" s="33"/>
      <c r="AM1522" s="33"/>
      <c r="AN1522" s="33"/>
      <c r="AO1522" s="33"/>
      <c r="AP1522" s="33"/>
    </row>
    <row r="1523" spans="1:42" ht="15.75" customHeight="1">
      <c r="A1523" s="33"/>
      <c r="B1523" s="33"/>
      <c r="C1523" s="33"/>
      <c r="D1523" s="33"/>
      <c r="E1523" s="33"/>
      <c r="F1523" s="199"/>
      <c r="G1523" s="33"/>
      <c r="H1523" s="33"/>
      <c r="I1523" s="33"/>
      <c r="J1523" s="33"/>
      <c r="K1523" s="33"/>
      <c r="L1523" s="33"/>
      <c r="M1523" s="33"/>
      <c r="N1523" s="33"/>
      <c r="O1523" s="33"/>
      <c r="P1523" s="33"/>
      <c r="Q1523" s="33"/>
      <c r="R1523" s="33"/>
      <c r="S1523" s="33"/>
      <c r="T1523" s="33"/>
      <c r="U1523" s="33"/>
      <c r="V1523" s="33"/>
      <c r="W1523" s="33"/>
      <c r="X1523" s="33"/>
      <c r="Y1523" s="33"/>
      <c r="Z1523" s="33"/>
      <c r="AA1523" s="33"/>
      <c r="AB1523" s="33"/>
      <c r="AC1523" s="33"/>
      <c r="AD1523" s="33"/>
      <c r="AE1523" s="33"/>
      <c r="AF1523" s="33"/>
      <c r="AG1523" s="33"/>
      <c r="AH1523" s="33"/>
      <c r="AI1523" s="33"/>
      <c r="AJ1523" s="33"/>
      <c r="AK1523" s="216"/>
      <c r="AL1523" s="33"/>
      <c r="AM1523" s="33"/>
      <c r="AN1523" s="33"/>
      <c r="AO1523" s="33"/>
      <c r="AP1523" s="33"/>
    </row>
    <row r="1524" spans="1:42" ht="15.75" customHeight="1">
      <c r="A1524" s="33"/>
      <c r="B1524" s="33"/>
      <c r="C1524" s="33"/>
      <c r="D1524" s="33"/>
      <c r="E1524" s="33"/>
      <c r="F1524" s="199"/>
      <c r="G1524" s="33"/>
      <c r="H1524" s="33"/>
      <c r="I1524" s="33"/>
      <c r="J1524" s="33"/>
      <c r="K1524" s="33"/>
      <c r="L1524" s="33"/>
      <c r="M1524" s="33"/>
      <c r="N1524" s="33"/>
      <c r="O1524" s="33"/>
      <c r="P1524" s="33"/>
      <c r="Q1524" s="33"/>
      <c r="R1524" s="33"/>
      <c r="S1524" s="33"/>
      <c r="T1524" s="33"/>
      <c r="U1524" s="33"/>
      <c r="V1524" s="33"/>
      <c r="W1524" s="33"/>
      <c r="X1524" s="33"/>
      <c r="Y1524" s="33"/>
      <c r="Z1524" s="33"/>
      <c r="AA1524" s="33"/>
      <c r="AB1524" s="33"/>
      <c r="AC1524" s="33"/>
      <c r="AD1524" s="33"/>
      <c r="AE1524" s="33"/>
      <c r="AF1524" s="33"/>
      <c r="AG1524" s="33"/>
      <c r="AH1524" s="33"/>
      <c r="AI1524" s="33"/>
      <c r="AJ1524" s="33"/>
      <c r="AK1524" s="216"/>
      <c r="AL1524" s="33"/>
      <c r="AM1524" s="33"/>
      <c r="AN1524" s="33"/>
      <c r="AO1524" s="33"/>
      <c r="AP1524" s="33"/>
    </row>
    <row r="1525" spans="1:42" ht="15.75" customHeight="1">
      <c r="A1525" s="33"/>
      <c r="B1525" s="33"/>
      <c r="C1525" s="33"/>
      <c r="D1525" s="33"/>
      <c r="E1525" s="33"/>
      <c r="F1525" s="199"/>
      <c r="G1525" s="33"/>
      <c r="H1525" s="33"/>
      <c r="I1525" s="33"/>
      <c r="J1525" s="33"/>
      <c r="K1525" s="33"/>
      <c r="L1525" s="33"/>
      <c r="M1525" s="33"/>
      <c r="N1525" s="33"/>
      <c r="O1525" s="33"/>
      <c r="P1525" s="33"/>
      <c r="Q1525" s="33"/>
      <c r="R1525" s="33"/>
      <c r="S1525" s="33"/>
      <c r="T1525" s="33"/>
      <c r="U1525" s="33"/>
      <c r="V1525" s="33"/>
      <c r="W1525" s="33"/>
      <c r="X1525" s="33"/>
      <c r="Y1525" s="33"/>
      <c r="Z1525" s="33"/>
      <c r="AA1525" s="33"/>
      <c r="AB1525" s="33"/>
      <c r="AC1525" s="33"/>
      <c r="AD1525" s="33"/>
      <c r="AE1525" s="33"/>
      <c r="AF1525" s="33"/>
      <c r="AG1525" s="33"/>
      <c r="AH1525" s="33"/>
      <c r="AI1525" s="33"/>
      <c r="AJ1525" s="33"/>
      <c r="AK1525" s="216"/>
      <c r="AL1525" s="33"/>
      <c r="AM1525" s="33"/>
      <c r="AN1525" s="33"/>
      <c r="AO1525" s="33"/>
      <c r="AP1525" s="33"/>
    </row>
    <row r="1526" spans="1:42" ht="15.75" customHeight="1">
      <c r="A1526" s="33"/>
      <c r="B1526" s="33"/>
      <c r="C1526" s="33"/>
      <c r="D1526" s="33"/>
      <c r="E1526" s="33"/>
      <c r="F1526" s="199"/>
      <c r="G1526" s="33"/>
      <c r="H1526" s="33"/>
      <c r="I1526" s="33"/>
      <c r="J1526" s="33"/>
      <c r="K1526" s="33"/>
      <c r="L1526" s="33"/>
      <c r="M1526" s="33"/>
      <c r="N1526" s="33"/>
      <c r="O1526" s="33"/>
      <c r="P1526" s="33"/>
      <c r="Q1526" s="33"/>
      <c r="R1526" s="33"/>
      <c r="S1526" s="33"/>
      <c r="T1526" s="33"/>
      <c r="U1526" s="33"/>
      <c r="V1526" s="33"/>
      <c r="W1526" s="33"/>
      <c r="X1526" s="33"/>
      <c r="Y1526" s="33"/>
      <c r="Z1526" s="33"/>
      <c r="AA1526" s="33"/>
      <c r="AB1526" s="33"/>
      <c r="AC1526" s="33"/>
      <c r="AD1526" s="33"/>
      <c r="AE1526" s="33"/>
      <c r="AF1526" s="33"/>
      <c r="AG1526" s="33"/>
      <c r="AH1526" s="33"/>
      <c r="AI1526" s="33"/>
      <c r="AJ1526" s="33"/>
      <c r="AK1526" s="216"/>
      <c r="AL1526" s="33"/>
      <c r="AM1526" s="33"/>
      <c r="AN1526" s="33"/>
      <c r="AO1526" s="33"/>
      <c r="AP1526" s="33"/>
    </row>
    <row r="1527" spans="1:42" ht="15.75" customHeight="1">
      <c r="A1527" s="33"/>
      <c r="B1527" s="33"/>
      <c r="C1527" s="33"/>
      <c r="D1527" s="33"/>
      <c r="E1527" s="33"/>
      <c r="F1527" s="199"/>
      <c r="G1527" s="33"/>
      <c r="H1527" s="33"/>
      <c r="I1527" s="33"/>
      <c r="J1527" s="33"/>
      <c r="K1527" s="33"/>
      <c r="L1527" s="33"/>
      <c r="M1527" s="33"/>
      <c r="N1527" s="33"/>
      <c r="O1527" s="33"/>
      <c r="P1527" s="33"/>
      <c r="Q1527" s="33"/>
      <c r="R1527" s="33"/>
      <c r="S1527" s="33"/>
      <c r="T1527" s="33"/>
      <c r="U1527" s="33"/>
      <c r="V1527" s="33"/>
      <c r="W1527" s="33"/>
      <c r="X1527" s="33"/>
      <c r="Y1527" s="33"/>
      <c r="Z1527" s="33"/>
      <c r="AA1527" s="33"/>
      <c r="AB1527" s="33"/>
      <c r="AC1527" s="33"/>
      <c r="AD1527" s="33"/>
      <c r="AE1527" s="33"/>
      <c r="AF1527" s="33"/>
      <c r="AG1527" s="33"/>
      <c r="AH1527" s="33"/>
      <c r="AI1527" s="33"/>
      <c r="AJ1527" s="33"/>
      <c r="AK1527" s="216"/>
      <c r="AL1527" s="33"/>
      <c r="AM1527" s="33"/>
      <c r="AN1527" s="33"/>
      <c r="AO1527" s="33"/>
      <c r="AP1527" s="33"/>
    </row>
    <row r="1528" spans="1:42" ht="15.75" customHeight="1">
      <c r="A1528" s="33"/>
      <c r="B1528" s="33"/>
      <c r="C1528" s="33"/>
      <c r="D1528" s="33"/>
      <c r="E1528" s="33"/>
      <c r="F1528" s="199"/>
      <c r="G1528" s="33"/>
      <c r="H1528" s="33"/>
      <c r="I1528" s="33"/>
      <c r="J1528" s="33"/>
      <c r="K1528" s="33"/>
      <c r="L1528" s="33"/>
      <c r="M1528" s="33"/>
      <c r="N1528" s="33"/>
      <c r="O1528" s="33"/>
      <c r="P1528" s="33"/>
      <c r="Q1528" s="33"/>
      <c r="R1528" s="33"/>
      <c r="S1528" s="33"/>
      <c r="T1528" s="33"/>
      <c r="U1528" s="33"/>
      <c r="V1528" s="33"/>
      <c r="W1528" s="33"/>
      <c r="X1528" s="33"/>
      <c r="Y1528" s="33"/>
      <c r="Z1528" s="33"/>
      <c r="AA1528" s="33"/>
      <c r="AB1528" s="33"/>
      <c r="AC1528" s="33"/>
      <c r="AD1528" s="33"/>
      <c r="AE1528" s="33"/>
      <c r="AF1528" s="33"/>
      <c r="AG1528" s="33"/>
      <c r="AH1528" s="33"/>
      <c r="AI1528" s="33"/>
      <c r="AJ1528" s="33"/>
      <c r="AK1528" s="216"/>
      <c r="AL1528" s="33"/>
      <c r="AM1528" s="33"/>
      <c r="AN1528" s="33"/>
      <c r="AO1528" s="33"/>
      <c r="AP1528" s="33"/>
    </row>
    <row r="1529" spans="1:42" ht="15.75" customHeight="1">
      <c r="A1529" s="33"/>
      <c r="B1529" s="33"/>
      <c r="C1529" s="33"/>
      <c r="D1529" s="33"/>
      <c r="E1529" s="33"/>
      <c r="F1529" s="199"/>
      <c r="G1529" s="33"/>
      <c r="H1529" s="33"/>
      <c r="I1529" s="33"/>
      <c r="J1529" s="33"/>
      <c r="K1529" s="33"/>
      <c r="L1529" s="33"/>
      <c r="M1529" s="33"/>
      <c r="N1529" s="33"/>
      <c r="O1529" s="33"/>
      <c r="P1529" s="33"/>
      <c r="Q1529" s="33"/>
      <c r="R1529" s="33"/>
      <c r="S1529" s="33"/>
      <c r="T1529" s="33"/>
      <c r="U1529" s="33"/>
      <c r="V1529" s="33"/>
      <c r="W1529" s="33"/>
      <c r="X1529" s="33"/>
      <c r="Y1529" s="33"/>
      <c r="Z1529" s="33"/>
      <c r="AA1529" s="33"/>
      <c r="AB1529" s="33"/>
      <c r="AC1529" s="33"/>
      <c r="AD1529" s="33"/>
      <c r="AE1529" s="33"/>
      <c r="AF1529" s="33"/>
      <c r="AG1529" s="33"/>
      <c r="AH1529" s="33"/>
      <c r="AI1529" s="33"/>
      <c r="AJ1529" s="33"/>
      <c r="AK1529" s="216"/>
      <c r="AL1529" s="33"/>
      <c r="AM1529" s="33"/>
      <c r="AN1529" s="33"/>
      <c r="AO1529" s="33"/>
      <c r="AP1529" s="33"/>
    </row>
    <row r="1530" spans="1:42" ht="15.75" customHeight="1">
      <c r="A1530" s="33"/>
      <c r="B1530" s="33"/>
      <c r="C1530" s="33"/>
      <c r="D1530" s="33"/>
      <c r="E1530" s="33"/>
      <c r="F1530" s="199"/>
      <c r="G1530" s="33"/>
      <c r="H1530" s="33"/>
      <c r="I1530" s="33"/>
      <c r="J1530" s="33"/>
      <c r="K1530" s="33"/>
      <c r="L1530" s="33"/>
      <c r="M1530" s="33"/>
      <c r="N1530" s="33"/>
      <c r="O1530" s="33"/>
      <c r="P1530" s="33"/>
      <c r="Q1530" s="33"/>
      <c r="R1530" s="33"/>
      <c r="S1530" s="33"/>
      <c r="T1530" s="33"/>
      <c r="U1530" s="33"/>
      <c r="V1530" s="33"/>
      <c r="W1530" s="33"/>
      <c r="X1530" s="33"/>
      <c r="Y1530" s="33"/>
      <c r="Z1530" s="33"/>
      <c r="AA1530" s="33"/>
      <c r="AB1530" s="33"/>
      <c r="AC1530" s="33"/>
      <c r="AD1530" s="33"/>
      <c r="AE1530" s="33"/>
      <c r="AF1530" s="33"/>
      <c r="AG1530" s="33"/>
      <c r="AH1530" s="33"/>
      <c r="AI1530" s="33"/>
      <c r="AJ1530" s="33"/>
      <c r="AK1530" s="216"/>
      <c r="AL1530" s="33"/>
      <c r="AM1530" s="33"/>
      <c r="AN1530" s="33"/>
      <c r="AO1530" s="33"/>
      <c r="AP1530" s="33"/>
    </row>
    <row r="1531" spans="1:42" ht="15.75" customHeight="1">
      <c r="A1531" s="33"/>
      <c r="B1531" s="33"/>
      <c r="C1531" s="33"/>
      <c r="D1531" s="33"/>
      <c r="E1531" s="33"/>
      <c r="F1531" s="199"/>
      <c r="G1531" s="33"/>
      <c r="H1531" s="33"/>
      <c r="I1531" s="33"/>
      <c r="J1531" s="33"/>
      <c r="K1531" s="33"/>
      <c r="L1531" s="33"/>
      <c r="M1531" s="33"/>
      <c r="N1531" s="33"/>
      <c r="O1531" s="33"/>
      <c r="P1531" s="33"/>
      <c r="Q1531" s="33"/>
      <c r="R1531" s="33"/>
      <c r="S1531" s="33"/>
      <c r="T1531" s="33"/>
      <c r="U1531" s="33"/>
      <c r="V1531" s="33"/>
      <c r="W1531" s="33"/>
      <c r="X1531" s="33"/>
      <c r="Y1531" s="33"/>
      <c r="Z1531" s="33"/>
      <c r="AA1531" s="33"/>
      <c r="AB1531" s="33"/>
      <c r="AC1531" s="33"/>
      <c r="AD1531" s="33"/>
      <c r="AE1531" s="33"/>
      <c r="AF1531" s="33"/>
      <c r="AG1531" s="33"/>
      <c r="AH1531" s="33"/>
      <c r="AI1531" s="33"/>
      <c r="AJ1531" s="33"/>
      <c r="AK1531" s="216"/>
      <c r="AL1531" s="33"/>
      <c r="AM1531" s="33"/>
      <c r="AN1531" s="33"/>
      <c r="AO1531" s="33"/>
      <c r="AP1531" s="33"/>
    </row>
    <row r="1532" spans="1:42" ht="15.75" customHeight="1">
      <c r="A1532" s="33"/>
      <c r="B1532" s="33"/>
      <c r="C1532" s="33"/>
      <c r="D1532" s="33"/>
      <c r="E1532" s="33"/>
      <c r="F1532" s="199"/>
      <c r="G1532" s="33"/>
      <c r="H1532" s="33"/>
      <c r="I1532" s="33"/>
      <c r="J1532" s="33"/>
      <c r="K1532" s="33"/>
      <c r="L1532" s="33"/>
      <c r="M1532" s="33"/>
      <c r="N1532" s="33"/>
      <c r="O1532" s="33"/>
      <c r="P1532" s="33"/>
      <c r="Q1532" s="33"/>
      <c r="R1532" s="33"/>
      <c r="S1532" s="33"/>
      <c r="T1532" s="33"/>
      <c r="U1532" s="33"/>
      <c r="V1532" s="33"/>
      <c r="W1532" s="33"/>
      <c r="X1532" s="33"/>
      <c r="Y1532" s="33"/>
      <c r="Z1532" s="33"/>
      <c r="AA1532" s="33"/>
      <c r="AB1532" s="33"/>
      <c r="AC1532" s="33"/>
      <c r="AD1532" s="33"/>
      <c r="AE1532" s="33"/>
      <c r="AF1532" s="33"/>
      <c r="AG1532" s="33"/>
      <c r="AH1532" s="33"/>
      <c r="AI1532" s="33"/>
      <c r="AJ1532" s="33"/>
      <c r="AK1532" s="216"/>
      <c r="AL1532" s="33"/>
      <c r="AM1532" s="33"/>
      <c r="AN1532" s="33"/>
      <c r="AO1532" s="33"/>
      <c r="AP1532" s="33"/>
    </row>
    <row r="1533" spans="1:42" ht="15.75" customHeight="1">
      <c r="A1533" s="33"/>
      <c r="B1533" s="33"/>
      <c r="C1533" s="33"/>
      <c r="D1533" s="33"/>
      <c r="E1533" s="33"/>
      <c r="F1533" s="199"/>
      <c r="G1533" s="33"/>
      <c r="H1533" s="33"/>
      <c r="I1533" s="33"/>
      <c r="J1533" s="33"/>
      <c r="K1533" s="33"/>
      <c r="L1533" s="33"/>
      <c r="M1533" s="33"/>
      <c r="N1533" s="33"/>
      <c r="O1533" s="33"/>
      <c r="P1533" s="33"/>
      <c r="Q1533" s="33"/>
      <c r="R1533" s="33"/>
      <c r="S1533" s="33"/>
      <c r="T1533" s="33"/>
      <c r="U1533" s="33"/>
      <c r="V1533" s="33"/>
      <c r="W1533" s="33"/>
      <c r="X1533" s="33"/>
      <c r="Y1533" s="33"/>
      <c r="Z1533" s="33"/>
      <c r="AA1533" s="33"/>
      <c r="AB1533" s="33"/>
      <c r="AC1533" s="33"/>
      <c r="AD1533" s="33"/>
      <c r="AE1533" s="33"/>
      <c r="AF1533" s="33"/>
      <c r="AG1533" s="33"/>
      <c r="AH1533" s="33"/>
      <c r="AI1533" s="33"/>
      <c r="AJ1533" s="33"/>
      <c r="AK1533" s="216"/>
      <c r="AL1533" s="33"/>
      <c r="AM1533" s="33"/>
      <c r="AN1533" s="33"/>
      <c r="AO1533" s="33"/>
      <c r="AP1533" s="33"/>
    </row>
    <row r="1534" spans="1:42" ht="15.75" customHeight="1">
      <c r="A1534" s="33"/>
      <c r="B1534" s="33"/>
      <c r="C1534" s="33"/>
      <c r="D1534" s="33"/>
      <c r="E1534" s="33"/>
      <c r="F1534" s="199"/>
      <c r="G1534" s="33"/>
      <c r="H1534" s="33"/>
      <c r="I1534" s="33"/>
      <c r="J1534" s="33"/>
      <c r="K1534" s="33"/>
      <c r="L1534" s="33"/>
      <c r="M1534" s="33"/>
      <c r="N1534" s="33"/>
      <c r="O1534" s="33"/>
      <c r="P1534" s="33"/>
      <c r="Q1534" s="33"/>
      <c r="R1534" s="33"/>
      <c r="S1534" s="33"/>
      <c r="T1534" s="33"/>
      <c r="U1534" s="33"/>
      <c r="V1534" s="33"/>
      <c r="W1534" s="33"/>
      <c r="X1534" s="33"/>
      <c r="Y1534" s="33"/>
      <c r="Z1534" s="33"/>
      <c r="AA1534" s="33"/>
      <c r="AB1534" s="33"/>
      <c r="AC1534" s="33"/>
      <c r="AD1534" s="33"/>
      <c r="AE1534" s="33"/>
      <c r="AF1534" s="33"/>
      <c r="AG1534" s="33"/>
      <c r="AH1534" s="33"/>
      <c r="AI1534" s="33"/>
      <c r="AJ1534" s="33"/>
      <c r="AK1534" s="216"/>
      <c r="AL1534" s="33"/>
      <c r="AM1534" s="33"/>
      <c r="AN1534" s="33"/>
      <c r="AO1534" s="33"/>
      <c r="AP1534" s="33"/>
    </row>
    <row r="1535" spans="1:42" ht="15.75" customHeight="1">
      <c r="A1535" s="33"/>
      <c r="B1535" s="33"/>
      <c r="C1535" s="33"/>
      <c r="D1535" s="33"/>
      <c r="E1535" s="33"/>
      <c r="F1535" s="199"/>
      <c r="G1535" s="33"/>
      <c r="H1535" s="33"/>
      <c r="I1535" s="33"/>
      <c r="J1535" s="33"/>
      <c r="K1535" s="33"/>
      <c r="L1535" s="33"/>
      <c r="M1535" s="33"/>
      <c r="N1535" s="33"/>
      <c r="O1535" s="33"/>
      <c r="P1535" s="33"/>
      <c r="Q1535" s="33"/>
      <c r="R1535" s="33"/>
      <c r="S1535" s="33"/>
      <c r="T1535" s="33"/>
      <c r="U1535" s="33"/>
      <c r="V1535" s="33"/>
      <c r="W1535" s="33"/>
      <c r="X1535" s="33"/>
      <c r="Y1535" s="33"/>
      <c r="Z1535" s="33"/>
      <c r="AA1535" s="33"/>
      <c r="AB1535" s="33"/>
      <c r="AC1535" s="33"/>
      <c r="AD1535" s="33"/>
      <c r="AE1535" s="33"/>
      <c r="AF1535" s="33"/>
      <c r="AG1535" s="33"/>
      <c r="AH1535" s="33"/>
      <c r="AI1535" s="33"/>
      <c r="AJ1535" s="33"/>
      <c r="AK1535" s="216"/>
      <c r="AL1535" s="33"/>
      <c r="AM1535" s="33"/>
      <c r="AN1535" s="33"/>
      <c r="AO1535" s="33"/>
      <c r="AP1535" s="33"/>
    </row>
    <row r="1536" spans="1:42" ht="15.75" customHeight="1">
      <c r="A1536" s="33"/>
      <c r="B1536" s="33"/>
      <c r="C1536" s="33"/>
      <c r="D1536" s="33"/>
      <c r="E1536" s="33"/>
      <c r="F1536" s="199"/>
      <c r="G1536" s="33"/>
      <c r="H1536" s="33"/>
      <c r="I1536" s="33"/>
      <c r="J1536" s="33"/>
      <c r="K1536" s="33"/>
      <c r="L1536" s="33"/>
      <c r="M1536" s="33"/>
      <c r="N1536" s="33"/>
      <c r="O1536" s="33"/>
      <c r="P1536" s="33"/>
      <c r="Q1536" s="33"/>
      <c r="R1536" s="33"/>
      <c r="S1536" s="33"/>
      <c r="T1536" s="33"/>
      <c r="U1536" s="33"/>
      <c r="V1536" s="33"/>
      <c r="W1536" s="33"/>
      <c r="X1536" s="33"/>
      <c r="Y1536" s="33"/>
      <c r="Z1536" s="33"/>
      <c r="AA1536" s="33"/>
      <c r="AB1536" s="33"/>
      <c r="AC1536" s="33"/>
      <c r="AD1536" s="33"/>
      <c r="AE1536" s="33"/>
      <c r="AF1536" s="33"/>
      <c r="AG1536" s="33"/>
      <c r="AH1536" s="33"/>
      <c r="AI1536" s="33"/>
      <c r="AJ1536" s="33"/>
      <c r="AK1536" s="216"/>
      <c r="AL1536" s="33"/>
      <c r="AM1536" s="33"/>
      <c r="AN1536" s="33"/>
      <c r="AO1536" s="33"/>
      <c r="AP1536" s="33"/>
    </row>
    <row r="1537" spans="1:42" ht="15.75" customHeight="1">
      <c r="A1537" s="33"/>
      <c r="B1537" s="33"/>
      <c r="C1537" s="33"/>
      <c r="D1537" s="33"/>
      <c r="E1537" s="33"/>
      <c r="F1537" s="199"/>
      <c r="G1537" s="33"/>
      <c r="H1537" s="33"/>
      <c r="I1537" s="33"/>
      <c r="J1537" s="33"/>
      <c r="K1537" s="33"/>
      <c r="L1537" s="33"/>
      <c r="M1537" s="33"/>
      <c r="N1537" s="33"/>
      <c r="O1537" s="33"/>
      <c r="P1537" s="33"/>
      <c r="Q1537" s="33"/>
      <c r="R1537" s="33"/>
      <c r="S1537" s="33"/>
      <c r="T1537" s="33"/>
      <c r="U1537" s="33"/>
      <c r="V1537" s="33"/>
      <c r="W1537" s="33"/>
      <c r="X1537" s="33"/>
      <c r="Y1537" s="33"/>
      <c r="Z1537" s="33"/>
      <c r="AA1537" s="33"/>
      <c r="AB1537" s="33"/>
      <c r="AC1537" s="33"/>
      <c r="AD1537" s="33"/>
      <c r="AE1537" s="33"/>
      <c r="AF1537" s="33"/>
      <c r="AG1537" s="33"/>
      <c r="AH1537" s="33"/>
      <c r="AI1537" s="33"/>
      <c r="AJ1537" s="33"/>
      <c r="AK1537" s="216"/>
      <c r="AL1537" s="33"/>
      <c r="AM1537" s="33"/>
      <c r="AN1537" s="33"/>
      <c r="AO1537" s="33"/>
      <c r="AP1537" s="33"/>
    </row>
    <row r="1538" spans="1:42" ht="15.75" customHeight="1">
      <c r="A1538" s="33"/>
      <c r="B1538" s="33"/>
      <c r="C1538" s="33"/>
      <c r="D1538" s="33"/>
      <c r="E1538" s="33"/>
      <c r="F1538" s="199"/>
      <c r="G1538" s="33"/>
      <c r="H1538" s="33"/>
      <c r="I1538" s="33"/>
      <c r="J1538" s="33"/>
      <c r="K1538" s="33"/>
      <c r="L1538" s="33"/>
      <c r="M1538" s="33"/>
      <c r="N1538" s="33"/>
      <c r="O1538" s="33"/>
      <c r="P1538" s="33"/>
      <c r="Q1538" s="33"/>
      <c r="R1538" s="33"/>
      <c r="S1538" s="33"/>
      <c r="T1538" s="33"/>
      <c r="U1538" s="33"/>
      <c r="V1538" s="33"/>
      <c r="W1538" s="33"/>
      <c r="X1538" s="33"/>
      <c r="Y1538" s="33"/>
      <c r="Z1538" s="33"/>
      <c r="AA1538" s="33"/>
      <c r="AB1538" s="33"/>
      <c r="AC1538" s="33"/>
      <c r="AD1538" s="33"/>
      <c r="AE1538" s="33"/>
      <c r="AF1538" s="33"/>
      <c r="AG1538" s="33"/>
      <c r="AH1538" s="33"/>
      <c r="AI1538" s="33"/>
      <c r="AJ1538" s="33"/>
      <c r="AK1538" s="216"/>
      <c r="AL1538" s="33"/>
      <c r="AM1538" s="33"/>
      <c r="AN1538" s="33"/>
      <c r="AO1538" s="33"/>
      <c r="AP1538" s="33"/>
    </row>
    <row r="1539" spans="1:42" ht="15.75" customHeight="1">
      <c r="A1539" s="33"/>
      <c r="B1539" s="33"/>
      <c r="C1539" s="33"/>
      <c r="D1539" s="33"/>
      <c r="E1539" s="33"/>
      <c r="F1539" s="199"/>
      <c r="G1539" s="33"/>
      <c r="H1539" s="33"/>
      <c r="I1539" s="33"/>
      <c r="J1539" s="33"/>
      <c r="K1539" s="33"/>
      <c r="L1539" s="33"/>
      <c r="M1539" s="33"/>
      <c r="N1539" s="33"/>
      <c r="O1539" s="33"/>
      <c r="P1539" s="33"/>
      <c r="Q1539" s="33"/>
      <c r="R1539" s="33"/>
      <c r="S1539" s="33"/>
      <c r="T1539" s="33"/>
      <c r="U1539" s="33"/>
      <c r="V1539" s="33"/>
      <c r="W1539" s="33"/>
      <c r="X1539" s="33"/>
      <c r="Y1539" s="33"/>
      <c r="Z1539" s="33"/>
      <c r="AA1539" s="33"/>
      <c r="AB1539" s="33"/>
      <c r="AC1539" s="33"/>
      <c r="AD1539" s="33"/>
      <c r="AE1539" s="33"/>
      <c r="AF1539" s="33"/>
      <c r="AG1539" s="33"/>
      <c r="AH1539" s="33"/>
      <c r="AI1539" s="33"/>
      <c r="AJ1539" s="33"/>
      <c r="AK1539" s="216"/>
      <c r="AL1539" s="33"/>
      <c r="AM1539" s="33"/>
      <c r="AN1539" s="33"/>
      <c r="AO1539" s="33"/>
      <c r="AP1539" s="33"/>
    </row>
    <row r="1540" spans="1:42" ht="15.75" customHeight="1">
      <c r="A1540" s="33"/>
      <c r="B1540" s="33"/>
      <c r="C1540" s="33"/>
      <c r="D1540" s="33"/>
      <c r="E1540" s="33"/>
      <c r="F1540" s="199"/>
      <c r="G1540" s="33"/>
      <c r="H1540" s="33"/>
      <c r="I1540" s="33"/>
      <c r="J1540" s="33"/>
      <c r="K1540" s="33"/>
      <c r="L1540" s="33"/>
      <c r="M1540" s="33"/>
      <c r="N1540" s="33"/>
      <c r="O1540" s="33"/>
      <c r="P1540" s="33"/>
      <c r="Q1540" s="33"/>
      <c r="R1540" s="33"/>
      <c r="S1540" s="33"/>
      <c r="T1540" s="33"/>
      <c r="U1540" s="33"/>
      <c r="V1540" s="33"/>
      <c r="W1540" s="33"/>
      <c r="X1540" s="33"/>
      <c r="Y1540" s="33"/>
      <c r="Z1540" s="33"/>
      <c r="AA1540" s="33"/>
      <c r="AB1540" s="33"/>
      <c r="AC1540" s="33"/>
      <c r="AD1540" s="33"/>
      <c r="AE1540" s="33"/>
      <c r="AF1540" s="33"/>
      <c r="AG1540" s="33"/>
      <c r="AH1540" s="33"/>
      <c r="AI1540" s="33"/>
      <c r="AJ1540" s="33"/>
      <c r="AK1540" s="216"/>
      <c r="AL1540" s="33"/>
      <c r="AM1540" s="33"/>
      <c r="AN1540" s="33"/>
      <c r="AO1540" s="33"/>
      <c r="AP1540" s="33"/>
    </row>
    <row r="1541" spans="1:42" ht="15.75" customHeight="1">
      <c r="A1541" s="33"/>
      <c r="B1541" s="33"/>
      <c r="C1541" s="33"/>
      <c r="D1541" s="33"/>
      <c r="E1541" s="33"/>
      <c r="F1541" s="199"/>
      <c r="G1541" s="33"/>
      <c r="H1541" s="33"/>
      <c r="I1541" s="33"/>
      <c r="J1541" s="33"/>
      <c r="K1541" s="33"/>
      <c r="L1541" s="33"/>
      <c r="M1541" s="33"/>
      <c r="N1541" s="33"/>
      <c r="O1541" s="33"/>
      <c r="P1541" s="33"/>
      <c r="Q1541" s="33"/>
      <c r="R1541" s="33"/>
      <c r="S1541" s="33"/>
      <c r="T1541" s="33"/>
      <c r="U1541" s="33"/>
      <c r="V1541" s="33"/>
      <c r="W1541" s="33"/>
      <c r="X1541" s="33"/>
      <c r="Y1541" s="33"/>
      <c r="Z1541" s="33"/>
      <c r="AA1541" s="33"/>
      <c r="AB1541" s="33"/>
      <c r="AC1541" s="33"/>
      <c r="AD1541" s="33"/>
      <c r="AE1541" s="33"/>
      <c r="AF1541" s="33"/>
      <c r="AG1541" s="33"/>
      <c r="AH1541" s="33"/>
      <c r="AI1541" s="33"/>
      <c r="AJ1541" s="33"/>
      <c r="AK1541" s="216"/>
      <c r="AL1541" s="33"/>
      <c r="AM1541" s="33"/>
      <c r="AN1541" s="33"/>
      <c r="AO1541" s="33"/>
      <c r="AP1541" s="33"/>
    </row>
    <row r="1542" spans="1:42" ht="15.75" customHeight="1">
      <c r="A1542" s="33"/>
      <c r="B1542" s="33"/>
      <c r="C1542" s="33"/>
      <c r="D1542" s="33"/>
      <c r="E1542" s="33"/>
      <c r="F1542" s="199"/>
      <c r="G1542" s="33"/>
      <c r="H1542" s="33"/>
      <c r="I1542" s="33"/>
      <c r="J1542" s="33"/>
      <c r="K1542" s="33"/>
      <c r="L1542" s="33"/>
      <c r="M1542" s="33"/>
      <c r="N1542" s="33"/>
      <c r="O1542" s="33"/>
      <c r="P1542" s="33"/>
      <c r="Q1542" s="33"/>
      <c r="R1542" s="33"/>
      <c r="S1542" s="33"/>
      <c r="T1542" s="33"/>
      <c r="U1542" s="33"/>
      <c r="V1542" s="33"/>
      <c r="W1542" s="33"/>
      <c r="X1542" s="33"/>
      <c r="Y1542" s="33"/>
      <c r="Z1542" s="33"/>
      <c r="AA1542" s="33"/>
      <c r="AB1542" s="33"/>
      <c r="AC1542" s="33"/>
      <c r="AD1542" s="33"/>
      <c r="AE1542" s="33"/>
      <c r="AF1542" s="33"/>
      <c r="AG1542" s="33"/>
      <c r="AH1542" s="33"/>
      <c r="AI1542" s="33"/>
      <c r="AJ1542" s="33"/>
      <c r="AK1542" s="216"/>
      <c r="AL1542" s="33"/>
      <c r="AM1542" s="33"/>
      <c r="AN1542" s="33"/>
      <c r="AO1542" s="33"/>
      <c r="AP1542" s="33"/>
    </row>
    <row r="1543" spans="1:42" ht="15.75" customHeight="1">
      <c r="A1543" s="33"/>
      <c r="B1543" s="33"/>
      <c r="C1543" s="33"/>
      <c r="D1543" s="33"/>
      <c r="E1543" s="33"/>
      <c r="F1543" s="199"/>
      <c r="G1543" s="33"/>
      <c r="H1543" s="33"/>
      <c r="I1543" s="33"/>
      <c r="J1543" s="33"/>
      <c r="K1543" s="33"/>
      <c r="L1543" s="33"/>
      <c r="M1543" s="33"/>
      <c r="N1543" s="33"/>
      <c r="O1543" s="33"/>
      <c r="P1543" s="33"/>
      <c r="Q1543" s="33"/>
      <c r="R1543" s="33"/>
      <c r="S1543" s="33"/>
      <c r="T1543" s="33"/>
      <c r="U1543" s="33"/>
      <c r="V1543" s="33"/>
      <c r="W1543" s="33"/>
      <c r="X1543" s="33"/>
      <c r="Y1543" s="33"/>
      <c r="Z1543" s="33"/>
      <c r="AA1543" s="33"/>
      <c r="AB1543" s="33"/>
      <c r="AC1543" s="33"/>
      <c r="AD1543" s="33"/>
      <c r="AE1543" s="33"/>
      <c r="AF1543" s="33"/>
      <c r="AG1543" s="33"/>
      <c r="AH1543" s="33"/>
      <c r="AI1543" s="33"/>
      <c r="AJ1543" s="33"/>
      <c r="AK1543" s="216"/>
      <c r="AL1543" s="33"/>
      <c r="AM1543" s="33"/>
      <c r="AN1543" s="33"/>
      <c r="AO1543" s="33"/>
      <c r="AP1543" s="33"/>
    </row>
    <row r="1544" spans="1:42" ht="15.75" customHeight="1">
      <c r="A1544" s="33"/>
      <c r="B1544" s="33"/>
      <c r="C1544" s="33"/>
      <c r="D1544" s="33"/>
      <c r="E1544" s="33"/>
      <c r="F1544" s="199"/>
      <c r="G1544" s="33"/>
      <c r="H1544" s="33"/>
      <c r="I1544" s="33"/>
      <c r="J1544" s="33"/>
      <c r="K1544" s="33"/>
      <c r="L1544" s="33"/>
      <c r="M1544" s="33"/>
      <c r="N1544" s="33"/>
      <c r="O1544" s="33"/>
      <c r="P1544" s="33"/>
      <c r="Q1544" s="33"/>
      <c r="R1544" s="33"/>
      <c r="S1544" s="33"/>
      <c r="T1544" s="33"/>
      <c r="U1544" s="33"/>
      <c r="V1544" s="33"/>
      <c r="W1544" s="33"/>
      <c r="X1544" s="33"/>
      <c r="Y1544" s="33"/>
      <c r="Z1544" s="33"/>
      <c r="AA1544" s="33"/>
      <c r="AB1544" s="33"/>
      <c r="AC1544" s="33"/>
      <c r="AD1544" s="33"/>
      <c r="AE1544" s="33"/>
      <c r="AF1544" s="33"/>
      <c r="AG1544" s="33"/>
      <c r="AH1544" s="33"/>
      <c r="AI1544" s="33"/>
      <c r="AJ1544" s="33"/>
      <c r="AK1544" s="216"/>
      <c r="AL1544" s="33"/>
      <c r="AM1544" s="33"/>
      <c r="AN1544" s="33"/>
      <c r="AO1544" s="33"/>
      <c r="AP1544" s="33"/>
    </row>
    <row r="1545" spans="1:42" ht="15.75" customHeight="1">
      <c r="A1545" s="33"/>
      <c r="B1545" s="33"/>
      <c r="C1545" s="33"/>
      <c r="D1545" s="33"/>
      <c r="E1545" s="33"/>
      <c r="F1545" s="199"/>
      <c r="G1545" s="33"/>
      <c r="H1545" s="33"/>
      <c r="I1545" s="33"/>
      <c r="J1545" s="33"/>
      <c r="K1545" s="33"/>
      <c r="L1545" s="33"/>
      <c r="M1545" s="33"/>
      <c r="N1545" s="33"/>
      <c r="O1545" s="33"/>
      <c r="P1545" s="33"/>
      <c r="Q1545" s="33"/>
      <c r="R1545" s="33"/>
      <c r="S1545" s="33"/>
      <c r="T1545" s="33"/>
      <c r="U1545" s="33"/>
      <c r="V1545" s="33"/>
      <c r="W1545" s="33"/>
      <c r="X1545" s="33"/>
      <c r="Y1545" s="33"/>
      <c r="Z1545" s="33"/>
      <c r="AA1545" s="33"/>
      <c r="AB1545" s="33"/>
      <c r="AC1545" s="33"/>
      <c r="AD1545" s="33"/>
      <c r="AE1545" s="33"/>
      <c r="AF1545" s="33"/>
      <c r="AG1545" s="33"/>
      <c r="AH1545" s="33"/>
      <c r="AI1545" s="33"/>
      <c r="AJ1545" s="33"/>
      <c r="AK1545" s="216"/>
      <c r="AL1545" s="33"/>
      <c r="AM1545" s="33"/>
      <c r="AN1545" s="33"/>
      <c r="AO1545" s="33"/>
      <c r="AP1545" s="33"/>
    </row>
    <row r="1546" spans="1:42" ht="15.75" customHeight="1">
      <c r="A1546" s="33"/>
      <c r="B1546" s="33"/>
      <c r="C1546" s="33"/>
      <c r="D1546" s="33"/>
      <c r="E1546" s="33"/>
      <c r="F1546" s="199"/>
      <c r="G1546" s="33"/>
      <c r="H1546" s="33"/>
      <c r="I1546" s="33"/>
      <c r="J1546" s="33"/>
      <c r="K1546" s="33"/>
      <c r="L1546" s="33"/>
      <c r="M1546" s="33"/>
      <c r="N1546" s="33"/>
      <c r="O1546" s="33"/>
      <c r="P1546" s="33"/>
      <c r="Q1546" s="33"/>
      <c r="R1546" s="33"/>
      <c r="S1546" s="33"/>
      <c r="T1546" s="33"/>
      <c r="U1546" s="33"/>
      <c r="V1546" s="33"/>
      <c r="W1546" s="33"/>
      <c r="X1546" s="33"/>
      <c r="Y1546" s="33"/>
      <c r="Z1546" s="33"/>
      <c r="AA1546" s="33"/>
      <c r="AB1546" s="33"/>
      <c r="AC1546" s="33"/>
      <c r="AD1546" s="33"/>
      <c r="AE1546" s="33"/>
      <c r="AF1546" s="33"/>
      <c r="AG1546" s="33"/>
      <c r="AH1546" s="33"/>
      <c r="AI1546" s="33"/>
      <c r="AJ1546" s="33"/>
      <c r="AK1546" s="216"/>
      <c r="AL1546" s="33"/>
      <c r="AM1546" s="33"/>
      <c r="AN1546" s="33"/>
      <c r="AO1546" s="33"/>
      <c r="AP1546" s="33"/>
    </row>
    <row r="1547" spans="1:42" ht="15.75" customHeight="1">
      <c r="A1547" s="33"/>
      <c r="B1547" s="33"/>
      <c r="C1547" s="33"/>
      <c r="D1547" s="33"/>
      <c r="E1547" s="33"/>
      <c r="F1547" s="199"/>
      <c r="G1547" s="33"/>
      <c r="H1547" s="33"/>
      <c r="I1547" s="33"/>
      <c r="J1547" s="33"/>
      <c r="K1547" s="33"/>
      <c r="L1547" s="33"/>
      <c r="M1547" s="33"/>
      <c r="N1547" s="33"/>
      <c r="O1547" s="33"/>
      <c r="P1547" s="33"/>
      <c r="Q1547" s="33"/>
      <c r="R1547" s="33"/>
      <c r="S1547" s="33"/>
      <c r="T1547" s="33"/>
      <c r="U1547" s="33"/>
      <c r="V1547" s="33"/>
      <c r="W1547" s="33"/>
      <c r="X1547" s="33"/>
      <c r="Y1547" s="33"/>
      <c r="Z1547" s="33"/>
      <c r="AA1547" s="33"/>
      <c r="AB1547" s="33"/>
      <c r="AC1547" s="33"/>
      <c r="AD1547" s="33"/>
      <c r="AE1547" s="33"/>
      <c r="AF1547" s="33"/>
      <c r="AG1547" s="33"/>
      <c r="AH1547" s="33"/>
      <c r="AI1547" s="33"/>
      <c r="AJ1547" s="33"/>
      <c r="AK1547" s="216"/>
      <c r="AL1547" s="33"/>
      <c r="AM1547" s="33"/>
      <c r="AN1547" s="33"/>
      <c r="AO1547" s="33"/>
      <c r="AP1547" s="33"/>
    </row>
    <row r="1548" spans="1:42" ht="15.75" customHeight="1">
      <c r="A1548" s="33"/>
      <c r="B1548" s="33"/>
      <c r="C1548" s="33"/>
      <c r="D1548" s="33"/>
      <c r="E1548" s="33"/>
      <c r="F1548" s="199"/>
      <c r="G1548" s="33"/>
      <c r="H1548" s="33"/>
      <c r="I1548" s="33"/>
      <c r="J1548" s="33"/>
      <c r="K1548" s="33"/>
      <c r="L1548" s="33"/>
      <c r="M1548" s="33"/>
      <c r="N1548" s="33"/>
      <c r="O1548" s="33"/>
      <c r="P1548" s="33"/>
      <c r="Q1548" s="33"/>
      <c r="R1548" s="33"/>
      <c r="S1548" s="33"/>
      <c r="T1548" s="33"/>
      <c r="U1548" s="33"/>
      <c r="V1548" s="33"/>
      <c r="W1548" s="33"/>
      <c r="X1548" s="33"/>
      <c r="Y1548" s="33"/>
      <c r="Z1548" s="33"/>
      <c r="AA1548" s="33"/>
      <c r="AB1548" s="33"/>
      <c r="AC1548" s="33"/>
      <c r="AD1548" s="33"/>
      <c r="AE1548" s="33"/>
      <c r="AF1548" s="33"/>
      <c r="AG1548" s="33"/>
      <c r="AH1548" s="33"/>
      <c r="AI1548" s="33"/>
      <c r="AJ1548" s="33"/>
      <c r="AK1548" s="216"/>
      <c r="AL1548" s="33"/>
      <c r="AM1548" s="33"/>
      <c r="AN1548" s="33"/>
      <c r="AO1548" s="33"/>
      <c r="AP1548" s="33"/>
    </row>
    <row r="1549" spans="1:42" ht="15.75" customHeight="1">
      <c r="A1549" s="33"/>
      <c r="B1549" s="33"/>
      <c r="C1549" s="33"/>
      <c r="D1549" s="33"/>
      <c r="E1549" s="33"/>
      <c r="F1549" s="199"/>
      <c r="G1549" s="33"/>
      <c r="H1549" s="33"/>
      <c r="I1549" s="33"/>
      <c r="J1549" s="33"/>
      <c r="K1549" s="33"/>
      <c r="L1549" s="33"/>
      <c r="M1549" s="33"/>
      <c r="N1549" s="33"/>
      <c r="O1549" s="33"/>
      <c r="P1549" s="33"/>
      <c r="Q1549" s="33"/>
      <c r="R1549" s="33"/>
      <c r="S1549" s="33"/>
      <c r="T1549" s="33"/>
      <c r="U1549" s="33"/>
      <c r="V1549" s="33"/>
      <c r="W1549" s="33"/>
      <c r="X1549" s="33"/>
      <c r="Y1549" s="33"/>
      <c r="Z1549" s="33"/>
      <c r="AA1549" s="33"/>
      <c r="AB1549" s="33"/>
      <c r="AC1549" s="33"/>
      <c r="AD1549" s="33"/>
      <c r="AE1549" s="33"/>
      <c r="AF1549" s="33"/>
      <c r="AG1549" s="33"/>
      <c r="AH1549" s="33"/>
      <c r="AI1549" s="33"/>
      <c r="AJ1549" s="33"/>
      <c r="AK1549" s="216"/>
      <c r="AL1549" s="33"/>
      <c r="AM1549" s="33"/>
      <c r="AN1549" s="33"/>
      <c r="AO1549" s="33"/>
      <c r="AP1549" s="33"/>
    </row>
    <row r="1550" spans="1:42" ht="15.75" customHeight="1">
      <c r="A1550" s="33"/>
      <c r="B1550" s="33"/>
      <c r="C1550" s="33"/>
      <c r="D1550" s="33"/>
      <c r="E1550" s="33"/>
      <c r="F1550" s="199"/>
      <c r="G1550" s="33"/>
      <c r="H1550" s="33"/>
      <c r="I1550" s="33"/>
      <c r="J1550" s="33"/>
      <c r="K1550" s="33"/>
      <c r="L1550" s="33"/>
      <c r="M1550" s="33"/>
      <c r="N1550" s="33"/>
      <c r="O1550" s="33"/>
      <c r="P1550" s="33"/>
      <c r="Q1550" s="33"/>
      <c r="R1550" s="33"/>
      <c r="S1550" s="33"/>
      <c r="T1550" s="33"/>
      <c r="U1550" s="33"/>
      <c r="V1550" s="33"/>
      <c r="W1550" s="33"/>
      <c r="X1550" s="33"/>
      <c r="Y1550" s="33"/>
      <c r="Z1550" s="33"/>
      <c r="AA1550" s="33"/>
      <c r="AB1550" s="33"/>
      <c r="AC1550" s="33"/>
      <c r="AD1550" s="33"/>
      <c r="AE1550" s="33"/>
      <c r="AF1550" s="33"/>
      <c r="AG1550" s="33"/>
      <c r="AH1550" s="33"/>
      <c r="AI1550" s="33"/>
      <c r="AJ1550" s="33"/>
      <c r="AK1550" s="216"/>
      <c r="AL1550" s="33"/>
      <c r="AM1550" s="33"/>
      <c r="AN1550" s="33"/>
      <c r="AO1550" s="33"/>
      <c r="AP1550" s="33"/>
    </row>
    <row r="1551" spans="1:42" ht="15.75" customHeight="1">
      <c r="A1551" s="33"/>
      <c r="B1551" s="33"/>
      <c r="C1551" s="33"/>
      <c r="D1551" s="33"/>
      <c r="E1551" s="33"/>
      <c r="F1551" s="199"/>
      <c r="G1551" s="33"/>
      <c r="H1551" s="33"/>
      <c r="I1551" s="33"/>
      <c r="J1551" s="33"/>
      <c r="K1551" s="33"/>
      <c r="L1551" s="33"/>
      <c r="M1551" s="33"/>
      <c r="N1551" s="33"/>
      <c r="O1551" s="33"/>
      <c r="P1551" s="33"/>
      <c r="Q1551" s="33"/>
      <c r="R1551" s="33"/>
      <c r="S1551" s="33"/>
      <c r="T1551" s="33"/>
      <c r="U1551" s="33"/>
      <c r="V1551" s="33"/>
      <c r="W1551" s="33"/>
      <c r="X1551" s="33"/>
      <c r="Y1551" s="33"/>
      <c r="Z1551" s="33"/>
      <c r="AA1551" s="33"/>
      <c r="AB1551" s="33"/>
      <c r="AC1551" s="33"/>
      <c r="AD1551" s="33"/>
      <c r="AE1551" s="33"/>
      <c r="AF1551" s="33"/>
      <c r="AG1551" s="33"/>
      <c r="AH1551" s="33"/>
      <c r="AI1551" s="33"/>
      <c r="AJ1551" s="33"/>
      <c r="AK1551" s="216"/>
      <c r="AL1551" s="33"/>
      <c r="AM1551" s="33"/>
      <c r="AN1551" s="33"/>
      <c r="AO1551" s="33"/>
      <c r="AP1551" s="33"/>
    </row>
    <row r="1552" spans="1:42" ht="15.75" customHeight="1">
      <c r="A1552" s="33"/>
      <c r="B1552" s="33"/>
      <c r="C1552" s="33"/>
      <c r="D1552" s="33"/>
      <c r="E1552" s="33"/>
      <c r="F1552" s="199"/>
      <c r="G1552" s="33"/>
      <c r="H1552" s="33"/>
      <c r="I1552" s="33"/>
      <c r="J1552" s="33"/>
      <c r="K1552" s="33"/>
      <c r="L1552" s="33"/>
      <c r="M1552" s="33"/>
      <c r="N1552" s="33"/>
      <c r="O1552" s="33"/>
      <c r="P1552" s="33"/>
      <c r="Q1552" s="33"/>
      <c r="R1552" s="33"/>
      <c r="S1552" s="33"/>
      <c r="T1552" s="33"/>
      <c r="U1552" s="33"/>
      <c r="V1552" s="33"/>
      <c r="W1552" s="33"/>
      <c r="X1552" s="33"/>
      <c r="Y1552" s="33"/>
      <c r="Z1552" s="33"/>
      <c r="AA1552" s="33"/>
      <c r="AB1552" s="33"/>
      <c r="AC1552" s="33"/>
      <c r="AD1552" s="33"/>
      <c r="AE1552" s="33"/>
      <c r="AF1552" s="33"/>
      <c r="AG1552" s="33"/>
      <c r="AH1552" s="33"/>
      <c r="AI1552" s="33"/>
      <c r="AJ1552" s="33"/>
      <c r="AK1552" s="216"/>
      <c r="AL1552" s="33"/>
      <c r="AM1552" s="33"/>
      <c r="AN1552" s="33"/>
      <c r="AO1552" s="33"/>
      <c r="AP1552" s="33"/>
    </row>
    <row r="1553" spans="1:42" ht="15.75" customHeight="1">
      <c r="A1553" s="33"/>
      <c r="B1553" s="33"/>
      <c r="C1553" s="33"/>
      <c r="D1553" s="33"/>
      <c r="E1553" s="33"/>
      <c r="F1553" s="199"/>
      <c r="G1553" s="33"/>
      <c r="H1553" s="33"/>
      <c r="I1553" s="33"/>
      <c r="J1553" s="33"/>
      <c r="K1553" s="33"/>
      <c r="L1553" s="33"/>
      <c r="M1553" s="33"/>
      <c r="N1553" s="33"/>
      <c r="O1553" s="33"/>
      <c r="P1553" s="33"/>
      <c r="Q1553" s="33"/>
      <c r="R1553" s="33"/>
      <c r="S1553" s="33"/>
      <c r="T1553" s="33"/>
      <c r="U1553" s="33"/>
      <c r="V1553" s="33"/>
      <c r="W1553" s="33"/>
      <c r="X1553" s="33"/>
      <c r="Y1553" s="33"/>
      <c r="Z1553" s="33"/>
      <c r="AA1553" s="33"/>
      <c r="AB1553" s="33"/>
      <c r="AC1553" s="33"/>
      <c r="AD1553" s="33"/>
      <c r="AE1553" s="33"/>
      <c r="AF1553" s="33"/>
      <c r="AG1553" s="33"/>
      <c r="AH1553" s="33"/>
      <c r="AI1553" s="33"/>
      <c r="AJ1553" s="33"/>
      <c r="AK1553" s="216"/>
      <c r="AL1553" s="33"/>
      <c r="AM1553" s="33"/>
      <c r="AN1553" s="33"/>
      <c r="AO1553" s="33"/>
      <c r="AP1553" s="33"/>
    </row>
    <row r="1554" spans="1:42" ht="15.75" customHeight="1">
      <c r="A1554" s="33"/>
      <c r="B1554" s="33"/>
      <c r="C1554" s="33"/>
      <c r="D1554" s="33"/>
      <c r="E1554" s="33"/>
      <c r="F1554" s="199"/>
      <c r="G1554" s="33"/>
      <c r="H1554" s="33"/>
      <c r="I1554" s="33"/>
      <c r="J1554" s="33"/>
      <c r="K1554" s="33"/>
      <c r="L1554" s="33"/>
      <c r="M1554" s="33"/>
      <c r="N1554" s="33"/>
      <c r="O1554" s="33"/>
      <c r="P1554" s="33"/>
      <c r="Q1554" s="33"/>
      <c r="R1554" s="33"/>
      <c r="S1554" s="33"/>
      <c r="T1554" s="33"/>
      <c r="U1554" s="33"/>
      <c r="V1554" s="33"/>
      <c r="W1554" s="33"/>
      <c r="X1554" s="33"/>
      <c r="Y1554" s="33"/>
      <c r="Z1554" s="33"/>
      <c r="AA1554" s="33"/>
      <c r="AB1554" s="33"/>
      <c r="AC1554" s="33"/>
      <c r="AD1554" s="33"/>
      <c r="AE1554" s="33"/>
      <c r="AF1554" s="33"/>
      <c r="AG1554" s="33"/>
      <c r="AH1554" s="33"/>
      <c r="AI1554" s="33"/>
      <c r="AJ1554" s="33"/>
      <c r="AK1554" s="216"/>
      <c r="AL1554" s="33"/>
      <c r="AM1554" s="33"/>
      <c r="AN1554" s="33"/>
      <c r="AO1554" s="33"/>
      <c r="AP1554" s="33"/>
    </row>
    <row r="1555" spans="1:42" ht="15.75" customHeight="1">
      <c r="A1555" s="33"/>
      <c r="B1555" s="33"/>
      <c r="C1555" s="33"/>
      <c r="D1555" s="33"/>
      <c r="E1555" s="33"/>
      <c r="F1555" s="199"/>
      <c r="G1555" s="33"/>
      <c r="H1555" s="33"/>
      <c r="I1555" s="33"/>
      <c r="J1555" s="33"/>
      <c r="K1555" s="33"/>
      <c r="L1555" s="33"/>
      <c r="M1555" s="33"/>
      <c r="N1555" s="33"/>
      <c r="O1555" s="33"/>
      <c r="P1555" s="33"/>
      <c r="Q1555" s="33"/>
      <c r="R1555" s="33"/>
      <c r="S1555" s="33"/>
      <c r="T1555" s="33"/>
      <c r="U1555" s="33"/>
      <c r="V1555" s="33"/>
      <c r="W1555" s="33"/>
      <c r="X1555" s="33"/>
      <c r="Y1555" s="33"/>
      <c r="Z1555" s="33"/>
      <c r="AA1555" s="33"/>
      <c r="AB1555" s="33"/>
      <c r="AC1555" s="33"/>
      <c r="AD1555" s="33"/>
      <c r="AE1555" s="33"/>
      <c r="AF1555" s="33"/>
      <c r="AG1555" s="33"/>
      <c r="AH1555" s="33"/>
      <c r="AI1555" s="33"/>
      <c r="AJ1555" s="33"/>
      <c r="AK1555" s="216"/>
      <c r="AL1555" s="33"/>
      <c r="AM1555" s="33"/>
      <c r="AN1555" s="33"/>
      <c r="AO1555" s="33"/>
      <c r="AP1555" s="33"/>
    </row>
    <row r="1556" spans="1:42" ht="15.75" customHeight="1">
      <c r="A1556" s="33"/>
      <c r="B1556" s="33"/>
      <c r="C1556" s="33"/>
      <c r="D1556" s="33"/>
      <c r="E1556" s="33"/>
      <c r="F1556" s="199"/>
      <c r="G1556" s="33"/>
      <c r="H1556" s="33"/>
      <c r="I1556" s="33"/>
      <c r="J1556" s="33"/>
      <c r="K1556" s="33"/>
      <c r="L1556" s="33"/>
      <c r="M1556" s="33"/>
      <c r="N1556" s="33"/>
      <c r="O1556" s="33"/>
      <c r="P1556" s="33"/>
      <c r="Q1556" s="33"/>
      <c r="R1556" s="33"/>
      <c r="S1556" s="33"/>
      <c r="T1556" s="33"/>
      <c r="U1556" s="33"/>
      <c r="V1556" s="33"/>
      <c r="W1556" s="33"/>
      <c r="X1556" s="33"/>
      <c r="Y1556" s="33"/>
      <c r="Z1556" s="33"/>
      <c r="AA1556" s="33"/>
      <c r="AB1556" s="33"/>
      <c r="AC1556" s="33"/>
      <c r="AD1556" s="33"/>
      <c r="AE1556" s="33"/>
      <c r="AF1556" s="33"/>
      <c r="AG1556" s="33"/>
      <c r="AH1556" s="33"/>
      <c r="AI1556" s="33"/>
      <c r="AJ1556" s="33"/>
      <c r="AK1556" s="216"/>
      <c r="AL1556" s="33"/>
      <c r="AM1556" s="33"/>
      <c r="AN1556" s="33"/>
      <c r="AO1556" s="33"/>
      <c r="AP1556" s="33"/>
    </row>
    <row r="1557" spans="1:42" ht="15.75" customHeight="1">
      <c r="A1557" s="33"/>
      <c r="B1557" s="33"/>
      <c r="C1557" s="33"/>
      <c r="D1557" s="33"/>
      <c r="E1557" s="33"/>
      <c r="F1557" s="199"/>
      <c r="G1557" s="33"/>
      <c r="H1557" s="33"/>
      <c r="I1557" s="33"/>
      <c r="J1557" s="33"/>
      <c r="K1557" s="33"/>
      <c r="L1557" s="33"/>
      <c r="M1557" s="33"/>
      <c r="N1557" s="33"/>
      <c r="O1557" s="33"/>
      <c r="P1557" s="33"/>
      <c r="Q1557" s="33"/>
      <c r="R1557" s="33"/>
      <c r="S1557" s="33"/>
      <c r="T1557" s="33"/>
      <c r="U1557" s="33"/>
      <c r="V1557" s="33"/>
      <c r="W1557" s="33"/>
      <c r="X1557" s="33"/>
      <c r="Y1557" s="33"/>
      <c r="Z1557" s="33"/>
      <c r="AA1557" s="33"/>
      <c r="AB1557" s="33"/>
      <c r="AC1557" s="33"/>
      <c r="AD1557" s="33"/>
      <c r="AE1557" s="33"/>
      <c r="AF1557" s="33"/>
      <c r="AG1557" s="33"/>
      <c r="AH1557" s="33"/>
      <c r="AI1557" s="33"/>
      <c r="AJ1557" s="33"/>
      <c r="AK1557" s="216"/>
      <c r="AL1557" s="33"/>
      <c r="AM1557" s="33"/>
      <c r="AN1557" s="33"/>
      <c r="AO1557" s="33"/>
      <c r="AP1557" s="33"/>
    </row>
    <row r="1558" spans="1:42" ht="15.75" customHeight="1">
      <c r="A1558" s="33"/>
      <c r="B1558" s="33"/>
      <c r="C1558" s="33"/>
      <c r="D1558" s="33"/>
      <c r="E1558" s="33"/>
      <c r="F1558" s="199"/>
      <c r="G1558" s="33"/>
      <c r="H1558" s="33"/>
      <c r="I1558" s="33"/>
      <c r="J1558" s="33"/>
      <c r="K1558" s="33"/>
      <c r="L1558" s="33"/>
      <c r="M1558" s="33"/>
      <c r="N1558" s="33"/>
      <c r="O1558" s="33"/>
      <c r="P1558" s="33"/>
      <c r="Q1558" s="33"/>
      <c r="R1558" s="33"/>
      <c r="S1558" s="33"/>
      <c r="T1558" s="33"/>
      <c r="U1558" s="33"/>
      <c r="V1558" s="33"/>
      <c r="W1558" s="33"/>
      <c r="X1558" s="33"/>
      <c r="Y1558" s="33"/>
      <c r="Z1558" s="33"/>
      <c r="AA1558" s="33"/>
      <c r="AB1558" s="33"/>
      <c r="AC1558" s="33"/>
      <c r="AD1558" s="33"/>
      <c r="AE1558" s="33"/>
      <c r="AF1558" s="33"/>
      <c r="AG1558" s="33"/>
      <c r="AH1558" s="33"/>
      <c r="AI1558" s="33"/>
      <c r="AJ1558" s="33"/>
      <c r="AK1558" s="216"/>
      <c r="AL1558" s="33"/>
      <c r="AM1558" s="33"/>
      <c r="AN1558" s="33"/>
      <c r="AO1558" s="33"/>
      <c r="AP1558" s="33"/>
    </row>
    <row r="1559" spans="1:42" ht="15.75" customHeight="1">
      <c r="A1559" s="33"/>
      <c r="B1559" s="33"/>
      <c r="C1559" s="33"/>
      <c r="D1559" s="33"/>
      <c r="E1559" s="33"/>
      <c r="F1559" s="199"/>
      <c r="G1559" s="33"/>
      <c r="H1559" s="33"/>
      <c r="I1559" s="33"/>
      <c r="J1559" s="33"/>
      <c r="K1559" s="33"/>
      <c r="L1559" s="33"/>
      <c r="M1559" s="33"/>
      <c r="N1559" s="33"/>
      <c r="O1559" s="33"/>
      <c r="P1559" s="33"/>
      <c r="Q1559" s="33"/>
      <c r="R1559" s="33"/>
      <c r="S1559" s="33"/>
      <c r="T1559" s="33"/>
      <c r="U1559" s="33"/>
      <c r="V1559" s="33"/>
      <c r="W1559" s="33"/>
      <c r="X1559" s="33"/>
      <c r="Y1559" s="33"/>
      <c r="Z1559" s="33"/>
      <c r="AA1559" s="33"/>
      <c r="AB1559" s="33"/>
      <c r="AC1559" s="33"/>
      <c r="AD1559" s="33"/>
      <c r="AE1559" s="33"/>
      <c r="AF1559" s="33"/>
      <c r="AG1559" s="33"/>
      <c r="AH1559" s="33"/>
      <c r="AI1559" s="33"/>
      <c r="AJ1559" s="33"/>
      <c r="AK1559" s="216"/>
      <c r="AL1559" s="33"/>
      <c r="AM1559" s="33"/>
      <c r="AN1559" s="33"/>
      <c r="AO1559" s="33"/>
      <c r="AP1559" s="33"/>
    </row>
    <row r="1560" spans="1:42" ht="15.75" customHeight="1">
      <c r="A1560" s="33"/>
      <c r="B1560" s="33"/>
      <c r="C1560" s="33"/>
      <c r="D1560" s="33"/>
      <c r="E1560" s="33"/>
      <c r="F1560" s="199"/>
      <c r="G1560" s="33"/>
      <c r="H1560" s="33"/>
      <c r="I1560" s="33"/>
      <c r="J1560" s="33"/>
      <c r="K1560" s="33"/>
      <c r="L1560" s="33"/>
      <c r="M1560" s="33"/>
      <c r="N1560" s="33"/>
      <c r="O1560" s="33"/>
      <c r="P1560" s="33"/>
      <c r="Q1560" s="33"/>
      <c r="R1560" s="33"/>
      <c r="S1560" s="33"/>
      <c r="T1560" s="33"/>
      <c r="U1560" s="33"/>
      <c r="V1560" s="33"/>
      <c r="W1560" s="33"/>
      <c r="X1560" s="33"/>
      <c r="Y1560" s="33"/>
      <c r="Z1560" s="33"/>
      <c r="AA1560" s="33"/>
      <c r="AB1560" s="33"/>
      <c r="AC1560" s="33"/>
      <c r="AD1560" s="33"/>
      <c r="AE1560" s="33"/>
      <c r="AF1560" s="33"/>
      <c r="AG1560" s="33"/>
      <c r="AH1560" s="33"/>
      <c r="AI1560" s="33"/>
      <c r="AJ1560" s="33"/>
      <c r="AK1560" s="216"/>
      <c r="AL1560" s="33"/>
      <c r="AM1560" s="33"/>
      <c r="AN1560" s="33"/>
      <c r="AO1560" s="33"/>
      <c r="AP1560" s="33"/>
    </row>
    <row r="1561" spans="1:42" ht="15.75" customHeight="1">
      <c r="A1561" s="33"/>
      <c r="B1561" s="33"/>
      <c r="C1561" s="33"/>
      <c r="D1561" s="33"/>
      <c r="E1561" s="33"/>
      <c r="F1561" s="199"/>
      <c r="G1561" s="33"/>
      <c r="H1561" s="33"/>
      <c r="I1561" s="33"/>
      <c r="J1561" s="33"/>
      <c r="K1561" s="33"/>
      <c r="L1561" s="33"/>
      <c r="M1561" s="33"/>
      <c r="N1561" s="33"/>
      <c r="O1561" s="33"/>
      <c r="P1561" s="33"/>
      <c r="Q1561" s="33"/>
      <c r="R1561" s="33"/>
      <c r="S1561" s="33"/>
      <c r="T1561" s="33"/>
      <c r="U1561" s="33"/>
      <c r="V1561" s="33"/>
      <c r="W1561" s="33"/>
      <c r="X1561" s="33"/>
      <c r="Y1561" s="33"/>
      <c r="Z1561" s="33"/>
      <c r="AA1561" s="33"/>
      <c r="AB1561" s="33"/>
      <c r="AC1561" s="33"/>
      <c r="AD1561" s="33"/>
      <c r="AE1561" s="33"/>
      <c r="AF1561" s="33"/>
      <c r="AG1561" s="33"/>
      <c r="AH1561" s="33"/>
      <c r="AI1561" s="33"/>
      <c r="AJ1561" s="33"/>
      <c r="AK1561" s="216"/>
      <c r="AL1561" s="33"/>
      <c r="AM1561" s="33"/>
      <c r="AN1561" s="33"/>
      <c r="AO1561" s="33"/>
      <c r="AP1561" s="33"/>
    </row>
    <row r="1562" spans="1:42" ht="15.75" customHeight="1">
      <c r="A1562" s="33"/>
      <c r="B1562" s="33"/>
      <c r="C1562" s="33"/>
      <c r="D1562" s="33"/>
      <c r="E1562" s="33"/>
      <c r="F1562" s="199"/>
      <c r="G1562" s="33"/>
      <c r="H1562" s="33"/>
      <c r="I1562" s="33"/>
      <c r="J1562" s="33"/>
      <c r="K1562" s="33"/>
      <c r="L1562" s="33"/>
      <c r="M1562" s="33"/>
      <c r="N1562" s="33"/>
      <c r="O1562" s="33"/>
      <c r="P1562" s="33"/>
      <c r="Q1562" s="33"/>
      <c r="R1562" s="33"/>
      <c r="S1562" s="33"/>
      <c r="T1562" s="33"/>
      <c r="U1562" s="33"/>
      <c r="V1562" s="33"/>
      <c r="W1562" s="33"/>
      <c r="X1562" s="33"/>
      <c r="Y1562" s="33"/>
      <c r="Z1562" s="33"/>
      <c r="AA1562" s="33"/>
      <c r="AB1562" s="33"/>
      <c r="AC1562" s="33"/>
      <c r="AD1562" s="33"/>
      <c r="AE1562" s="33"/>
      <c r="AF1562" s="33"/>
      <c r="AG1562" s="33"/>
      <c r="AH1562" s="33"/>
      <c r="AI1562" s="33"/>
      <c r="AJ1562" s="33"/>
      <c r="AK1562" s="216"/>
      <c r="AL1562" s="33"/>
      <c r="AM1562" s="33"/>
      <c r="AN1562" s="33"/>
      <c r="AO1562" s="33"/>
      <c r="AP1562" s="33"/>
    </row>
    <row r="1563" spans="1:42" ht="15.75" customHeight="1">
      <c r="A1563" s="33"/>
      <c r="B1563" s="33"/>
      <c r="C1563" s="33"/>
      <c r="D1563" s="33"/>
      <c r="E1563" s="33"/>
      <c r="F1563" s="199"/>
      <c r="G1563" s="33"/>
      <c r="H1563" s="33"/>
      <c r="I1563" s="33"/>
      <c r="J1563" s="33"/>
      <c r="K1563" s="33"/>
      <c r="L1563" s="33"/>
      <c r="M1563" s="33"/>
      <c r="N1563" s="33"/>
      <c r="O1563" s="33"/>
      <c r="P1563" s="33"/>
      <c r="Q1563" s="33"/>
      <c r="R1563" s="33"/>
      <c r="S1563" s="33"/>
      <c r="T1563" s="33"/>
      <c r="U1563" s="33"/>
      <c r="V1563" s="33"/>
      <c r="W1563" s="33"/>
      <c r="X1563" s="33"/>
      <c r="Y1563" s="33"/>
      <c r="Z1563" s="33"/>
      <c r="AA1563" s="33"/>
      <c r="AB1563" s="33"/>
      <c r="AC1563" s="33"/>
      <c r="AD1563" s="33"/>
      <c r="AE1563" s="33"/>
      <c r="AF1563" s="33"/>
      <c r="AG1563" s="33"/>
      <c r="AH1563" s="33"/>
      <c r="AI1563" s="33"/>
      <c r="AJ1563" s="33"/>
      <c r="AK1563" s="216"/>
      <c r="AL1563" s="33"/>
      <c r="AM1563" s="33"/>
      <c r="AN1563" s="33"/>
      <c r="AO1563" s="33"/>
      <c r="AP1563" s="33"/>
    </row>
    <row r="1564" spans="1:42" ht="15.75" customHeight="1">
      <c r="A1564" s="33"/>
      <c r="B1564" s="33"/>
      <c r="C1564" s="33"/>
      <c r="D1564" s="33"/>
      <c r="E1564" s="33"/>
      <c r="F1564" s="199"/>
      <c r="G1564" s="33"/>
      <c r="H1564" s="33"/>
      <c r="I1564" s="33"/>
      <c r="J1564" s="33"/>
      <c r="K1564" s="33"/>
      <c r="L1564" s="33"/>
      <c r="M1564" s="33"/>
      <c r="N1564" s="33"/>
      <c r="O1564" s="33"/>
      <c r="P1564" s="33"/>
      <c r="Q1564" s="33"/>
      <c r="R1564" s="33"/>
      <c r="S1564" s="33"/>
      <c r="T1564" s="33"/>
      <c r="U1564" s="33"/>
      <c r="V1564" s="33"/>
      <c r="W1564" s="33"/>
      <c r="X1564" s="33"/>
      <c r="Y1564" s="33"/>
      <c r="Z1564" s="33"/>
      <c r="AA1564" s="33"/>
      <c r="AB1564" s="33"/>
      <c r="AC1564" s="33"/>
      <c r="AD1564" s="33"/>
      <c r="AE1564" s="33"/>
      <c r="AF1564" s="33"/>
      <c r="AG1564" s="33"/>
      <c r="AH1564" s="33"/>
      <c r="AI1564" s="33"/>
      <c r="AJ1564" s="33"/>
      <c r="AK1564" s="216"/>
      <c r="AL1564" s="33"/>
      <c r="AM1564" s="33"/>
      <c r="AN1564" s="33"/>
      <c r="AO1564" s="33"/>
      <c r="AP1564" s="33"/>
    </row>
    <row r="1565" spans="1:42" ht="15.75" customHeight="1">
      <c r="A1565" s="33"/>
      <c r="B1565" s="33"/>
      <c r="C1565" s="33"/>
      <c r="D1565" s="33"/>
      <c r="E1565" s="33"/>
      <c r="F1565" s="199"/>
      <c r="G1565" s="33"/>
      <c r="H1565" s="33"/>
      <c r="I1565" s="33"/>
      <c r="J1565" s="33"/>
      <c r="K1565" s="33"/>
      <c r="L1565" s="33"/>
      <c r="M1565" s="33"/>
      <c r="N1565" s="33"/>
      <c r="O1565" s="33"/>
      <c r="P1565" s="33"/>
      <c r="Q1565" s="33"/>
      <c r="R1565" s="33"/>
      <c r="S1565" s="33"/>
      <c r="T1565" s="33"/>
      <c r="U1565" s="33"/>
      <c r="V1565" s="33"/>
      <c r="W1565" s="33"/>
      <c r="X1565" s="33"/>
      <c r="Y1565" s="33"/>
      <c r="Z1565" s="33"/>
      <c r="AA1565" s="33"/>
      <c r="AB1565" s="33"/>
      <c r="AC1565" s="33"/>
      <c r="AD1565" s="33"/>
      <c r="AE1565" s="33"/>
      <c r="AF1565" s="33"/>
      <c r="AG1565" s="33"/>
      <c r="AH1565" s="33"/>
      <c r="AI1565" s="33"/>
      <c r="AJ1565" s="33"/>
      <c r="AK1565" s="216"/>
      <c r="AL1565" s="33"/>
      <c r="AM1565" s="33"/>
      <c r="AN1565" s="33"/>
      <c r="AO1565" s="33"/>
      <c r="AP1565" s="33"/>
    </row>
    <row r="1566" spans="1:42" ht="15.75" customHeight="1">
      <c r="A1566" s="33"/>
      <c r="B1566" s="33"/>
      <c r="C1566" s="33"/>
      <c r="D1566" s="33"/>
      <c r="E1566" s="33"/>
      <c r="F1566" s="199"/>
      <c r="G1566" s="33"/>
      <c r="H1566" s="33"/>
      <c r="I1566" s="33"/>
      <c r="J1566" s="33"/>
      <c r="K1566" s="33"/>
      <c r="L1566" s="33"/>
      <c r="M1566" s="33"/>
      <c r="N1566" s="33"/>
      <c r="O1566" s="33"/>
      <c r="P1566" s="33"/>
      <c r="Q1566" s="33"/>
      <c r="R1566" s="33"/>
      <c r="S1566" s="33"/>
      <c r="T1566" s="33"/>
      <c r="U1566" s="33"/>
      <c r="V1566" s="33"/>
      <c r="W1566" s="33"/>
      <c r="X1566" s="33"/>
      <c r="Y1566" s="33"/>
      <c r="Z1566" s="33"/>
      <c r="AA1566" s="33"/>
      <c r="AB1566" s="33"/>
      <c r="AC1566" s="33"/>
      <c r="AD1566" s="33"/>
      <c r="AE1566" s="33"/>
      <c r="AF1566" s="33"/>
      <c r="AG1566" s="33"/>
      <c r="AH1566" s="33"/>
      <c r="AI1566" s="33"/>
      <c r="AJ1566" s="33"/>
      <c r="AK1566" s="216"/>
      <c r="AL1566" s="33"/>
      <c r="AM1566" s="33"/>
      <c r="AN1566" s="33"/>
      <c r="AO1566" s="33"/>
      <c r="AP1566" s="33"/>
    </row>
    <row r="1567" spans="1:42" ht="15.75" customHeight="1">
      <c r="A1567" s="33"/>
      <c r="B1567" s="33"/>
      <c r="C1567" s="33"/>
      <c r="D1567" s="33"/>
      <c r="E1567" s="33"/>
      <c r="F1567" s="199"/>
      <c r="G1567" s="33"/>
      <c r="H1567" s="33"/>
      <c r="I1567" s="33"/>
      <c r="J1567" s="33"/>
      <c r="K1567" s="33"/>
      <c r="L1567" s="33"/>
      <c r="M1567" s="33"/>
      <c r="N1567" s="33"/>
      <c r="O1567" s="33"/>
      <c r="P1567" s="33"/>
      <c r="Q1567" s="33"/>
      <c r="R1567" s="33"/>
      <c r="S1567" s="33"/>
      <c r="T1567" s="33"/>
      <c r="U1567" s="33"/>
      <c r="V1567" s="33"/>
      <c r="W1567" s="33"/>
      <c r="X1567" s="33"/>
      <c r="Y1567" s="33"/>
      <c r="Z1567" s="33"/>
      <c r="AA1567" s="33"/>
      <c r="AB1567" s="33"/>
      <c r="AC1567" s="33"/>
      <c r="AD1567" s="33"/>
      <c r="AE1567" s="33"/>
      <c r="AF1567" s="33"/>
      <c r="AG1567" s="33"/>
      <c r="AH1567" s="33"/>
      <c r="AI1567" s="33"/>
      <c r="AJ1567" s="33"/>
      <c r="AK1567" s="216"/>
      <c r="AL1567" s="33"/>
      <c r="AM1567" s="33"/>
      <c r="AN1567" s="33"/>
      <c r="AO1567" s="33"/>
      <c r="AP1567" s="33"/>
    </row>
    <row r="1568" spans="1:42" ht="15.75" customHeight="1">
      <c r="A1568" s="33"/>
      <c r="B1568" s="33"/>
      <c r="C1568" s="33"/>
      <c r="D1568" s="33"/>
      <c r="E1568" s="33"/>
      <c r="F1568" s="199"/>
      <c r="G1568" s="33"/>
      <c r="H1568" s="33"/>
      <c r="I1568" s="33"/>
      <c r="J1568" s="33"/>
      <c r="K1568" s="33"/>
      <c r="L1568" s="33"/>
      <c r="M1568" s="33"/>
      <c r="N1568" s="33"/>
      <c r="O1568" s="33"/>
      <c r="P1568" s="33"/>
      <c r="Q1568" s="33"/>
      <c r="R1568" s="33"/>
      <c r="S1568" s="33"/>
      <c r="T1568" s="33"/>
      <c r="U1568" s="33"/>
      <c r="V1568" s="33"/>
      <c r="W1568" s="33"/>
      <c r="X1568" s="33"/>
      <c r="Y1568" s="33"/>
      <c r="Z1568" s="33"/>
      <c r="AA1568" s="33"/>
      <c r="AB1568" s="33"/>
      <c r="AC1568" s="33"/>
      <c r="AD1568" s="33"/>
      <c r="AE1568" s="33"/>
      <c r="AF1568" s="33"/>
      <c r="AG1568" s="33"/>
      <c r="AH1568" s="33"/>
      <c r="AI1568" s="33"/>
      <c r="AJ1568" s="33"/>
      <c r="AK1568" s="216"/>
      <c r="AL1568" s="33"/>
      <c r="AM1568" s="33"/>
      <c r="AN1568" s="33"/>
      <c r="AO1568" s="33"/>
      <c r="AP1568" s="33"/>
    </row>
    <row r="1569" spans="1:42" ht="15.75" customHeight="1">
      <c r="A1569" s="33"/>
      <c r="B1569" s="33"/>
      <c r="C1569" s="33"/>
      <c r="D1569" s="33"/>
      <c r="E1569" s="33"/>
      <c r="F1569" s="199"/>
      <c r="G1569" s="33"/>
      <c r="H1569" s="33"/>
      <c r="I1569" s="33"/>
      <c r="J1569" s="33"/>
      <c r="K1569" s="33"/>
      <c r="L1569" s="33"/>
      <c r="M1569" s="33"/>
      <c r="N1569" s="33"/>
      <c r="O1569" s="33"/>
      <c r="P1569" s="33"/>
      <c r="Q1569" s="33"/>
      <c r="R1569" s="33"/>
      <c r="S1569" s="33"/>
      <c r="T1569" s="33"/>
      <c r="U1569" s="33"/>
      <c r="V1569" s="33"/>
      <c r="W1569" s="33"/>
      <c r="X1569" s="33"/>
      <c r="Y1569" s="33"/>
      <c r="Z1569" s="33"/>
      <c r="AA1569" s="33"/>
      <c r="AB1569" s="33"/>
      <c r="AC1569" s="33"/>
      <c r="AD1569" s="33"/>
      <c r="AE1569" s="33"/>
      <c r="AF1569" s="33"/>
      <c r="AG1569" s="33"/>
      <c r="AH1569" s="33"/>
      <c r="AI1569" s="33"/>
      <c r="AJ1569" s="33"/>
      <c r="AK1569" s="216"/>
      <c r="AL1569" s="33"/>
      <c r="AM1569" s="33"/>
      <c r="AN1569" s="33"/>
      <c r="AO1569" s="33"/>
      <c r="AP1569" s="33"/>
    </row>
    <row r="1570" spans="1:42" ht="15.75" customHeight="1">
      <c r="A1570" s="33"/>
      <c r="B1570" s="33"/>
      <c r="C1570" s="33"/>
      <c r="D1570" s="33"/>
      <c r="E1570" s="33"/>
      <c r="F1570" s="199"/>
      <c r="G1570" s="33"/>
      <c r="H1570" s="33"/>
      <c r="I1570" s="33"/>
      <c r="J1570" s="33"/>
      <c r="K1570" s="33"/>
      <c r="L1570" s="33"/>
      <c r="M1570" s="33"/>
      <c r="N1570" s="33"/>
      <c r="O1570" s="33"/>
      <c r="P1570" s="33"/>
      <c r="Q1570" s="33"/>
      <c r="R1570" s="33"/>
      <c r="S1570" s="33"/>
      <c r="T1570" s="33"/>
      <c r="U1570" s="33"/>
      <c r="V1570" s="33"/>
      <c r="W1570" s="33"/>
      <c r="X1570" s="33"/>
      <c r="Y1570" s="33"/>
      <c r="Z1570" s="33"/>
      <c r="AA1570" s="33"/>
      <c r="AB1570" s="33"/>
      <c r="AC1570" s="33"/>
      <c r="AD1570" s="33"/>
      <c r="AE1570" s="33"/>
      <c r="AF1570" s="33"/>
      <c r="AG1570" s="33"/>
      <c r="AH1570" s="33"/>
      <c r="AI1570" s="33"/>
      <c r="AJ1570" s="33"/>
      <c r="AK1570" s="216"/>
      <c r="AL1570" s="33"/>
      <c r="AM1570" s="33"/>
      <c r="AN1570" s="33"/>
      <c r="AO1570" s="33"/>
      <c r="AP1570" s="33"/>
    </row>
    <row r="1571" spans="1:42" ht="15.75" customHeight="1">
      <c r="A1571" s="33"/>
      <c r="B1571" s="33"/>
      <c r="C1571" s="33"/>
      <c r="D1571" s="33"/>
      <c r="E1571" s="33"/>
      <c r="F1571" s="199"/>
      <c r="G1571" s="33"/>
      <c r="H1571" s="33"/>
      <c r="I1571" s="33"/>
      <c r="J1571" s="33"/>
      <c r="K1571" s="33"/>
      <c r="L1571" s="33"/>
      <c r="M1571" s="33"/>
      <c r="N1571" s="33"/>
      <c r="O1571" s="33"/>
      <c r="P1571" s="33"/>
      <c r="Q1571" s="33"/>
      <c r="R1571" s="33"/>
      <c r="S1571" s="33"/>
      <c r="T1571" s="33"/>
      <c r="U1571" s="33"/>
      <c r="V1571" s="33"/>
      <c r="W1571" s="33"/>
      <c r="X1571" s="33"/>
      <c r="Y1571" s="33"/>
      <c r="Z1571" s="33"/>
      <c r="AA1571" s="33"/>
      <c r="AB1571" s="33"/>
      <c r="AC1571" s="33"/>
      <c r="AD1571" s="33"/>
      <c r="AE1571" s="33"/>
      <c r="AF1571" s="33"/>
      <c r="AG1571" s="33"/>
      <c r="AH1571" s="33"/>
      <c r="AI1571" s="33"/>
      <c r="AJ1571" s="33"/>
      <c r="AK1571" s="216"/>
      <c r="AL1571" s="33"/>
      <c r="AM1571" s="33"/>
      <c r="AN1571" s="33"/>
      <c r="AO1571" s="33"/>
      <c r="AP1571" s="33"/>
    </row>
    <row r="1572" spans="1:42" ht="15.75" customHeight="1">
      <c r="A1572" s="33"/>
      <c r="B1572" s="33"/>
      <c r="C1572" s="33"/>
      <c r="D1572" s="33"/>
      <c r="E1572" s="33"/>
      <c r="F1572" s="199"/>
      <c r="G1572" s="33"/>
      <c r="H1572" s="33"/>
      <c r="I1572" s="33"/>
      <c r="J1572" s="33"/>
      <c r="K1572" s="33"/>
      <c r="L1572" s="33"/>
      <c r="M1572" s="33"/>
      <c r="N1572" s="33"/>
      <c r="O1572" s="33"/>
      <c r="P1572" s="33"/>
      <c r="Q1572" s="33"/>
      <c r="R1572" s="33"/>
      <c r="S1572" s="33"/>
      <c r="T1572" s="33"/>
      <c r="U1572" s="33"/>
      <c r="V1572" s="33"/>
      <c r="W1572" s="33"/>
      <c r="X1572" s="33"/>
      <c r="Y1572" s="33"/>
      <c r="Z1572" s="33"/>
      <c r="AA1572" s="33"/>
      <c r="AB1572" s="33"/>
      <c r="AC1572" s="33"/>
      <c r="AD1572" s="33"/>
      <c r="AE1572" s="33"/>
      <c r="AF1572" s="33"/>
      <c r="AG1572" s="33"/>
      <c r="AH1572" s="33"/>
      <c r="AI1572" s="33"/>
      <c r="AJ1572" s="33"/>
      <c r="AK1572" s="216"/>
      <c r="AL1572" s="33"/>
      <c r="AM1572" s="33"/>
      <c r="AN1572" s="33"/>
      <c r="AO1572" s="33"/>
      <c r="AP1572" s="33"/>
    </row>
    <row r="1573" spans="1:42" ht="15.75" customHeight="1">
      <c r="A1573" s="33"/>
      <c r="B1573" s="33"/>
      <c r="C1573" s="33"/>
      <c r="D1573" s="33"/>
      <c r="E1573" s="33"/>
      <c r="F1573" s="199"/>
      <c r="G1573" s="33"/>
      <c r="H1573" s="33"/>
      <c r="I1573" s="33"/>
      <c r="J1573" s="33"/>
      <c r="K1573" s="33"/>
      <c r="L1573" s="33"/>
      <c r="M1573" s="33"/>
      <c r="N1573" s="33"/>
      <c r="O1573" s="33"/>
      <c r="P1573" s="33"/>
      <c r="Q1573" s="33"/>
      <c r="R1573" s="33"/>
      <c r="S1573" s="33"/>
      <c r="T1573" s="33"/>
      <c r="U1573" s="33"/>
      <c r="V1573" s="33"/>
      <c r="W1573" s="33"/>
      <c r="X1573" s="33"/>
      <c r="Y1573" s="33"/>
      <c r="Z1573" s="33"/>
      <c r="AA1573" s="33"/>
      <c r="AB1573" s="33"/>
      <c r="AC1573" s="33"/>
      <c r="AD1573" s="33"/>
      <c r="AE1573" s="33"/>
      <c r="AF1573" s="33"/>
      <c r="AG1573" s="33"/>
      <c r="AH1573" s="33"/>
      <c r="AI1573" s="33"/>
      <c r="AJ1573" s="33"/>
      <c r="AK1573" s="216"/>
      <c r="AL1573" s="33"/>
      <c r="AM1573" s="33"/>
      <c r="AN1573" s="33"/>
      <c r="AO1573" s="33"/>
      <c r="AP1573" s="33"/>
    </row>
    <row r="1574" spans="1:42" ht="15.75" customHeight="1">
      <c r="A1574" s="33"/>
      <c r="B1574" s="33"/>
      <c r="C1574" s="33"/>
      <c r="D1574" s="33"/>
      <c r="E1574" s="33"/>
      <c r="F1574" s="199"/>
      <c r="G1574" s="33"/>
      <c r="H1574" s="33"/>
      <c r="I1574" s="33"/>
      <c r="J1574" s="33"/>
      <c r="K1574" s="33"/>
      <c r="L1574" s="33"/>
      <c r="M1574" s="33"/>
      <c r="N1574" s="33"/>
      <c r="O1574" s="33"/>
      <c r="P1574" s="33"/>
      <c r="Q1574" s="33"/>
      <c r="R1574" s="33"/>
      <c r="S1574" s="33"/>
      <c r="T1574" s="33"/>
      <c r="U1574" s="33"/>
      <c r="V1574" s="33"/>
      <c r="W1574" s="33"/>
      <c r="X1574" s="33"/>
      <c r="Y1574" s="33"/>
      <c r="Z1574" s="33"/>
      <c r="AA1574" s="33"/>
      <c r="AB1574" s="33"/>
      <c r="AC1574" s="33"/>
      <c r="AD1574" s="33"/>
      <c r="AE1574" s="33"/>
      <c r="AF1574" s="33"/>
      <c r="AG1574" s="33"/>
      <c r="AH1574" s="33"/>
      <c r="AI1574" s="33"/>
      <c r="AJ1574" s="33"/>
      <c r="AK1574" s="216"/>
      <c r="AL1574" s="33"/>
      <c r="AM1574" s="33"/>
      <c r="AN1574" s="33"/>
      <c r="AO1574" s="33"/>
      <c r="AP1574" s="33"/>
    </row>
    <row r="1575" spans="1:42" ht="15.75" customHeight="1">
      <c r="A1575" s="33"/>
      <c r="B1575" s="33"/>
      <c r="C1575" s="33"/>
      <c r="D1575" s="33"/>
      <c r="E1575" s="33"/>
      <c r="F1575" s="199"/>
      <c r="G1575" s="33"/>
      <c r="H1575" s="33"/>
      <c r="I1575" s="33"/>
      <c r="J1575" s="33"/>
      <c r="K1575" s="33"/>
      <c r="L1575" s="33"/>
      <c r="M1575" s="33"/>
      <c r="N1575" s="33"/>
      <c r="O1575" s="33"/>
      <c r="P1575" s="33"/>
      <c r="Q1575" s="33"/>
      <c r="R1575" s="33"/>
      <c r="S1575" s="33"/>
      <c r="T1575" s="33"/>
      <c r="U1575" s="33"/>
      <c r="V1575" s="33"/>
      <c r="W1575" s="33"/>
      <c r="X1575" s="33"/>
      <c r="Y1575" s="33"/>
      <c r="Z1575" s="33"/>
      <c r="AA1575" s="33"/>
      <c r="AB1575" s="33"/>
      <c r="AC1575" s="33"/>
      <c r="AD1575" s="33"/>
      <c r="AE1575" s="33"/>
      <c r="AF1575" s="33"/>
      <c r="AG1575" s="33"/>
      <c r="AH1575" s="33"/>
      <c r="AI1575" s="33"/>
      <c r="AJ1575" s="33"/>
      <c r="AK1575" s="216"/>
      <c r="AL1575" s="33"/>
      <c r="AM1575" s="33"/>
      <c r="AN1575" s="33"/>
      <c r="AO1575" s="33"/>
      <c r="AP1575" s="33"/>
    </row>
    <row r="1576" spans="1:42" ht="15.75" customHeight="1">
      <c r="A1576" s="33"/>
      <c r="B1576" s="33"/>
      <c r="C1576" s="33"/>
      <c r="D1576" s="33"/>
      <c r="E1576" s="33"/>
      <c r="F1576" s="199"/>
      <c r="G1576" s="33"/>
      <c r="H1576" s="33"/>
      <c r="I1576" s="33"/>
      <c r="J1576" s="33"/>
      <c r="K1576" s="33"/>
      <c r="L1576" s="33"/>
      <c r="M1576" s="33"/>
      <c r="N1576" s="33"/>
      <c r="O1576" s="33"/>
      <c r="P1576" s="33"/>
      <c r="Q1576" s="33"/>
      <c r="R1576" s="33"/>
      <c r="S1576" s="33"/>
      <c r="T1576" s="33"/>
      <c r="U1576" s="33"/>
      <c r="V1576" s="33"/>
      <c r="W1576" s="33"/>
      <c r="X1576" s="33"/>
      <c r="Y1576" s="33"/>
      <c r="Z1576" s="33"/>
      <c r="AA1576" s="33"/>
      <c r="AB1576" s="33"/>
      <c r="AC1576" s="33"/>
      <c r="AD1576" s="33"/>
      <c r="AE1576" s="33"/>
      <c r="AF1576" s="33"/>
      <c r="AG1576" s="33"/>
      <c r="AH1576" s="33"/>
      <c r="AI1576" s="33"/>
      <c r="AJ1576" s="33"/>
      <c r="AK1576" s="216"/>
      <c r="AL1576" s="33"/>
      <c r="AM1576" s="33"/>
      <c r="AN1576" s="33"/>
      <c r="AO1576" s="33"/>
      <c r="AP1576" s="33"/>
    </row>
    <row r="1577" spans="1:42" ht="15.75" customHeight="1">
      <c r="A1577" s="33"/>
      <c r="B1577" s="33"/>
      <c r="C1577" s="33"/>
      <c r="D1577" s="33"/>
      <c r="E1577" s="33"/>
      <c r="F1577" s="199"/>
      <c r="G1577" s="33"/>
      <c r="H1577" s="33"/>
      <c r="I1577" s="33"/>
      <c r="J1577" s="33"/>
      <c r="K1577" s="33"/>
      <c r="L1577" s="33"/>
      <c r="M1577" s="33"/>
      <c r="N1577" s="33"/>
      <c r="O1577" s="33"/>
      <c r="P1577" s="33"/>
      <c r="Q1577" s="33"/>
      <c r="R1577" s="33"/>
      <c r="S1577" s="33"/>
      <c r="T1577" s="33"/>
      <c r="U1577" s="33"/>
      <c r="V1577" s="33"/>
      <c r="W1577" s="33"/>
      <c r="X1577" s="33"/>
      <c r="Y1577" s="33"/>
      <c r="Z1577" s="33"/>
      <c r="AA1577" s="33"/>
      <c r="AB1577" s="33"/>
      <c r="AC1577" s="33"/>
      <c r="AD1577" s="33"/>
      <c r="AE1577" s="33"/>
      <c r="AF1577" s="33"/>
      <c r="AG1577" s="33"/>
      <c r="AH1577" s="33"/>
      <c r="AI1577" s="33"/>
      <c r="AJ1577" s="33"/>
      <c r="AK1577" s="216"/>
      <c r="AL1577" s="33"/>
      <c r="AM1577" s="33"/>
      <c r="AN1577" s="33"/>
      <c r="AO1577" s="33"/>
      <c r="AP1577" s="33"/>
    </row>
    <row r="1578" spans="1:42" ht="15.75" customHeight="1">
      <c r="A1578" s="33"/>
      <c r="B1578" s="33"/>
      <c r="C1578" s="33"/>
      <c r="D1578" s="33"/>
      <c r="E1578" s="33"/>
      <c r="F1578" s="199"/>
      <c r="G1578" s="33"/>
      <c r="H1578" s="33"/>
      <c r="I1578" s="33"/>
      <c r="J1578" s="33"/>
      <c r="K1578" s="33"/>
      <c r="L1578" s="33"/>
      <c r="M1578" s="33"/>
      <c r="N1578" s="33"/>
      <c r="O1578" s="33"/>
      <c r="P1578" s="33"/>
      <c r="Q1578" s="33"/>
      <c r="R1578" s="33"/>
      <c r="S1578" s="33"/>
      <c r="T1578" s="33"/>
      <c r="U1578" s="33"/>
      <c r="V1578" s="33"/>
      <c r="W1578" s="33"/>
      <c r="X1578" s="33"/>
      <c r="Y1578" s="33"/>
      <c r="Z1578" s="33"/>
      <c r="AA1578" s="33"/>
      <c r="AB1578" s="33"/>
      <c r="AC1578" s="33"/>
      <c r="AD1578" s="33"/>
      <c r="AE1578" s="33"/>
      <c r="AF1578" s="33"/>
      <c r="AG1578" s="33"/>
      <c r="AH1578" s="33"/>
      <c r="AI1578" s="33"/>
      <c r="AJ1578" s="33"/>
      <c r="AK1578" s="216"/>
      <c r="AL1578" s="33"/>
      <c r="AM1578" s="33"/>
      <c r="AN1578" s="33"/>
      <c r="AO1578" s="33"/>
      <c r="AP1578" s="33"/>
    </row>
    <row r="1579" spans="1:42" ht="15.75" customHeight="1">
      <c r="A1579" s="33"/>
      <c r="B1579" s="33"/>
      <c r="C1579" s="33"/>
      <c r="D1579" s="33"/>
      <c r="E1579" s="33"/>
      <c r="F1579" s="199"/>
      <c r="G1579" s="33"/>
      <c r="H1579" s="33"/>
      <c r="I1579" s="33"/>
      <c r="J1579" s="33"/>
      <c r="K1579" s="33"/>
      <c r="L1579" s="33"/>
      <c r="M1579" s="33"/>
      <c r="N1579" s="33"/>
      <c r="O1579" s="33"/>
      <c r="P1579" s="33"/>
      <c r="Q1579" s="33"/>
      <c r="R1579" s="33"/>
      <c r="S1579" s="33"/>
      <c r="T1579" s="33"/>
      <c r="U1579" s="33"/>
      <c r="V1579" s="33"/>
      <c r="W1579" s="33"/>
      <c r="X1579" s="33"/>
      <c r="Y1579" s="33"/>
      <c r="Z1579" s="33"/>
      <c r="AA1579" s="33"/>
      <c r="AB1579" s="33"/>
      <c r="AC1579" s="33"/>
      <c r="AD1579" s="33"/>
      <c r="AE1579" s="33"/>
      <c r="AF1579" s="33"/>
      <c r="AG1579" s="33"/>
      <c r="AH1579" s="33"/>
      <c r="AI1579" s="33"/>
      <c r="AJ1579" s="33"/>
      <c r="AK1579" s="216"/>
      <c r="AL1579" s="33"/>
      <c r="AM1579" s="33"/>
      <c r="AN1579" s="33"/>
      <c r="AO1579" s="33"/>
      <c r="AP1579" s="33"/>
    </row>
    <row r="1580" spans="1:42" ht="15.75" customHeight="1">
      <c r="A1580" s="33"/>
      <c r="B1580" s="33"/>
      <c r="C1580" s="33"/>
      <c r="D1580" s="33"/>
      <c r="E1580" s="33"/>
      <c r="F1580" s="199"/>
      <c r="G1580" s="33"/>
      <c r="H1580" s="33"/>
      <c r="I1580" s="33"/>
      <c r="J1580" s="33"/>
      <c r="K1580" s="33"/>
      <c r="L1580" s="33"/>
      <c r="M1580" s="33"/>
      <c r="N1580" s="33"/>
      <c r="O1580" s="33"/>
      <c r="P1580" s="33"/>
      <c r="Q1580" s="33"/>
      <c r="R1580" s="33"/>
      <c r="S1580" s="33"/>
      <c r="T1580" s="33"/>
      <c r="U1580" s="33"/>
      <c r="V1580" s="33"/>
      <c r="W1580" s="33"/>
      <c r="X1580" s="33"/>
      <c r="Y1580" s="33"/>
      <c r="Z1580" s="33"/>
      <c r="AA1580" s="33"/>
      <c r="AB1580" s="33"/>
      <c r="AC1580" s="33"/>
      <c r="AD1580" s="33"/>
      <c r="AE1580" s="33"/>
      <c r="AF1580" s="33"/>
      <c r="AG1580" s="33"/>
      <c r="AH1580" s="33"/>
      <c r="AI1580" s="33"/>
      <c r="AJ1580" s="33"/>
      <c r="AK1580" s="216"/>
      <c r="AL1580" s="33"/>
      <c r="AM1580" s="33"/>
      <c r="AN1580" s="33"/>
      <c r="AO1580" s="33"/>
      <c r="AP1580" s="33"/>
    </row>
    <row r="1581" spans="1:42" ht="15.75" customHeight="1">
      <c r="A1581" s="33"/>
      <c r="B1581" s="33"/>
      <c r="C1581" s="33"/>
      <c r="D1581" s="33"/>
      <c r="E1581" s="33"/>
      <c r="F1581" s="199"/>
      <c r="G1581" s="33"/>
      <c r="H1581" s="33"/>
      <c r="I1581" s="33"/>
      <c r="J1581" s="33"/>
      <c r="K1581" s="33"/>
      <c r="L1581" s="33"/>
      <c r="M1581" s="33"/>
      <c r="N1581" s="33"/>
      <c r="O1581" s="33"/>
      <c r="P1581" s="33"/>
      <c r="Q1581" s="33"/>
      <c r="R1581" s="33"/>
      <c r="S1581" s="33"/>
      <c r="T1581" s="33"/>
      <c r="U1581" s="33"/>
      <c r="V1581" s="33"/>
      <c r="W1581" s="33"/>
      <c r="X1581" s="33"/>
      <c r="Y1581" s="33"/>
      <c r="Z1581" s="33"/>
      <c r="AA1581" s="33"/>
      <c r="AB1581" s="33"/>
      <c r="AC1581" s="33"/>
      <c r="AD1581" s="33"/>
      <c r="AE1581" s="33"/>
      <c r="AF1581" s="33"/>
      <c r="AG1581" s="33"/>
      <c r="AH1581" s="33"/>
      <c r="AI1581" s="33"/>
      <c r="AJ1581" s="33"/>
      <c r="AK1581" s="216"/>
      <c r="AL1581" s="33"/>
      <c r="AM1581" s="33"/>
      <c r="AN1581" s="33"/>
      <c r="AO1581" s="33"/>
      <c r="AP1581" s="33"/>
    </row>
    <row r="1582" spans="1:42" ht="15.75" customHeight="1">
      <c r="A1582" s="33"/>
      <c r="B1582" s="33"/>
      <c r="C1582" s="33"/>
      <c r="D1582" s="33"/>
      <c r="E1582" s="33"/>
      <c r="F1582" s="199"/>
      <c r="G1582" s="33"/>
      <c r="H1582" s="33"/>
      <c r="I1582" s="33"/>
      <c r="J1582" s="33"/>
      <c r="K1582" s="33"/>
      <c r="L1582" s="33"/>
      <c r="M1582" s="33"/>
      <c r="N1582" s="33"/>
      <c r="O1582" s="33"/>
      <c r="P1582" s="33"/>
      <c r="Q1582" s="33"/>
      <c r="R1582" s="33"/>
      <c r="S1582" s="33"/>
      <c r="T1582" s="33"/>
      <c r="U1582" s="33"/>
      <c r="V1582" s="33"/>
      <c r="W1582" s="33"/>
      <c r="X1582" s="33"/>
      <c r="Y1582" s="33"/>
      <c r="Z1582" s="33"/>
      <c r="AA1582" s="33"/>
      <c r="AB1582" s="33"/>
      <c r="AC1582" s="33"/>
      <c r="AD1582" s="33"/>
      <c r="AE1582" s="33"/>
      <c r="AF1582" s="33"/>
      <c r="AG1582" s="33"/>
      <c r="AH1582" s="33"/>
      <c r="AI1582" s="33"/>
      <c r="AJ1582" s="33"/>
      <c r="AK1582" s="216"/>
      <c r="AL1582" s="33"/>
      <c r="AM1582" s="33"/>
      <c r="AN1582" s="33"/>
      <c r="AO1582" s="33"/>
      <c r="AP1582" s="33"/>
    </row>
    <row r="1583" spans="1:42" ht="15.75" customHeight="1">
      <c r="A1583" s="33"/>
      <c r="B1583" s="33"/>
      <c r="C1583" s="33"/>
      <c r="D1583" s="33"/>
      <c r="E1583" s="33"/>
      <c r="F1583" s="199"/>
      <c r="G1583" s="33"/>
      <c r="H1583" s="33"/>
      <c r="I1583" s="33"/>
      <c r="J1583" s="33"/>
      <c r="K1583" s="33"/>
      <c r="L1583" s="33"/>
      <c r="M1583" s="33"/>
      <c r="N1583" s="33"/>
      <c r="O1583" s="33"/>
      <c r="P1583" s="33"/>
      <c r="Q1583" s="33"/>
      <c r="R1583" s="33"/>
      <c r="S1583" s="33"/>
      <c r="T1583" s="33"/>
      <c r="U1583" s="33"/>
      <c r="V1583" s="33"/>
      <c r="W1583" s="33"/>
      <c r="X1583" s="33"/>
      <c r="Y1583" s="33"/>
      <c r="Z1583" s="33"/>
      <c r="AA1583" s="33"/>
      <c r="AB1583" s="33"/>
      <c r="AC1583" s="33"/>
      <c r="AD1583" s="33"/>
      <c r="AE1583" s="33"/>
      <c r="AF1583" s="33"/>
      <c r="AG1583" s="33"/>
      <c r="AH1583" s="33"/>
      <c r="AI1583" s="33"/>
      <c r="AJ1583" s="33"/>
      <c r="AK1583" s="216"/>
      <c r="AL1583" s="33"/>
      <c r="AM1583" s="33"/>
      <c r="AN1583" s="33"/>
      <c r="AO1583" s="33"/>
      <c r="AP1583" s="33"/>
    </row>
    <row r="1584" spans="1:42" ht="15.75" customHeight="1">
      <c r="A1584" s="33"/>
      <c r="B1584" s="33"/>
      <c r="C1584" s="33"/>
      <c r="D1584" s="33"/>
      <c r="E1584" s="33"/>
      <c r="F1584" s="199"/>
      <c r="G1584" s="33"/>
      <c r="H1584" s="33"/>
      <c r="I1584" s="33"/>
      <c r="J1584" s="33"/>
      <c r="K1584" s="33"/>
      <c r="L1584" s="33"/>
      <c r="M1584" s="33"/>
      <c r="N1584" s="33"/>
      <c r="O1584" s="33"/>
      <c r="P1584" s="33"/>
      <c r="Q1584" s="33"/>
      <c r="R1584" s="33"/>
      <c r="S1584" s="33"/>
      <c r="T1584" s="33"/>
      <c r="U1584" s="33"/>
      <c r="V1584" s="33"/>
      <c r="W1584" s="33"/>
      <c r="X1584" s="33"/>
      <c r="Y1584" s="33"/>
      <c r="Z1584" s="33"/>
      <c r="AA1584" s="33"/>
      <c r="AB1584" s="33"/>
      <c r="AC1584" s="33"/>
      <c r="AD1584" s="33"/>
      <c r="AE1584" s="33"/>
      <c r="AF1584" s="33"/>
      <c r="AG1584" s="33"/>
      <c r="AH1584" s="33"/>
      <c r="AI1584" s="33"/>
      <c r="AJ1584" s="33"/>
      <c r="AK1584" s="216"/>
      <c r="AL1584" s="33"/>
      <c r="AM1584" s="33"/>
      <c r="AN1584" s="33"/>
      <c r="AO1584" s="33"/>
      <c r="AP1584" s="33"/>
    </row>
    <row r="1585" spans="1:42" ht="15.75" customHeight="1">
      <c r="A1585" s="33"/>
      <c r="B1585" s="33"/>
      <c r="C1585" s="33"/>
      <c r="D1585" s="33"/>
      <c r="E1585" s="33"/>
      <c r="F1585" s="199"/>
      <c r="G1585" s="33"/>
      <c r="H1585" s="33"/>
      <c r="I1585" s="33"/>
      <c r="J1585" s="33"/>
      <c r="K1585" s="33"/>
      <c r="L1585" s="33"/>
      <c r="M1585" s="33"/>
      <c r="N1585" s="33"/>
      <c r="O1585" s="33"/>
      <c r="P1585" s="33"/>
      <c r="Q1585" s="33"/>
      <c r="R1585" s="33"/>
      <c r="S1585" s="33"/>
      <c r="T1585" s="33"/>
      <c r="U1585" s="33"/>
      <c r="V1585" s="33"/>
      <c r="W1585" s="33"/>
      <c r="X1585" s="33"/>
      <c r="Y1585" s="33"/>
      <c r="Z1585" s="33"/>
      <c r="AA1585" s="33"/>
      <c r="AB1585" s="33"/>
      <c r="AC1585" s="33"/>
      <c r="AD1585" s="33"/>
      <c r="AE1585" s="33"/>
      <c r="AF1585" s="33"/>
      <c r="AG1585" s="33"/>
      <c r="AH1585" s="33"/>
      <c r="AI1585" s="33"/>
      <c r="AJ1585" s="33"/>
      <c r="AK1585" s="216"/>
      <c r="AL1585" s="33"/>
      <c r="AM1585" s="33"/>
      <c r="AN1585" s="33"/>
      <c r="AO1585" s="33"/>
      <c r="AP1585" s="33"/>
    </row>
    <row r="1586" spans="1:42" ht="15.75" customHeight="1">
      <c r="A1586" s="33"/>
      <c r="B1586" s="33"/>
      <c r="C1586" s="33"/>
      <c r="D1586" s="33"/>
      <c r="E1586" s="33"/>
      <c r="F1586" s="199"/>
      <c r="G1586" s="33"/>
      <c r="H1586" s="33"/>
      <c r="I1586" s="33"/>
      <c r="J1586" s="33"/>
      <c r="K1586" s="33"/>
      <c r="L1586" s="33"/>
      <c r="M1586" s="33"/>
      <c r="N1586" s="33"/>
      <c r="O1586" s="33"/>
      <c r="P1586" s="33"/>
      <c r="Q1586" s="33"/>
      <c r="R1586" s="33"/>
      <c r="S1586" s="33"/>
      <c r="T1586" s="33"/>
      <c r="U1586" s="33"/>
      <c r="V1586" s="33"/>
      <c r="W1586" s="33"/>
      <c r="X1586" s="33"/>
      <c r="Y1586" s="33"/>
      <c r="Z1586" s="33"/>
      <c r="AA1586" s="33"/>
      <c r="AB1586" s="33"/>
      <c r="AC1586" s="33"/>
      <c r="AD1586" s="33"/>
      <c r="AE1586" s="33"/>
      <c r="AF1586" s="33"/>
      <c r="AG1586" s="33"/>
      <c r="AH1586" s="33"/>
      <c r="AI1586" s="33"/>
      <c r="AJ1586" s="33"/>
      <c r="AK1586" s="216"/>
      <c r="AL1586" s="33"/>
      <c r="AM1586" s="33"/>
      <c r="AN1586" s="33"/>
      <c r="AO1586" s="33"/>
      <c r="AP1586" s="33"/>
    </row>
    <row r="1587" spans="1:42" ht="15.75" customHeight="1">
      <c r="A1587" s="33"/>
      <c r="B1587" s="33"/>
      <c r="C1587" s="33"/>
      <c r="D1587" s="33"/>
      <c r="E1587" s="33"/>
      <c r="F1587" s="199"/>
      <c r="G1587" s="33"/>
      <c r="H1587" s="33"/>
      <c r="I1587" s="33"/>
      <c r="J1587" s="33"/>
      <c r="K1587" s="33"/>
      <c r="L1587" s="33"/>
      <c r="M1587" s="33"/>
      <c r="N1587" s="33"/>
      <c r="O1587" s="33"/>
      <c r="P1587" s="33"/>
      <c r="Q1587" s="33"/>
      <c r="R1587" s="33"/>
      <c r="S1587" s="33"/>
      <c r="T1587" s="33"/>
      <c r="U1587" s="33"/>
      <c r="V1587" s="33"/>
      <c r="W1587" s="33"/>
      <c r="X1587" s="33"/>
      <c r="Y1587" s="33"/>
      <c r="Z1587" s="33"/>
      <c r="AA1587" s="33"/>
      <c r="AB1587" s="33"/>
      <c r="AC1587" s="33"/>
      <c r="AD1587" s="33"/>
      <c r="AE1587" s="33"/>
      <c r="AF1587" s="33"/>
      <c r="AG1587" s="33"/>
      <c r="AH1587" s="33"/>
      <c r="AI1587" s="33"/>
      <c r="AJ1587" s="33"/>
      <c r="AK1587" s="216"/>
      <c r="AL1587" s="33"/>
      <c r="AM1587" s="33"/>
      <c r="AN1587" s="33"/>
      <c r="AO1587" s="33"/>
      <c r="AP1587" s="33"/>
    </row>
    <row r="1588" spans="1:42" ht="15.75" customHeight="1">
      <c r="A1588" s="33"/>
      <c r="B1588" s="33"/>
      <c r="C1588" s="33"/>
      <c r="D1588" s="33"/>
      <c r="E1588" s="33"/>
      <c r="F1588" s="199"/>
      <c r="G1588" s="33"/>
      <c r="H1588" s="33"/>
      <c r="I1588" s="33"/>
      <c r="J1588" s="33"/>
      <c r="K1588" s="33"/>
      <c r="L1588" s="33"/>
      <c r="M1588" s="33"/>
      <c r="N1588" s="33"/>
      <c r="O1588" s="33"/>
      <c r="P1588" s="33"/>
      <c r="Q1588" s="33"/>
      <c r="R1588" s="33"/>
      <c r="S1588" s="33"/>
      <c r="T1588" s="33"/>
      <c r="U1588" s="33"/>
      <c r="V1588" s="33"/>
      <c r="W1588" s="33"/>
      <c r="X1588" s="33"/>
      <c r="Y1588" s="33"/>
      <c r="Z1588" s="33"/>
      <c r="AA1588" s="33"/>
      <c r="AB1588" s="33"/>
      <c r="AC1588" s="33"/>
      <c r="AD1588" s="33"/>
      <c r="AE1588" s="33"/>
      <c r="AF1588" s="33"/>
      <c r="AG1588" s="33"/>
      <c r="AH1588" s="33"/>
      <c r="AI1588" s="33"/>
      <c r="AJ1588" s="33"/>
      <c r="AK1588" s="216"/>
      <c r="AL1588" s="33"/>
      <c r="AM1588" s="33"/>
      <c r="AN1588" s="33"/>
      <c r="AO1588" s="33"/>
      <c r="AP1588" s="33"/>
    </row>
    <row r="1589" spans="1:42" ht="15.75" customHeight="1">
      <c r="A1589" s="33"/>
      <c r="B1589" s="33"/>
      <c r="C1589" s="33"/>
      <c r="D1589" s="33"/>
      <c r="E1589" s="33"/>
      <c r="F1589" s="199"/>
      <c r="G1589" s="33"/>
      <c r="H1589" s="33"/>
      <c r="I1589" s="33"/>
      <c r="J1589" s="33"/>
      <c r="K1589" s="33"/>
      <c r="L1589" s="33"/>
      <c r="M1589" s="33"/>
      <c r="N1589" s="33"/>
      <c r="O1589" s="33"/>
      <c r="P1589" s="33"/>
      <c r="Q1589" s="33"/>
      <c r="R1589" s="33"/>
      <c r="S1589" s="33"/>
      <c r="T1589" s="33"/>
      <c r="U1589" s="33"/>
      <c r="V1589" s="33"/>
      <c r="W1589" s="33"/>
      <c r="X1589" s="33"/>
      <c r="Y1589" s="33"/>
      <c r="Z1589" s="33"/>
      <c r="AA1589" s="33"/>
      <c r="AB1589" s="33"/>
      <c r="AC1589" s="33"/>
      <c r="AD1589" s="33"/>
      <c r="AE1589" s="33"/>
      <c r="AF1589" s="33"/>
      <c r="AG1589" s="33"/>
      <c r="AH1589" s="33"/>
      <c r="AI1589" s="33"/>
      <c r="AJ1589" s="33"/>
      <c r="AK1589" s="216"/>
      <c r="AL1589" s="33"/>
      <c r="AM1589" s="33"/>
      <c r="AN1589" s="33"/>
      <c r="AO1589" s="33"/>
      <c r="AP1589" s="33"/>
    </row>
    <row r="1590" spans="1:42" ht="15.75" customHeight="1">
      <c r="A1590" s="33"/>
      <c r="B1590" s="33"/>
      <c r="C1590" s="33"/>
      <c r="D1590" s="33"/>
      <c r="E1590" s="33"/>
      <c r="F1590" s="199"/>
      <c r="G1590" s="33"/>
      <c r="H1590" s="33"/>
      <c r="I1590" s="33"/>
      <c r="J1590" s="33"/>
      <c r="K1590" s="33"/>
      <c r="L1590" s="33"/>
      <c r="M1590" s="33"/>
      <c r="N1590" s="33"/>
      <c r="O1590" s="33"/>
      <c r="P1590" s="33"/>
      <c r="Q1590" s="33"/>
      <c r="R1590" s="33"/>
      <c r="S1590" s="33"/>
      <c r="T1590" s="33"/>
      <c r="U1590" s="33"/>
      <c r="V1590" s="33"/>
      <c r="W1590" s="33"/>
      <c r="X1590" s="33"/>
      <c r="Y1590" s="33"/>
      <c r="Z1590" s="33"/>
      <c r="AA1590" s="33"/>
      <c r="AB1590" s="33"/>
      <c r="AC1590" s="33"/>
      <c r="AD1590" s="33"/>
      <c r="AE1590" s="33"/>
      <c r="AF1590" s="33"/>
      <c r="AG1590" s="33"/>
      <c r="AH1590" s="33"/>
      <c r="AI1590" s="33"/>
      <c r="AJ1590" s="33"/>
      <c r="AK1590" s="216"/>
      <c r="AL1590" s="33"/>
      <c r="AM1590" s="33"/>
      <c r="AN1590" s="33"/>
      <c r="AO1590" s="33"/>
      <c r="AP1590" s="33"/>
    </row>
    <row r="1591" spans="1:42" ht="15.75" customHeight="1">
      <c r="A1591" s="33"/>
      <c r="B1591" s="33"/>
      <c r="C1591" s="33"/>
      <c r="D1591" s="33"/>
      <c r="E1591" s="33"/>
      <c r="F1591" s="199"/>
      <c r="G1591" s="33"/>
      <c r="H1591" s="33"/>
      <c r="I1591" s="33"/>
      <c r="J1591" s="33"/>
      <c r="K1591" s="33"/>
      <c r="L1591" s="33"/>
      <c r="M1591" s="33"/>
      <c r="N1591" s="33"/>
      <c r="O1591" s="33"/>
      <c r="P1591" s="33"/>
      <c r="Q1591" s="33"/>
      <c r="R1591" s="33"/>
      <c r="S1591" s="33"/>
      <c r="T1591" s="33"/>
      <c r="U1591" s="33"/>
      <c r="V1591" s="33"/>
      <c r="W1591" s="33"/>
      <c r="X1591" s="33"/>
      <c r="Y1591" s="33"/>
      <c r="Z1591" s="33"/>
      <c r="AA1591" s="33"/>
      <c r="AB1591" s="33"/>
      <c r="AC1591" s="33"/>
      <c r="AD1591" s="33"/>
      <c r="AE1591" s="33"/>
      <c r="AF1591" s="33"/>
      <c r="AG1591" s="33"/>
      <c r="AH1591" s="33"/>
      <c r="AI1591" s="33"/>
      <c r="AJ1591" s="33"/>
      <c r="AK1591" s="216"/>
      <c r="AL1591" s="33"/>
      <c r="AM1591" s="33"/>
      <c r="AN1591" s="33"/>
      <c r="AO1591" s="33"/>
      <c r="AP1591" s="33"/>
    </row>
    <row r="1592" spans="1:42" ht="15.75" customHeight="1">
      <c r="A1592" s="33"/>
      <c r="B1592" s="33"/>
      <c r="C1592" s="33"/>
      <c r="D1592" s="33"/>
      <c r="E1592" s="33"/>
      <c r="F1592" s="199"/>
      <c r="G1592" s="33"/>
      <c r="H1592" s="33"/>
      <c r="I1592" s="33"/>
      <c r="J1592" s="33"/>
      <c r="K1592" s="33"/>
      <c r="L1592" s="33"/>
      <c r="M1592" s="33"/>
      <c r="N1592" s="33"/>
      <c r="O1592" s="33"/>
      <c r="P1592" s="33"/>
      <c r="Q1592" s="33"/>
      <c r="R1592" s="33"/>
      <c r="S1592" s="33"/>
      <c r="T1592" s="33"/>
      <c r="U1592" s="33"/>
      <c r="V1592" s="33"/>
      <c r="W1592" s="33"/>
      <c r="X1592" s="33"/>
      <c r="Y1592" s="33"/>
      <c r="Z1592" s="33"/>
      <c r="AA1592" s="33"/>
      <c r="AB1592" s="33"/>
      <c r="AC1592" s="33"/>
      <c r="AD1592" s="33"/>
      <c r="AE1592" s="33"/>
      <c r="AF1592" s="33"/>
      <c r="AG1592" s="33"/>
      <c r="AH1592" s="33"/>
      <c r="AI1592" s="33"/>
      <c r="AJ1592" s="33"/>
      <c r="AK1592" s="216"/>
      <c r="AL1592" s="33"/>
      <c r="AM1592" s="33"/>
      <c r="AN1592" s="33"/>
      <c r="AO1592" s="33"/>
      <c r="AP1592" s="33"/>
    </row>
    <row r="1593" spans="1:42" ht="15.75" customHeight="1">
      <c r="A1593" s="33"/>
      <c r="B1593" s="33"/>
      <c r="C1593" s="33"/>
      <c r="D1593" s="33"/>
      <c r="E1593" s="33"/>
      <c r="F1593" s="199"/>
      <c r="G1593" s="33"/>
      <c r="H1593" s="33"/>
      <c r="I1593" s="33"/>
      <c r="J1593" s="33"/>
      <c r="K1593" s="33"/>
      <c r="L1593" s="33"/>
      <c r="M1593" s="33"/>
      <c r="N1593" s="33"/>
      <c r="O1593" s="33"/>
      <c r="P1593" s="33"/>
      <c r="Q1593" s="33"/>
      <c r="R1593" s="33"/>
      <c r="S1593" s="33"/>
      <c r="T1593" s="33"/>
      <c r="U1593" s="33"/>
      <c r="V1593" s="33"/>
      <c r="W1593" s="33"/>
      <c r="X1593" s="33"/>
      <c r="Y1593" s="33"/>
      <c r="Z1593" s="33"/>
      <c r="AA1593" s="33"/>
      <c r="AB1593" s="33"/>
      <c r="AC1593" s="33"/>
      <c r="AD1593" s="33"/>
      <c r="AE1593" s="33"/>
      <c r="AF1593" s="33"/>
      <c r="AG1593" s="33"/>
      <c r="AH1593" s="33"/>
      <c r="AI1593" s="33"/>
      <c r="AJ1593" s="33"/>
      <c r="AK1593" s="216"/>
      <c r="AL1593" s="33"/>
      <c r="AM1593" s="33"/>
      <c r="AN1593" s="33"/>
      <c r="AO1593" s="33"/>
      <c r="AP1593" s="33"/>
    </row>
    <row r="1594" spans="1:42" ht="15.75" customHeight="1">
      <c r="A1594" s="33"/>
      <c r="B1594" s="33"/>
      <c r="C1594" s="33"/>
      <c r="D1594" s="33"/>
      <c r="E1594" s="33"/>
      <c r="F1594" s="199"/>
      <c r="G1594" s="33"/>
      <c r="H1594" s="33"/>
      <c r="I1594" s="33"/>
      <c r="J1594" s="33"/>
      <c r="K1594" s="33"/>
      <c r="L1594" s="33"/>
      <c r="M1594" s="33"/>
      <c r="N1594" s="33"/>
      <c r="O1594" s="33"/>
      <c r="P1594" s="33"/>
      <c r="Q1594" s="33"/>
      <c r="R1594" s="33"/>
      <c r="S1594" s="33"/>
      <c r="T1594" s="33"/>
      <c r="U1594" s="33"/>
      <c r="V1594" s="33"/>
      <c r="W1594" s="33"/>
      <c r="X1594" s="33"/>
      <c r="Y1594" s="33"/>
      <c r="Z1594" s="33"/>
      <c r="AA1594" s="33"/>
      <c r="AB1594" s="33"/>
      <c r="AC1594" s="33"/>
      <c r="AD1594" s="33"/>
      <c r="AE1594" s="33"/>
      <c r="AF1594" s="33"/>
      <c r="AG1594" s="33"/>
      <c r="AH1594" s="33"/>
      <c r="AI1594" s="33"/>
      <c r="AJ1594" s="33"/>
      <c r="AK1594" s="216"/>
      <c r="AL1594" s="33"/>
      <c r="AM1594" s="33"/>
      <c r="AN1594" s="33"/>
      <c r="AO1594" s="33"/>
      <c r="AP1594" s="33"/>
    </row>
    <row r="1595" spans="1:42" ht="15.75" customHeight="1">
      <c r="A1595" s="33"/>
      <c r="B1595" s="33"/>
      <c r="C1595" s="33"/>
      <c r="D1595" s="33"/>
      <c r="E1595" s="33"/>
      <c r="F1595" s="199"/>
      <c r="G1595" s="33"/>
      <c r="H1595" s="33"/>
      <c r="I1595" s="33"/>
      <c r="J1595" s="33"/>
      <c r="K1595" s="33"/>
      <c r="L1595" s="33"/>
      <c r="M1595" s="33"/>
      <c r="N1595" s="33"/>
      <c r="O1595" s="33"/>
      <c r="P1595" s="33"/>
      <c r="Q1595" s="33"/>
      <c r="R1595" s="33"/>
      <c r="S1595" s="33"/>
      <c r="T1595" s="33"/>
      <c r="U1595" s="33"/>
      <c r="V1595" s="33"/>
      <c r="W1595" s="33"/>
      <c r="X1595" s="33"/>
      <c r="Y1595" s="33"/>
      <c r="Z1595" s="33"/>
      <c r="AA1595" s="33"/>
      <c r="AB1595" s="33"/>
      <c r="AC1595" s="33"/>
      <c r="AD1595" s="33"/>
      <c r="AE1595" s="33"/>
      <c r="AF1595" s="33"/>
      <c r="AG1595" s="33"/>
      <c r="AH1595" s="33"/>
      <c r="AI1595" s="33"/>
      <c r="AJ1595" s="33"/>
      <c r="AK1595" s="216"/>
      <c r="AL1595" s="33"/>
      <c r="AM1595" s="33"/>
      <c r="AN1595" s="33"/>
      <c r="AO1595" s="33"/>
      <c r="AP1595" s="33"/>
    </row>
    <row r="1596" spans="1:42" ht="15.75" customHeight="1">
      <c r="A1596" s="33"/>
      <c r="B1596" s="33"/>
      <c r="C1596" s="33"/>
      <c r="D1596" s="33"/>
      <c r="E1596" s="33"/>
      <c r="F1596" s="199"/>
      <c r="G1596" s="33"/>
      <c r="H1596" s="33"/>
      <c r="I1596" s="33"/>
      <c r="J1596" s="33"/>
      <c r="K1596" s="33"/>
      <c r="L1596" s="33"/>
      <c r="M1596" s="33"/>
      <c r="N1596" s="33"/>
      <c r="O1596" s="33"/>
      <c r="P1596" s="33"/>
      <c r="Q1596" s="33"/>
      <c r="R1596" s="33"/>
      <c r="S1596" s="33"/>
      <c r="T1596" s="33"/>
      <c r="U1596" s="33"/>
      <c r="V1596" s="33"/>
      <c r="W1596" s="33"/>
      <c r="X1596" s="33"/>
      <c r="Y1596" s="33"/>
      <c r="Z1596" s="33"/>
      <c r="AA1596" s="33"/>
      <c r="AB1596" s="33"/>
      <c r="AC1596" s="33"/>
      <c r="AD1596" s="33"/>
      <c r="AE1596" s="33"/>
      <c r="AF1596" s="33"/>
      <c r="AG1596" s="33"/>
      <c r="AH1596" s="33"/>
      <c r="AI1596" s="33"/>
      <c r="AJ1596" s="33"/>
      <c r="AK1596" s="216"/>
      <c r="AL1596" s="33"/>
      <c r="AM1596" s="33"/>
      <c r="AN1596" s="33"/>
      <c r="AO1596" s="33"/>
      <c r="AP1596" s="33"/>
    </row>
    <row r="1597" spans="1:42" ht="15.75" customHeight="1">
      <c r="A1597" s="33"/>
      <c r="B1597" s="33"/>
      <c r="C1597" s="33"/>
      <c r="D1597" s="33"/>
      <c r="E1597" s="33"/>
      <c r="F1597" s="199"/>
      <c r="G1597" s="33"/>
      <c r="H1597" s="33"/>
      <c r="I1597" s="33"/>
      <c r="J1597" s="33"/>
      <c r="K1597" s="33"/>
      <c r="L1597" s="33"/>
      <c r="M1597" s="33"/>
      <c r="N1597" s="33"/>
      <c r="O1597" s="33"/>
      <c r="P1597" s="33"/>
      <c r="Q1597" s="33"/>
      <c r="R1597" s="33"/>
      <c r="S1597" s="33"/>
      <c r="T1597" s="33"/>
      <c r="U1597" s="33"/>
      <c r="V1597" s="33"/>
      <c r="W1597" s="33"/>
      <c r="X1597" s="33"/>
      <c r="Y1597" s="33"/>
      <c r="Z1597" s="33"/>
      <c r="AA1597" s="33"/>
      <c r="AB1597" s="33"/>
      <c r="AC1597" s="33"/>
      <c r="AD1597" s="33"/>
      <c r="AE1597" s="33"/>
      <c r="AF1597" s="33"/>
      <c r="AG1597" s="33"/>
      <c r="AH1597" s="33"/>
      <c r="AI1597" s="33"/>
      <c r="AJ1597" s="33"/>
      <c r="AK1597" s="216"/>
      <c r="AL1597" s="33"/>
      <c r="AM1597" s="33"/>
      <c r="AN1597" s="33"/>
      <c r="AO1597" s="33"/>
      <c r="AP1597" s="33"/>
    </row>
    <row r="1598" spans="1:42" ht="15.75" customHeight="1">
      <c r="A1598" s="33"/>
      <c r="B1598" s="33"/>
      <c r="C1598" s="33"/>
      <c r="D1598" s="33"/>
      <c r="E1598" s="33"/>
      <c r="F1598" s="199"/>
      <c r="G1598" s="33"/>
      <c r="H1598" s="33"/>
      <c r="I1598" s="33"/>
      <c r="J1598" s="33"/>
      <c r="K1598" s="33"/>
      <c r="L1598" s="33"/>
      <c r="M1598" s="33"/>
      <c r="N1598" s="33"/>
      <c r="O1598" s="33"/>
      <c r="P1598" s="33"/>
      <c r="Q1598" s="33"/>
      <c r="R1598" s="33"/>
      <c r="S1598" s="33"/>
      <c r="T1598" s="33"/>
      <c r="U1598" s="33"/>
      <c r="V1598" s="33"/>
      <c r="W1598" s="33"/>
      <c r="X1598" s="33"/>
      <c r="Y1598" s="33"/>
      <c r="Z1598" s="33"/>
      <c r="AA1598" s="33"/>
      <c r="AB1598" s="33"/>
      <c r="AC1598" s="33"/>
      <c r="AD1598" s="33"/>
      <c r="AE1598" s="33"/>
      <c r="AF1598" s="33"/>
      <c r="AG1598" s="33"/>
      <c r="AH1598" s="33"/>
      <c r="AI1598" s="33"/>
      <c r="AJ1598" s="33"/>
      <c r="AK1598" s="216"/>
      <c r="AL1598" s="33"/>
      <c r="AM1598" s="33"/>
      <c r="AN1598" s="33"/>
      <c r="AO1598" s="33"/>
      <c r="AP1598" s="33"/>
    </row>
    <row r="1599" spans="1:42" ht="15.75" customHeight="1">
      <c r="A1599" s="33"/>
      <c r="B1599" s="33"/>
      <c r="C1599" s="33"/>
      <c r="D1599" s="33"/>
      <c r="E1599" s="33"/>
      <c r="F1599" s="199"/>
      <c r="G1599" s="33"/>
      <c r="H1599" s="33"/>
      <c r="I1599" s="33"/>
      <c r="J1599" s="33"/>
      <c r="K1599" s="33"/>
      <c r="L1599" s="33"/>
      <c r="M1599" s="33"/>
      <c r="N1599" s="33"/>
      <c r="O1599" s="33"/>
      <c r="P1599" s="33"/>
      <c r="Q1599" s="33"/>
      <c r="R1599" s="33"/>
      <c r="S1599" s="33"/>
      <c r="T1599" s="33"/>
      <c r="U1599" s="33"/>
      <c r="V1599" s="33"/>
      <c r="W1599" s="33"/>
      <c r="X1599" s="33"/>
      <c r="Y1599" s="33"/>
      <c r="Z1599" s="33"/>
      <c r="AA1599" s="33"/>
      <c r="AB1599" s="33"/>
      <c r="AC1599" s="33"/>
      <c r="AD1599" s="33"/>
      <c r="AE1599" s="33"/>
      <c r="AF1599" s="33"/>
      <c r="AG1599" s="33"/>
      <c r="AH1599" s="33"/>
      <c r="AI1599" s="33"/>
      <c r="AJ1599" s="33"/>
      <c r="AK1599" s="216"/>
      <c r="AL1599" s="33"/>
      <c r="AM1599" s="33"/>
      <c r="AN1599" s="33"/>
      <c r="AO1599" s="33"/>
      <c r="AP1599" s="33"/>
    </row>
    <row r="1600" spans="1:42" ht="15.75" customHeight="1">
      <c r="A1600" s="33"/>
      <c r="B1600" s="33"/>
      <c r="C1600" s="33"/>
      <c r="D1600" s="33"/>
      <c r="E1600" s="33"/>
      <c r="F1600" s="199"/>
      <c r="G1600" s="33"/>
      <c r="H1600" s="33"/>
      <c r="I1600" s="33"/>
      <c r="J1600" s="33"/>
      <c r="K1600" s="33"/>
      <c r="L1600" s="33"/>
      <c r="M1600" s="33"/>
      <c r="N1600" s="33"/>
      <c r="O1600" s="33"/>
      <c r="P1600" s="33"/>
      <c r="Q1600" s="33"/>
      <c r="R1600" s="33"/>
      <c r="S1600" s="33"/>
      <c r="T1600" s="33"/>
      <c r="U1600" s="33"/>
      <c r="V1600" s="33"/>
      <c r="W1600" s="33"/>
      <c r="X1600" s="33"/>
      <c r="Y1600" s="33"/>
      <c r="Z1600" s="33"/>
      <c r="AA1600" s="33"/>
      <c r="AB1600" s="33"/>
      <c r="AC1600" s="33"/>
      <c r="AD1600" s="33"/>
      <c r="AE1600" s="33"/>
      <c r="AF1600" s="33"/>
      <c r="AG1600" s="33"/>
      <c r="AH1600" s="33"/>
      <c r="AI1600" s="33"/>
      <c r="AJ1600" s="33"/>
      <c r="AK1600" s="216"/>
      <c r="AL1600" s="33"/>
      <c r="AM1600" s="33"/>
      <c r="AN1600" s="33"/>
      <c r="AO1600" s="33"/>
      <c r="AP1600" s="33"/>
    </row>
    <row r="1601" spans="1:42" ht="15.75" customHeight="1">
      <c r="A1601" s="33"/>
      <c r="B1601" s="33"/>
      <c r="C1601" s="33"/>
      <c r="D1601" s="33"/>
      <c r="E1601" s="33"/>
      <c r="F1601" s="199"/>
      <c r="G1601" s="33"/>
      <c r="H1601" s="33"/>
      <c r="I1601" s="33"/>
      <c r="J1601" s="33"/>
      <c r="K1601" s="33"/>
      <c r="L1601" s="33"/>
      <c r="M1601" s="33"/>
      <c r="N1601" s="33"/>
      <c r="O1601" s="33"/>
      <c r="P1601" s="33"/>
      <c r="Q1601" s="33"/>
      <c r="R1601" s="33"/>
      <c r="S1601" s="33"/>
      <c r="T1601" s="33"/>
      <c r="U1601" s="33"/>
      <c r="V1601" s="33"/>
      <c r="W1601" s="33"/>
      <c r="X1601" s="33"/>
      <c r="Y1601" s="33"/>
      <c r="Z1601" s="33"/>
      <c r="AA1601" s="33"/>
      <c r="AB1601" s="33"/>
      <c r="AC1601" s="33"/>
      <c r="AD1601" s="33"/>
      <c r="AE1601" s="33"/>
      <c r="AF1601" s="33"/>
      <c r="AG1601" s="33"/>
      <c r="AH1601" s="33"/>
      <c r="AI1601" s="33"/>
      <c r="AJ1601" s="33"/>
      <c r="AK1601" s="216"/>
      <c r="AL1601" s="33"/>
      <c r="AM1601" s="33"/>
      <c r="AN1601" s="33"/>
      <c r="AO1601" s="33"/>
      <c r="AP1601" s="33"/>
    </row>
    <row r="1602" spans="1:42" ht="15.75" customHeight="1">
      <c r="A1602" s="33"/>
      <c r="B1602" s="33"/>
      <c r="C1602" s="33"/>
      <c r="D1602" s="33"/>
      <c r="E1602" s="33"/>
      <c r="F1602" s="199"/>
      <c r="G1602" s="33"/>
      <c r="H1602" s="33"/>
      <c r="I1602" s="33"/>
      <c r="J1602" s="33"/>
      <c r="K1602" s="33"/>
      <c r="L1602" s="33"/>
      <c r="M1602" s="33"/>
      <c r="N1602" s="33"/>
      <c r="O1602" s="33"/>
      <c r="P1602" s="33"/>
      <c r="Q1602" s="33"/>
      <c r="R1602" s="33"/>
      <c r="S1602" s="33"/>
      <c r="T1602" s="33"/>
      <c r="U1602" s="33"/>
      <c r="V1602" s="33"/>
      <c r="W1602" s="33"/>
      <c r="X1602" s="33"/>
      <c r="Y1602" s="33"/>
      <c r="Z1602" s="33"/>
      <c r="AA1602" s="33"/>
      <c r="AB1602" s="33"/>
      <c r="AC1602" s="33"/>
      <c r="AD1602" s="33"/>
      <c r="AE1602" s="33"/>
      <c r="AF1602" s="33"/>
      <c r="AG1602" s="33"/>
      <c r="AH1602" s="33"/>
      <c r="AI1602" s="33"/>
      <c r="AJ1602" s="33"/>
      <c r="AK1602" s="216"/>
      <c r="AL1602" s="33"/>
      <c r="AM1602" s="33"/>
      <c r="AN1602" s="33"/>
      <c r="AO1602" s="33"/>
      <c r="AP1602" s="33"/>
    </row>
    <row r="1603" spans="1:42" ht="15.75" customHeight="1">
      <c r="A1603" s="33"/>
      <c r="B1603" s="33"/>
      <c r="C1603" s="33"/>
      <c r="D1603" s="33"/>
      <c r="E1603" s="33"/>
      <c r="F1603" s="199"/>
      <c r="G1603" s="33"/>
      <c r="H1603" s="33"/>
      <c r="I1603" s="33"/>
      <c r="J1603" s="33"/>
      <c r="K1603" s="33"/>
      <c r="L1603" s="33"/>
      <c r="M1603" s="33"/>
      <c r="N1603" s="33"/>
      <c r="O1603" s="33"/>
      <c r="P1603" s="33"/>
      <c r="Q1603" s="33"/>
      <c r="R1603" s="33"/>
      <c r="S1603" s="33"/>
      <c r="T1603" s="33"/>
      <c r="U1603" s="33"/>
      <c r="V1603" s="33"/>
      <c r="W1603" s="33"/>
      <c r="X1603" s="33"/>
      <c r="Y1603" s="33"/>
      <c r="Z1603" s="33"/>
      <c r="AA1603" s="33"/>
      <c r="AB1603" s="33"/>
      <c r="AC1603" s="33"/>
      <c r="AD1603" s="33"/>
      <c r="AE1603" s="33"/>
      <c r="AF1603" s="33"/>
      <c r="AG1603" s="33"/>
      <c r="AH1603" s="33"/>
      <c r="AI1603" s="33"/>
      <c r="AJ1603" s="33"/>
      <c r="AK1603" s="216"/>
      <c r="AL1603" s="33"/>
      <c r="AM1603" s="33"/>
      <c r="AN1603" s="33"/>
      <c r="AO1603" s="33"/>
      <c r="AP1603" s="33"/>
    </row>
    <row r="1604" spans="1:42" ht="15.75" customHeight="1">
      <c r="A1604" s="33"/>
      <c r="B1604" s="33"/>
      <c r="C1604" s="33"/>
      <c r="D1604" s="33"/>
      <c r="E1604" s="33"/>
      <c r="F1604" s="199"/>
      <c r="G1604" s="33"/>
      <c r="H1604" s="33"/>
      <c r="I1604" s="33"/>
      <c r="J1604" s="33"/>
      <c r="K1604" s="33"/>
      <c r="L1604" s="33"/>
      <c r="M1604" s="33"/>
      <c r="N1604" s="33"/>
      <c r="O1604" s="33"/>
      <c r="P1604" s="33"/>
      <c r="Q1604" s="33"/>
      <c r="R1604" s="33"/>
      <c r="S1604" s="33"/>
      <c r="T1604" s="33"/>
      <c r="U1604" s="33"/>
      <c r="V1604" s="33"/>
      <c r="W1604" s="33"/>
      <c r="X1604" s="33"/>
      <c r="Y1604" s="33"/>
      <c r="Z1604" s="33"/>
      <c r="AA1604" s="33"/>
      <c r="AB1604" s="33"/>
      <c r="AC1604" s="33"/>
      <c r="AD1604" s="33"/>
      <c r="AE1604" s="33"/>
      <c r="AF1604" s="33"/>
      <c r="AG1604" s="33"/>
      <c r="AH1604" s="33"/>
      <c r="AI1604" s="33"/>
      <c r="AJ1604" s="33"/>
      <c r="AK1604" s="216"/>
      <c r="AL1604" s="33"/>
      <c r="AM1604" s="33"/>
      <c r="AN1604" s="33"/>
      <c r="AO1604" s="33"/>
      <c r="AP1604" s="33"/>
    </row>
    <row r="1605" spans="1:42" ht="15.75" customHeight="1">
      <c r="A1605" s="33"/>
      <c r="B1605" s="33"/>
      <c r="C1605" s="33"/>
      <c r="D1605" s="33"/>
      <c r="E1605" s="33"/>
      <c r="F1605" s="199"/>
      <c r="G1605" s="33"/>
      <c r="H1605" s="33"/>
      <c r="I1605" s="33"/>
      <c r="J1605" s="33"/>
      <c r="K1605" s="33"/>
      <c r="L1605" s="33"/>
      <c r="M1605" s="33"/>
      <c r="N1605" s="33"/>
      <c r="O1605" s="33"/>
      <c r="P1605" s="33"/>
      <c r="Q1605" s="33"/>
      <c r="R1605" s="33"/>
      <c r="S1605" s="33"/>
      <c r="T1605" s="33"/>
      <c r="U1605" s="33"/>
      <c r="V1605" s="33"/>
      <c r="W1605" s="33"/>
      <c r="X1605" s="33"/>
      <c r="Y1605" s="33"/>
      <c r="Z1605" s="33"/>
      <c r="AA1605" s="33"/>
      <c r="AB1605" s="33"/>
      <c r="AC1605" s="33"/>
      <c r="AD1605" s="33"/>
      <c r="AE1605" s="33"/>
      <c r="AF1605" s="33"/>
      <c r="AG1605" s="33"/>
      <c r="AH1605" s="33"/>
      <c r="AI1605" s="33"/>
      <c r="AJ1605" s="33"/>
      <c r="AK1605" s="216"/>
      <c r="AL1605" s="33"/>
      <c r="AM1605" s="33"/>
      <c r="AN1605" s="33"/>
      <c r="AO1605" s="33"/>
      <c r="AP1605" s="33"/>
    </row>
    <row r="1606" spans="1:42" ht="15.75" customHeight="1">
      <c r="A1606" s="33"/>
      <c r="B1606" s="33"/>
      <c r="C1606" s="33"/>
      <c r="D1606" s="33"/>
      <c r="E1606" s="33"/>
      <c r="F1606" s="199"/>
      <c r="G1606" s="33"/>
      <c r="H1606" s="33"/>
      <c r="I1606" s="33"/>
      <c r="J1606" s="33"/>
      <c r="K1606" s="33"/>
      <c r="L1606" s="33"/>
      <c r="M1606" s="33"/>
      <c r="N1606" s="33"/>
      <c r="O1606" s="33"/>
      <c r="P1606" s="33"/>
      <c r="Q1606" s="33"/>
      <c r="R1606" s="33"/>
      <c r="S1606" s="33"/>
      <c r="T1606" s="33"/>
      <c r="U1606" s="33"/>
      <c r="V1606" s="33"/>
      <c r="W1606" s="33"/>
      <c r="X1606" s="33"/>
      <c r="Y1606" s="33"/>
      <c r="Z1606" s="33"/>
      <c r="AA1606" s="33"/>
      <c r="AB1606" s="33"/>
      <c r="AC1606" s="33"/>
      <c r="AD1606" s="33"/>
      <c r="AE1606" s="33"/>
      <c r="AF1606" s="33"/>
      <c r="AG1606" s="33"/>
      <c r="AH1606" s="33"/>
      <c r="AI1606" s="33"/>
      <c r="AJ1606" s="33"/>
      <c r="AK1606" s="216"/>
      <c r="AL1606" s="33"/>
      <c r="AM1606" s="33"/>
      <c r="AN1606" s="33"/>
      <c r="AO1606" s="33"/>
      <c r="AP1606" s="33"/>
    </row>
    <row r="1607" spans="1:42" ht="15.75" customHeight="1">
      <c r="A1607" s="33"/>
      <c r="B1607" s="33"/>
      <c r="C1607" s="33"/>
      <c r="D1607" s="33"/>
      <c r="E1607" s="33"/>
      <c r="F1607" s="199"/>
      <c r="G1607" s="33"/>
      <c r="H1607" s="33"/>
      <c r="I1607" s="33"/>
      <c r="J1607" s="33"/>
      <c r="K1607" s="33"/>
      <c r="L1607" s="33"/>
      <c r="M1607" s="33"/>
      <c r="N1607" s="33"/>
      <c r="O1607" s="33"/>
      <c r="P1607" s="33"/>
      <c r="Q1607" s="33"/>
      <c r="R1607" s="33"/>
      <c r="S1607" s="33"/>
      <c r="T1607" s="33"/>
      <c r="U1607" s="33"/>
      <c r="V1607" s="33"/>
      <c r="W1607" s="33"/>
      <c r="X1607" s="33"/>
      <c r="Y1607" s="33"/>
      <c r="Z1607" s="33"/>
      <c r="AA1607" s="33"/>
      <c r="AB1607" s="33"/>
      <c r="AC1607" s="33"/>
      <c r="AD1607" s="33"/>
      <c r="AE1607" s="33"/>
      <c r="AF1607" s="33"/>
      <c r="AG1607" s="33"/>
      <c r="AH1607" s="33"/>
      <c r="AI1607" s="33"/>
      <c r="AJ1607" s="33"/>
      <c r="AK1607" s="216"/>
      <c r="AL1607" s="33"/>
      <c r="AM1607" s="33"/>
      <c r="AN1607" s="33"/>
      <c r="AO1607" s="33"/>
      <c r="AP1607" s="33"/>
    </row>
    <row r="1608" spans="1:42" ht="15.75" customHeight="1">
      <c r="A1608" s="33"/>
      <c r="B1608" s="33"/>
      <c r="C1608" s="33"/>
      <c r="D1608" s="33"/>
      <c r="E1608" s="33"/>
      <c r="F1608" s="199"/>
      <c r="G1608" s="33"/>
      <c r="H1608" s="33"/>
      <c r="I1608" s="33"/>
      <c r="J1608" s="33"/>
      <c r="K1608" s="33"/>
      <c r="L1608" s="33"/>
      <c r="M1608" s="33"/>
      <c r="N1608" s="33"/>
      <c r="O1608" s="33"/>
      <c r="P1608" s="33"/>
      <c r="Q1608" s="33"/>
      <c r="R1608" s="33"/>
      <c r="S1608" s="33"/>
      <c r="T1608" s="33"/>
      <c r="U1608" s="33"/>
      <c r="V1608" s="33"/>
      <c r="W1608" s="33"/>
      <c r="X1608" s="33"/>
      <c r="Y1608" s="33"/>
      <c r="Z1608" s="33"/>
      <c r="AA1608" s="33"/>
      <c r="AB1608" s="33"/>
      <c r="AC1608" s="33"/>
      <c r="AD1608" s="33"/>
      <c r="AE1608" s="33"/>
      <c r="AF1608" s="33"/>
      <c r="AG1608" s="33"/>
      <c r="AH1608" s="33"/>
      <c r="AI1608" s="33"/>
      <c r="AJ1608" s="33"/>
      <c r="AK1608" s="216"/>
      <c r="AL1608" s="33"/>
      <c r="AM1608" s="33"/>
      <c r="AN1608" s="33"/>
      <c r="AO1608" s="33"/>
      <c r="AP1608" s="33"/>
    </row>
    <row r="1609" spans="1:42" ht="15.75" customHeight="1">
      <c r="A1609" s="33"/>
      <c r="B1609" s="33"/>
      <c r="C1609" s="33"/>
      <c r="D1609" s="33"/>
      <c r="E1609" s="33"/>
      <c r="F1609" s="199"/>
      <c r="G1609" s="33"/>
      <c r="H1609" s="33"/>
      <c r="I1609" s="33"/>
      <c r="J1609" s="33"/>
      <c r="K1609" s="33"/>
      <c r="L1609" s="33"/>
      <c r="M1609" s="33"/>
      <c r="N1609" s="33"/>
      <c r="O1609" s="33"/>
      <c r="P1609" s="33"/>
      <c r="Q1609" s="33"/>
      <c r="R1609" s="33"/>
      <c r="S1609" s="33"/>
      <c r="T1609" s="33"/>
      <c r="U1609" s="33"/>
      <c r="V1609" s="33"/>
      <c r="W1609" s="33"/>
      <c r="X1609" s="33"/>
      <c r="Y1609" s="33"/>
      <c r="Z1609" s="33"/>
      <c r="AA1609" s="33"/>
      <c r="AB1609" s="33"/>
      <c r="AC1609" s="33"/>
      <c r="AD1609" s="33"/>
      <c r="AE1609" s="33"/>
      <c r="AF1609" s="33"/>
      <c r="AG1609" s="33"/>
      <c r="AH1609" s="33"/>
      <c r="AI1609" s="33"/>
      <c r="AJ1609" s="33"/>
      <c r="AK1609" s="216"/>
      <c r="AL1609" s="33"/>
      <c r="AM1609" s="33"/>
      <c r="AN1609" s="33"/>
      <c r="AO1609" s="33"/>
      <c r="AP1609" s="33"/>
    </row>
    <row r="1610" spans="1:42" ht="15.75" customHeight="1">
      <c r="A1610" s="33"/>
      <c r="B1610" s="33"/>
      <c r="C1610" s="33"/>
      <c r="D1610" s="33"/>
      <c r="E1610" s="33"/>
      <c r="F1610" s="199"/>
      <c r="G1610" s="33"/>
      <c r="H1610" s="33"/>
      <c r="I1610" s="33"/>
      <c r="J1610" s="33"/>
      <c r="K1610" s="33"/>
      <c r="L1610" s="33"/>
      <c r="M1610" s="33"/>
      <c r="N1610" s="33"/>
      <c r="O1610" s="33"/>
      <c r="P1610" s="33"/>
      <c r="Q1610" s="33"/>
      <c r="R1610" s="33"/>
      <c r="S1610" s="33"/>
      <c r="T1610" s="33"/>
      <c r="U1610" s="33"/>
      <c r="V1610" s="33"/>
      <c r="W1610" s="33"/>
      <c r="X1610" s="33"/>
      <c r="Y1610" s="33"/>
      <c r="Z1610" s="33"/>
      <c r="AA1610" s="33"/>
      <c r="AB1610" s="33"/>
      <c r="AC1610" s="33"/>
      <c r="AD1610" s="33"/>
      <c r="AE1610" s="33"/>
      <c r="AF1610" s="33"/>
      <c r="AG1610" s="33"/>
      <c r="AH1610" s="33"/>
      <c r="AI1610" s="33"/>
      <c r="AJ1610" s="33"/>
      <c r="AK1610" s="216"/>
      <c r="AL1610" s="33"/>
      <c r="AM1610" s="33"/>
      <c r="AN1610" s="33"/>
      <c r="AO1610" s="33"/>
      <c r="AP1610" s="33"/>
    </row>
    <row r="1611" spans="1:42" ht="15.75" customHeight="1">
      <c r="A1611" s="33"/>
      <c r="B1611" s="33"/>
      <c r="C1611" s="33"/>
      <c r="D1611" s="33"/>
      <c r="E1611" s="33"/>
      <c r="F1611" s="199"/>
      <c r="G1611" s="33"/>
      <c r="H1611" s="33"/>
      <c r="I1611" s="33"/>
      <c r="J1611" s="33"/>
      <c r="K1611" s="33"/>
      <c r="L1611" s="33"/>
      <c r="M1611" s="33"/>
      <c r="N1611" s="33"/>
      <c r="O1611" s="33"/>
      <c r="P1611" s="33"/>
      <c r="Q1611" s="33"/>
      <c r="R1611" s="33"/>
      <c r="S1611" s="33"/>
      <c r="T1611" s="33"/>
      <c r="U1611" s="33"/>
      <c r="V1611" s="33"/>
      <c r="W1611" s="33"/>
      <c r="X1611" s="33"/>
      <c r="Y1611" s="33"/>
      <c r="Z1611" s="33"/>
      <c r="AA1611" s="33"/>
      <c r="AB1611" s="33"/>
      <c r="AC1611" s="33"/>
      <c r="AD1611" s="33"/>
      <c r="AE1611" s="33"/>
      <c r="AF1611" s="33"/>
      <c r="AG1611" s="33"/>
      <c r="AH1611" s="33"/>
      <c r="AI1611" s="33"/>
      <c r="AJ1611" s="33"/>
      <c r="AK1611" s="216"/>
      <c r="AL1611" s="33"/>
      <c r="AM1611" s="33"/>
      <c r="AN1611" s="33"/>
      <c r="AO1611" s="33"/>
      <c r="AP1611" s="33"/>
    </row>
    <row r="1612" spans="1:42" ht="15.75" customHeight="1">
      <c r="A1612" s="33"/>
      <c r="B1612" s="33"/>
      <c r="C1612" s="33"/>
      <c r="D1612" s="33"/>
      <c r="E1612" s="33"/>
      <c r="F1612" s="199"/>
      <c r="G1612" s="33"/>
      <c r="H1612" s="33"/>
      <c r="I1612" s="33"/>
      <c r="J1612" s="33"/>
      <c r="K1612" s="33"/>
      <c r="L1612" s="33"/>
      <c r="M1612" s="33"/>
      <c r="N1612" s="33"/>
      <c r="O1612" s="33"/>
      <c r="P1612" s="33"/>
      <c r="Q1612" s="33"/>
      <c r="R1612" s="33"/>
      <c r="S1612" s="33"/>
      <c r="T1612" s="33"/>
      <c r="U1612" s="33"/>
      <c r="V1612" s="33"/>
      <c r="W1612" s="33"/>
      <c r="X1612" s="33"/>
      <c r="Y1612" s="33"/>
      <c r="Z1612" s="33"/>
      <c r="AA1612" s="33"/>
      <c r="AB1612" s="33"/>
      <c r="AC1612" s="33"/>
      <c r="AD1612" s="33"/>
      <c r="AE1612" s="33"/>
      <c r="AF1612" s="33"/>
      <c r="AG1612" s="33"/>
      <c r="AH1612" s="33"/>
      <c r="AI1612" s="33"/>
      <c r="AJ1612" s="33"/>
      <c r="AK1612" s="216"/>
      <c r="AL1612" s="33"/>
      <c r="AM1612" s="33"/>
      <c r="AN1612" s="33"/>
      <c r="AO1612" s="33"/>
      <c r="AP1612" s="33"/>
    </row>
    <row r="1613" spans="1:42" ht="15.75" customHeight="1">
      <c r="A1613" s="33"/>
      <c r="B1613" s="33"/>
      <c r="C1613" s="33"/>
      <c r="D1613" s="33"/>
      <c r="E1613" s="33"/>
      <c r="F1613" s="199"/>
      <c r="G1613" s="33"/>
      <c r="H1613" s="33"/>
      <c r="I1613" s="33"/>
      <c r="J1613" s="33"/>
      <c r="K1613" s="33"/>
      <c r="L1613" s="33"/>
      <c r="M1613" s="33"/>
      <c r="N1613" s="33"/>
      <c r="O1613" s="33"/>
      <c r="P1613" s="33"/>
      <c r="Q1613" s="33"/>
      <c r="R1613" s="33"/>
      <c r="S1613" s="33"/>
      <c r="T1613" s="33"/>
      <c r="U1613" s="33"/>
      <c r="V1613" s="33"/>
      <c r="W1613" s="33"/>
      <c r="X1613" s="33"/>
      <c r="Y1613" s="33"/>
      <c r="Z1613" s="33"/>
      <c r="AA1613" s="33"/>
      <c r="AB1613" s="33"/>
      <c r="AC1613" s="33"/>
      <c r="AD1613" s="33"/>
      <c r="AE1613" s="33"/>
      <c r="AF1613" s="33"/>
      <c r="AG1613" s="33"/>
      <c r="AH1613" s="33"/>
      <c r="AI1613" s="33"/>
      <c r="AJ1613" s="33"/>
      <c r="AK1613" s="216"/>
      <c r="AL1613" s="33"/>
      <c r="AM1613" s="33"/>
      <c r="AN1613" s="33"/>
      <c r="AO1613" s="33"/>
      <c r="AP1613" s="33"/>
    </row>
    <row r="1614" spans="1:42" ht="15.75" customHeight="1">
      <c r="A1614" s="33"/>
      <c r="B1614" s="33"/>
      <c r="C1614" s="33"/>
      <c r="D1614" s="33"/>
      <c r="E1614" s="33"/>
      <c r="F1614" s="199"/>
      <c r="G1614" s="33"/>
      <c r="H1614" s="33"/>
      <c r="I1614" s="33"/>
      <c r="J1614" s="33"/>
      <c r="K1614" s="33"/>
      <c r="L1614" s="33"/>
      <c r="M1614" s="33"/>
      <c r="N1614" s="33"/>
      <c r="O1614" s="33"/>
      <c r="P1614" s="33"/>
      <c r="Q1614" s="33"/>
      <c r="R1614" s="33"/>
      <c r="S1614" s="33"/>
      <c r="T1614" s="33"/>
      <c r="U1614" s="33"/>
      <c r="V1614" s="33"/>
      <c r="W1614" s="33"/>
      <c r="X1614" s="33"/>
      <c r="Y1614" s="33"/>
      <c r="Z1614" s="33"/>
      <c r="AA1614" s="33"/>
      <c r="AB1614" s="33"/>
      <c r="AC1614" s="33"/>
      <c r="AD1614" s="33"/>
      <c r="AE1614" s="33"/>
      <c r="AF1614" s="33"/>
      <c r="AG1614" s="33"/>
      <c r="AH1614" s="33"/>
      <c r="AI1614" s="33"/>
      <c r="AJ1614" s="33"/>
      <c r="AK1614" s="216"/>
      <c r="AL1614" s="33"/>
      <c r="AM1614" s="33"/>
      <c r="AN1614" s="33"/>
      <c r="AO1614" s="33"/>
      <c r="AP1614" s="33"/>
    </row>
    <row r="1615" spans="1:42" ht="15.75" customHeight="1">
      <c r="A1615" s="33"/>
      <c r="B1615" s="33"/>
      <c r="C1615" s="33"/>
      <c r="D1615" s="33"/>
      <c r="E1615" s="33"/>
      <c r="F1615" s="199"/>
      <c r="G1615" s="33"/>
      <c r="H1615" s="33"/>
      <c r="I1615" s="33"/>
      <c r="J1615" s="33"/>
      <c r="K1615" s="33"/>
      <c r="L1615" s="33"/>
      <c r="M1615" s="33"/>
      <c r="N1615" s="33"/>
      <c r="O1615" s="33"/>
      <c r="P1615" s="33"/>
      <c r="Q1615" s="33"/>
      <c r="R1615" s="33"/>
      <c r="S1615" s="33"/>
      <c r="T1615" s="33"/>
      <c r="U1615" s="33"/>
      <c r="V1615" s="33"/>
      <c r="W1615" s="33"/>
      <c r="X1615" s="33"/>
      <c r="Y1615" s="33"/>
      <c r="Z1615" s="33"/>
      <c r="AA1615" s="33"/>
      <c r="AB1615" s="33"/>
      <c r="AC1615" s="33"/>
      <c r="AD1615" s="33"/>
      <c r="AE1615" s="33"/>
      <c r="AF1615" s="33"/>
      <c r="AG1615" s="33"/>
      <c r="AH1615" s="33"/>
      <c r="AI1615" s="33"/>
      <c r="AJ1615" s="33"/>
      <c r="AK1615" s="216"/>
      <c r="AL1615" s="33"/>
      <c r="AM1615" s="33"/>
      <c r="AN1615" s="33"/>
      <c r="AO1615" s="33"/>
      <c r="AP1615" s="33"/>
    </row>
    <row r="1616" spans="1:42" ht="15.75" customHeight="1">
      <c r="A1616" s="33"/>
      <c r="B1616" s="33"/>
      <c r="C1616" s="33"/>
      <c r="D1616" s="33"/>
      <c r="E1616" s="33"/>
      <c r="F1616" s="199"/>
      <c r="G1616" s="33"/>
      <c r="H1616" s="33"/>
      <c r="I1616" s="33"/>
      <c r="J1616" s="33"/>
      <c r="K1616" s="33"/>
      <c r="L1616" s="33"/>
      <c r="M1616" s="33"/>
      <c r="N1616" s="33"/>
      <c r="O1616" s="33"/>
      <c r="P1616" s="33"/>
      <c r="Q1616" s="33"/>
      <c r="R1616" s="33"/>
      <c r="S1616" s="33"/>
      <c r="T1616" s="33"/>
      <c r="U1616" s="33"/>
      <c r="V1616" s="33"/>
      <c r="W1616" s="33"/>
      <c r="X1616" s="33"/>
      <c r="Y1616" s="33"/>
      <c r="Z1616" s="33"/>
      <c r="AA1616" s="33"/>
      <c r="AB1616" s="33"/>
      <c r="AC1616" s="33"/>
      <c r="AD1616" s="33"/>
      <c r="AE1616" s="33"/>
      <c r="AF1616" s="33"/>
      <c r="AG1616" s="33"/>
      <c r="AH1616" s="33"/>
      <c r="AI1616" s="33"/>
      <c r="AJ1616" s="33"/>
      <c r="AK1616" s="216"/>
      <c r="AL1616" s="33"/>
      <c r="AM1616" s="33"/>
      <c r="AN1616" s="33"/>
      <c r="AO1616" s="33"/>
      <c r="AP1616" s="33"/>
    </row>
    <row r="1617" spans="1:42" ht="15.75" customHeight="1">
      <c r="A1617" s="33"/>
      <c r="B1617" s="33"/>
      <c r="C1617" s="33"/>
      <c r="D1617" s="33"/>
      <c r="E1617" s="33"/>
      <c r="F1617" s="199"/>
      <c r="G1617" s="33"/>
      <c r="H1617" s="33"/>
      <c r="I1617" s="33"/>
      <c r="J1617" s="33"/>
      <c r="K1617" s="33"/>
      <c r="L1617" s="33"/>
      <c r="M1617" s="33"/>
      <c r="N1617" s="33"/>
      <c r="O1617" s="33"/>
      <c r="P1617" s="33"/>
      <c r="Q1617" s="33"/>
      <c r="R1617" s="33"/>
      <c r="S1617" s="33"/>
      <c r="T1617" s="33"/>
      <c r="U1617" s="33"/>
      <c r="V1617" s="33"/>
      <c r="W1617" s="33"/>
      <c r="X1617" s="33"/>
      <c r="Y1617" s="33"/>
      <c r="Z1617" s="33"/>
      <c r="AA1617" s="33"/>
      <c r="AB1617" s="33"/>
      <c r="AC1617" s="33"/>
      <c r="AD1617" s="33"/>
      <c r="AE1617" s="33"/>
      <c r="AF1617" s="33"/>
      <c r="AG1617" s="33"/>
      <c r="AH1617" s="33"/>
      <c r="AI1617" s="33"/>
      <c r="AJ1617" s="33"/>
      <c r="AK1617" s="216"/>
      <c r="AL1617" s="33"/>
      <c r="AM1617" s="33"/>
      <c r="AN1617" s="33"/>
      <c r="AO1617" s="33"/>
      <c r="AP1617" s="33"/>
    </row>
    <row r="1618" spans="1:42" ht="15.75" customHeight="1">
      <c r="A1618" s="33"/>
      <c r="B1618" s="33"/>
      <c r="C1618" s="33"/>
      <c r="D1618" s="33"/>
      <c r="E1618" s="33"/>
      <c r="F1618" s="199"/>
      <c r="G1618" s="33"/>
      <c r="H1618" s="33"/>
      <c r="I1618" s="33"/>
      <c r="J1618" s="33"/>
      <c r="K1618" s="33"/>
      <c r="L1618" s="33"/>
      <c r="M1618" s="33"/>
      <c r="N1618" s="33"/>
      <c r="O1618" s="33"/>
      <c r="P1618" s="33"/>
      <c r="Q1618" s="33"/>
      <c r="R1618" s="33"/>
      <c r="S1618" s="33"/>
      <c r="T1618" s="33"/>
      <c r="U1618" s="33"/>
      <c r="V1618" s="33"/>
      <c r="W1618" s="33"/>
      <c r="X1618" s="33"/>
      <c r="Y1618" s="33"/>
      <c r="Z1618" s="33"/>
      <c r="AA1618" s="33"/>
      <c r="AB1618" s="33"/>
      <c r="AC1618" s="33"/>
      <c r="AD1618" s="33"/>
      <c r="AE1618" s="33"/>
      <c r="AF1618" s="33"/>
      <c r="AG1618" s="33"/>
      <c r="AH1618" s="33"/>
      <c r="AI1618" s="33"/>
      <c r="AJ1618" s="33"/>
      <c r="AK1618" s="216"/>
      <c r="AL1618" s="33"/>
      <c r="AM1618" s="33"/>
      <c r="AN1618" s="33"/>
      <c r="AO1618" s="33"/>
      <c r="AP1618" s="33"/>
    </row>
    <row r="1619" spans="1:42" ht="15.75" customHeight="1">
      <c r="A1619" s="33"/>
      <c r="B1619" s="33"/>
      <c r="C1619" s="33"/>
      <c r="D1619" s="33"/>
      <c r="E1619" s="33"/>
      <c r="F1619" s="199"/>
      <c r="G1619" s="33"/>
      <c r="H1619" s="33"/>
      <c r="I1619" s="33"/>
      <c r="J1619" s="33"/>
      <c r="K1619" s="33"/>
      <c r="L1619" s="33"/>
      <c r="M1619" s="33"/>
      <c r="N1619" s="33"/>
      <c r="O1619" s="33"/>
      <c r="P1619" s="33"/>
      <c r="Q1619" s="33"/>
      <c r="R1619" s="33"/>
      <c r="S1619" s="33"/>
      <c r="T1619" s="33"/>
      <c r="U1619" s="33"/>
      <c r="V1619" s="33"/>
      <c r="W1619" s="33"/>
      <c r="X1619" s="33"/>
      <c r="Y1619" s="33"/>
      <c r="Z1619" s="33"/>
      <c r="AA1619" s="33"/>
      <c r="AB1619" s="33"/>
      <c r="AC1619" s="33"/>
      <c r="AD1619" s="33"/>
      <c r="AE1619" s="33"/>
      <c r="AF1619" s="33"/>
      <c r="AG1619" s="33"/>
      <c r="AH1619" s="33"/>
      <c r="AI1619" s="33"/>
      <c r="AJ1619" s="33"/>
      <c r="AK1619" s="216"/>
      <c r="AL1619" s="33"/>
      <c r="AM1619" s="33"/>
      <c r="AN1619" s="33"/>
      <c r="AO1619" s="33"/>
      <c r="AP1619" s="33"/>
    </row>
    <row r="1620" spans="1:42" ht="15.75" customHeight="1">
      <c r="A1620" s="33"/>
      <c r="B1620" s="33"/>
      <c r="C1620" s="33"/>
      <c r="D1620" s="33"/>
      <c r="E1620" s="33"/>
      <c r="F1620" s="199"/>
      <c r="G1620" s="33"/>
      <c r="H1620" s="33"/>
      <c r="I1620" s="33"/>
      <c r="J1620" s="33"/>
      <c r="K1620" s="33"/>
      <c r="L1620" s="33"/>
      <c r="M1620" s="33"/>
      <c r="N1620" s="33"/>
      <c r="O1620" s="33"/>
      <c r="P1620" s="33"/>
      <c r="Q1620" s="33"/>
      <c r="R1620" s="33"/>
      <c r="S1620" s="33"/>
      <c r="T1620" s="33"/>
      <c r="U1620" s="33"/>
      <c r="V1620" s="33"/>
      <c r="W1620" s="33"/>
      <c r="X1620" s="33"/>
      <c r="Y1620" s="33"/>
      <c r="Z1620" s="33"/>
      <c r="AA1620" s="33"/>
      <c r="AB1620" s="33"/>
      <c r="AC1620" s="33"/>
      <c r="AD1620" s="33"/>
      <c r="AE1620" s="33"/>
      <c r="AF1620" s="33"/>
      <c r="AG1620" s="33"/>
      <c r="AH1620" s="33"/>
      <c r="AI1620" s="33"/>
      <c r="AJ1620" s="33"/>
      <c r="AK1620" s="216"/>
      <c r="AL1620" s="33"/>
      <c r="AM1620" s="33"/>
      <c r="AN1620" s="33"/>
      <c r="AO1620" s="33"/>
      <c r="AP1620" s="33"/>
    </row>
    <row r="1621" spans="1:42" ht="15.75" customHeight="1">
      <c r="A1621" s="33"/>
      <c r="B1621" s="33"/>
      <c r="C1621" s="33"/>
      <c r="D1621" s="33"/>
      <c r="E1621" s="33"/>
      <c r="F1621" s="199"/>
      <c r="G1621" s="33"/>
      <c r="H1621" s="33"/>
      <c r="I1621" s="33"/>
      <c r="J1621" s="33"/>
      <c r="K1621" s="33"/>
      <c r="L1621" s="33"/>
      <c r="M1621" s="33"/>
      <c r="N1621" s="33"/>
      <c r="O1621" s="33"/>
      <c r="P1621" s="33"/>
      <c r="Q1621" s="33"/>
      <c r="R1621" s="33"/>
      <c r="S1621" s="33"/>
      <c r="T1621" s="33"/>
      <c r="U1621" s="33"/>
      <c r="V1621" s="33"/>
      <c r="W1621" s="33"/>
      <c r="X1621" s="33"/>
      <c r="Y1621" s="33"/>
      <c r="Z1621" s="33"/>
      <c r="AA1621" s="33"/>
      <c r="AB1621" s="33"/>
      <c r="AC1621" s="33"/>
      <c r="AD1621" s="33"/>
      <c r="AE1621" s="33"/>
      <c r="AF1621" s="33"/>
      <c r="AG1621" s="33"/>
      <c r="AH1621" s="33"/>
      <c r="AI1621" s="33"/>
      <c r="AJ1621" s="33"/>
      <c r="AK1621" s="216"/>
      <c r="AL1621" s="33"/>
      <c r="AM1621" s="33"/>
      <c r="AN1621" s="33"/>
      <c r="AO1621" s="33"/>
      <c r="AP1621" s="33"/>
    </row>
    <row r="1622" spans="1:42" ht="15.75" customHeight="1">
      <c r="A1622" s="33"/>
      <c r="B1622" s="33"/>
      <c r="C1622" s="33"/>
      <c r="D1622" s="33"/>
      <c r="E1622" s="33"/>
      <c r="F1622" s="199"/>
      <c r="G1622" s="33"/>
      <c r="H1622" s="33"/>
      <c r="I1622" s="33"/>
      <c r="J1622" s="33"/>
      <c r="K1622" s="33"/>
      <c r="L1622" s="33"/>
      <c r="M1622" s="33"/>
      <c r="N1622" s="33"/>
      <c r="O1622" s="33"/>
      <c r="P1622" s="33"/>
      <c r="Q1622" s="33"/>
      <c r="R1622" s="33"/>
      <c r="S1622" s="33"/>
      <c r="T1622" s="33"/>
      <c r="U1622" s="33"/>
      <c r="V1622" s="33"/>
      <c r="W1622" s="33"/>
      <c r="X1622" s="33"/>
      <c r="Y1622" s="33"/>
      <c r="Z1622" s="33"/>
      <c r="AA1622" s="33"/>
      <c r="AB1622" s="33"/>
      <c r="AC1622" s="33"/>
      <c r="AD1622" s="33"/>
      <c r="AE1622" s="33"/>
      <c r="AF1622" s="33"/>
      <c r="AG1622" s="33"/>
      <c r="AH1622" s="33"/>
      <c r="AI1622" s="33"/>
      <c r="AJ1622" s="33"/>
      <c r="AK1622" s="216"/>
      <c r="AL1622" s="33"/>
      <c r="AM1622" s="33"/>
      <c r="AN1622" s="33"/>
      <c r="AO1622" s="33"/>
      <c r="AP1622" s="33"/>
    </row>
    <row r="1623" spans="1:42" ht="15.75" customHeight="1">
      <c r="A1623" s="33"/>
      <c r="B1623" s="33"/>
      <c r="C1623" s="33"/>
      <c r="D1623" s="33"/>
      <c r="E1623" s="33"/>
      <c r="F1623" s="199"/>
      <c r="G1623" s="33"/>
      <c r="H1623" s="33"/>
      <c r="I1623" s="33"/>
      <c r="J1623" s="33"/>
      <c r="K1623" s="33"/>
      <c r="L1623" s="33"/>
      <c r="M1623" s="33"/>
      <c r="N1623" s="33"/>
      <c r="O1623" s="33"/>
      <c r="P1623" s="33"/>
      <c r="Q1623" s="33"/>
      <c r="R1623" s="33"/>
      <c r="S1623" s="33"/>
      <c r="T1623" s="33"/>
      <c r="U1623" s="33"/>
      <c r="V1623" s="33"/>
      <c r="W1623" s="33"/>
      <c r="X1623" s="33"/>
      <c r="Y1623" s="33"/>
      <c r="Z1623" s="33"/>
      <c r="AA1623" s="33"/>
      <c r="AB1623" s="33"/>
      <c r="AC1623" s="33"/>
      <c r="AD1623" s="33"/>
      <c r="AE1623" s="33"/>
      <c r="AF1623" s="33"/>
      <c r="AG1623" s="33"/>
      <c r="AH1623" s="33"/>
      <c r="AI1623" s="33"/>
      <c r="AJ1623" s="33"/>
      <c r="AK1623" s="216"/>
      <c r="AL1623" s="33"/>
      <c r="AM1623" s="33"/>
      <c r="AN1623" s="33"/>
      <c r="AO1623" s="33"/>
      <c r="AP1623" s="33"/>
    </row>
    <row r="1624" spans="1:42" ht="15.75" customHeight="1">
      <c r="A1624" s="33"/>
      <c r="B1624" s="33"/>
      <c r="C1624" s="33"/>
      <c r="D1624" s="33"/>
      <c r="E1624" s="33"/>
      <c r="F1624" s="199"/>
      <c r="G1624" s="33"/>
      <c r="H1624" s="33"/>
      <c r="I1624" s="33"/>
      <c r="J1624" s="33"/>
      <c r="K1624" s="33"/>
      <c r="L1624" s="33"/>
      <c r="M1624" s="33"/>
      <c r="N1624" s="33"/>
      <c r="O1624" s="33"/>
      <c r="P1624" s="33"/>
      <c r="Q1624" s="33"/>
      <c r="R1624" s="33"/>
      <c r="S1624" s="33"/>
      <c r="T1624" s="33"/>
      <c r="U1624" s="33"/>
      <c r="V1624" s="33"/>
      <c r="W1624" s="33"/>
      <c r="X1624" s="33"/>
      <c r="Y1624" s="33"/>
      <c r="Z1624" s="33"/>
      <c r="AA1624" s="33"/>
      <c r="AB1624" s="33"/>
      <c r="AC1624" s="33"/>
      <c r="AD1624" s="33"/>
      <c r="AE1624" s="33"/>
      <c r="AF1624" s="33"/>
      <c r="AG1624" s="33"/>
      <c r="AH1624" s="33"/>
      <c r="AI1624" s="33"/>
      <c r="AJ1624" s="33"/>
      <c r="AK1624" s="216"/>
      <c r="AL1624" s="33"/>
      <c r="AM1624" s="33"/>
      <c r="AN1624" s="33"/>
      <c r="AO1624" s="33"/>
      <c r="AP1624" s="33"/>
    </row>
    <row r="1625" spans="1:42" ht="15.75" customHeight="1">
      <c r="A1625" s="33"/>
      <c r="B1625" s="33"/>
      <c r="C1625" s="33"/>
      <c r="D1625" s="33"/>
      <c r="E1625" s="33"/>
      <c r="F1625" s="199"/>
      <c r="G1625" s="33"/>
      <c r="H1625" s="33"/>
      <c r="I1625" s="33"/>
      <c r="J1625" s="33"/>
      <c r="K1625" s="33"/>
      <c r="L1625" s="33"/>
      <c r="M1625" s="33"/>
      <c r="N1625" s="33"/>
      <c r="O1625" s="33"/>
      <c r="P1625" s="33"/>
      <c r="Q1625" s="33"/>
      <c r="R1625" s="33"/>
      <c r="S1625" s="33"/>
      <c r="T1625" s="33"/>
      <c r="U1625" s="33"/>
      <c r="V1625" s="33"/>
      <c r="W1625" s="33"/>
      <c r="X1625" s="33"/>
      <c r="Y1625" s="33"/>
      <c r="Z1625" s="33"/>
      <c r="AA1625" s="33"/>
      <c r="AB1625" s="33"/>
      <c r="AC1625" s="33"/>
      <c r="AD1625" s="33"/>
      <c r="AE1625" s="33"/>
      <c r="AF1625" s="33"/>
      <c r="AG1625" s="33"/>
      <c r="AH1625" s="33"/>
      <c r="AI1625" s="33"/>
      <c r="AJ1625" s="33"/>
      <c r="AK1625" s="216"/>
      <c r="AL1625" s="33"/>
      <c r="AM1625" s="33"/>
      <c r="AN1625" s="33"/>
      <c r="AO1625" s="33"/>
      <c r="AP1625" s="33"/>
    </row>
    <row r="1626" spans="1:42" ht="15.75" customHeight="1">
      <c r="A1626" s="33"/>
      <c r="B1626" s="33"/>
      <c r="C1626" s="33"/>
      <c r="D1626" s="33"/>
      <c r="E1626" s="33"/>
      <c r="F1626" s="199"/>
      <c r="G1626" s="33"/>
      <c r="H1626" s="33"/>
      <c r="I1626" s="33"/>
      <c r="J1626" s="33"/>
      <c r="K1626" s="33"/>
      <c r="L1626" s="33"/>
      <c r="M1626" s="33"/>
      <c r="N1626" s="33"/>
      <c r="O1626" s="33"/>
      <c r="P1626" s="33"/>
      <c r="Q1626" s="33"/>
      <c r="R1626" s="33"/>
      <c r="S1626" s="33"/>
      <c r="T1626" s="33"/>
      <c r="U1626" s="33"/>
      <c r="V1626" s="33"/>
      <c r="W1626" s="33"/>
      <c r="X1626" s="33"/>
      <c r="Y1626" s="33"/>
      <c r="Z1626" s="33"/>
      <c r="AA1626" s="33"/>
      <c r="AB1626" s="33"/>
      <c r="AC1626" s="33"/>
      <c r="AD1626" s="33"/>
      <c r="AE1626" s="33"/>
      <c r="AF1626" s="33"/>
      <c r="AG1626" s="33"/>
      <c r="AH1626" s="33"/>
      <c r="AI1626" s="33"/>
      <c r="AJ1626" s="33"/>
      <c r="AK1626" s="216"/>
      <c r="AL1626" s="33"/>
      <c r="AM1626" s="33"/>
      <c r="AN1626" s="33"/>
      <c r="AO1626" s="33"/>
      <c r="AP1626" s="33"/>
    </row>
    <row r="1627" spans="1:42" ht="15.75" customHeight="1">
      <c r="A1627" s="33"/>
      <c r="B1627" s="33"/>
      <c r="C1627" s="33"/>
      <c r="D1627" s="33"/>
      <c r="E1627" s="33"/>
      <c r="F1627" s="199"/>
      <c r="G1627" s="33"/>
      <c r="H1627" s="33"/>
      <c r="I1627" s="33"/>
      <c r="J1627" s="33"/>
      <c r="K1627" s="33"/>
      <c r="L1627" s="33"/>
      <c r="M1627" s="33"/>
      <c r="N1627" s="33"/>
      <c r="O1627" s="33"/>
      <c r="P1627" s="33"/>
      <c r="Q1627" s="33"/>
      <c r="R1627" s="33"/>
      <c r="S1627" s="33"/>
      <c r="T1627" s="33"/>
      <c r="U1627" s="33"/>
      <c r="V1627" s="33"/>
      <c r="W1627" s="33"/>
      <c r="X1627" s="33"/>
      <c r="Y1627" s="33"/>
      <c r="Z1627" s="33"/>
      <c r="AA1627" s="33"/>
      <c r="AB1627" s="33"/>
      <c r="AC1627" s="33"/>
      <c r="AD1627" s="33"/>
      <c r="AE1627" s="33"/>
      <c r="AF1627" s="33"/>
      <c r="AG1627" s="33"/>
      <c r="AH1627" s="33"/>
      <c r="AI1627" s="33"/>
      <c r="AJ1627" s="33"/>
      <c r="AK1627" s="216"/>
      <c r="AL1627" s="33"/>
      <c r="AM1627" s="33"/>
      <c r="AN1627" s="33"/>
      <c r="AO1627" s="33"/>
      <c r="AP1627" s="33"/>
    </row>
    <row r="1628" spans="1:42" ht="15.75" customHeight="1">
      <c r="A1628" s="33"/>
      <c r="B1628" s="33"/>
      <c r="C1628" s="33"/>
      <c r="D1628" s="33"/>
      <c r="E1628" s="33"/>
      <c r="F1628" s="199"/>
      <c r="G1628" s="33"/>
      <c r="H1628" s="33"/>
      <c r="I1628" s="33"/>
      <c r="J1628" s="33"/>
      <c r="K1628" s="33"/>
      <c r="L1628" s="33"/>
      <c r="M1628" s="33"/>
      <c r="N1628" s="33"/>
      <c r="O1628" s="33"/>
      <c r="P1628" s="33"/>
      <c r="Q1628" s="33"/>
      <c r="R1628" s="33"/>
      <c r="S1628" s="33"/>
      <c r="T1628" s="33"/>
      <c r="U1628" s="33"/>
      <c r="V1628" s="33"/>
      <c r="W1628" s="33"/>
      <c r="X1628" s="33"/>
      <c r="Y1628" s="33"/>
      <c r="Z1628" s="33"/>
      <c r="AA1628" s="33"/>
      <c r="AB1628" s="33"/>
      <c r="AC1628" s="33"/>
      <c r="AD1628" s="33"/>
      <c r="AE1628" s="33"/>
      <c r="AF1628" s="33"/>
      <c r="AG1628" s="33"/>
      <c r="AH1628" s="33"/>
      <c r="AI1628" s="33"/>
      <c r="AJ1628" s="33"/>
      <c r="AK1628" s="216"/>
      <c r="AL1628" s="33"/>
      <c r="AM1628" s="33"/>
      <c r="AN1628" s="33"/>
      <c r="AO1628" s="33"/>
      <c r="AP1628" s="33"/>
    </row>
    <row r="1629" spans="1:42" ht="15.75" customHeight="1">
      <c r="A1629" s="33"/>
      <c r="B1629" s="33"/>
      <c r="C1629" s="33"/>
      <c r="D1629" s="33"/>
      <c r="E1629" s="33"/>
      <c r="F1629" s="199"/>
      <c r="G1629" s="33"/>
      <c r="H1629" s="33"/>
      <c r="I1629" s="33"/>
      <c r="J1629" s="33"/>
      <c r="K1629" s="33"/>
      <c r="L1629" s="33"/>
      <c r="M1629" s="33"/>
      <c r="N1629" s="33"/>
      <c r="O1629" s="33"/>
      <c r="P1629" s="33"/>
      <c r="Q1629" s="33"/>
      <c r="R1629" s="33"/>
      <c r="S1629" s="33"/>
      <c r="T1629" s="33"/>
      <c r="U1629" s="33"/>
      <c r="V1629" s="33"/>
      <c r="W1629" s="33"/>
      <c r="X1629" s="33"/>
      <c r="Y1629" s="33"/>
      <c r="Z1629" s="33"/>
      <c r="AA1629" s="33"/>
      <c r="AB1629" s="33"/>
      <c r="AC1629" s="33"/>
      <c r="AD1629" s="33"/>
      <c r="AE1629" s="33"/>
      <c r="AF1629" s="33"/>
      <c r="AG1629" s="33"/>
      <c r="AH1629" s="33"/>
      <c r="AI1629" s="33"/>
      <c r="AJ1629" s="33"/>
      <c r="AK1629" s="216"/>
      <c r="AL1629" s="33"/>
      <c r="AM1629" s="33"/>
      <c r="AN1629" s="33"/>
      <c r="AO1629" s="33"/>
      <c r="AP1629" s="33"/>
    </row>
    <row r="1630" spans="1:42" ht="15.75" customHeight="1">
      <c r="A1630" s="33"/>
      <c r="B1630" s="33"/>
      <c r="C1630" s="33"/>
      <c r="D1630" s="33"/>
      <c r="E1630" s="33"/>
      <c r="F1630" s="199"/>
      <c r="G1630" s="33"/>
      <c r="H1630" s="33"/>
      <c r="I1630" s="33"/>
      <c r="J1630" s="33"/>
      <c r="K1630" s="33"/>
      <c r="L1630" s="33"/>
      <c r="M1630" s="33"/>
      <c r="N1630" s="33"/>
      <c r="O1630" s="33"/>
      <c r="P1630" s="33"/>
      <c r="Q1630" s="33"/>
      <c r="R1630" s="33"/>
      <c r="S1630" s="33"/>
      <c r="T1630" s="33"/>
      <c r="U1630" s="33"/>
      <c r="V1630" s="33"/>
      <c r="W1630" s="33"/>
      <c r="X1630" s="33"/>
      <c r="Y1630" s="33"/>
      <c r="Z1630" s="33"/>
      <c r="AA1630" s="33"/>
      <c r="AB1630" s="33"/>
      <c r="AC1630" s="33"/>
      <c r="AD1630" s="33"/>
      <c r="AE1630" s="33"/>
      <c r="AF1630" s="33"/>
      <c r="AG1630" s="33"/>
      <c r="AH1630" s="33"/>
      <c r="AI1630" s="33"/>
      <c r="AJ1630" s="33"/>
      <c r="AK1630" s="216"/>
      <c r="AL1630" s="33"/>
      <c r="AM1630" s="33"/>
      <c r="AN1630" s="33"/>
      <c r="AO1630" s="33"/>
      <c r="AP1630" s="33"/>
    </row>
    <row r="1631" spans="1:42" ht="15.75" customHeight="1">
      <c r="A1631" s="33"/>
      <c r="B1631" s="33"/>
      <c r="C1631" s="33"/>
      <c r="D1631" s="33"/>
      <c r="E1631" s="33"/>
      <c r="F1631" s="199"/>
      <c r="G1631" s="33"/>
      <c r="H1631" s="33"/>
      <c r="I1631" s="33"/>
      <c r="J1631" s="33"/>
      <c r="K1631" s="33"/>
      <c r="L1631" s="33"/>
      <c r="M1631" s="33"/>
      <c r="N1631" s="33"/>
      <c r="O1631" s="33"/>
      <c r="P1631" s="33"/>
      <c r="Q1631" s="33"/>
      <c r="R1631" s="33"/>
      <c r="S1631" s="33"/>
      <c r="T1631" s="33"/>
      <c r="U1631" s="33"/>
      <c r="V1631" s="33"/>
      <c r="W1631" s="33"/>
      <c r="X1631" s="33"/>
      <c r="Y1631" s="33"/>
      <c r="Z1631" s="33"/>
      <c r="AA1631" s="33"/>
      <c r="AB1631" s="33"/>
      <c r="AC1631" s="33"/>
      <c r="AD1631" s="33"/>
      <c r="AE1631" s="33"/>
      <c r="AF1631" s="33"/>
      <c r="AG1631" s="33"/>
      <c r="AH1631" s="33"/>
      <c r="AI1631" s="33"/>
      <c r="AJ1631" s="33"/>
      <c r="AK1631" s="216"/>
      <c r="AL1631" s="33"/>
      <c r="AM1631" s="33"/>
      <c r="AN1631" s="33"/>
      <c r="AO1631" s="33"/>
      <c r="AP1631" s="33"/>
    </row>
    <row r="1632" spans="1:42" ht="15.75" customHeight="1">
      <c r="A1632" s="33"/>
      <c r="B1632" s="33"/>
      <c r="C1632" s="33"/>
      <c r="D1632" s="33"/>
      <c r="E1632" s="33"/>
      <c r="F1632" s="199"/>
      <c r="G1632" s="33"/>
      <c r="H1632" s="33"/>
      <c r="I1632" s="33"/>
      <c r="J1632" s="33"/>
      <c r="K1632" s="33"/>
      <c r="L1632" s="33"/>
      <c r="M1632" s="33"/>
      <c r="N1632" s="33"/>
      <c r="O1632" s="33"/>
      <c r="P1632" s="33"/>
      <c r="Q1632" s="33"/>
      <c r="R1632" s="33"/>
      <c r="S1632" s="33"/>
      <c r="T1632" s="33"/>
      <c r="U1632" s="33"/>
      <c r="V1632" s="33"/>
      <c r="W1632" s="33"/>
      <c r="X1632" s="33"/>
      <c r="Y1632" s="33"/>
      <c r="Z1632" s="33"/>
      <c r="AA1632" s="33"/>
      <c r="AB1632" s="33"/>
      <c r="AC1632" s="33"/>
      <c r="AD1632" s="33"/>
      <c r="AE1632" s="33"/>
      <c r="AF1632" s="33"/>
      <c r="AG1632" s="33"/>
      <c r="AH1632" s="33"/>
      <c r="AI1632" s="33"/>
      <c r="AJ1632" s="33"/>
      <c r="AK1632" s="216"/>
      <c r="AL1632" s="33"/>
      <c r="AM1632" s="33"/>
      <c r="AN1632" s="33"/>
      <c r="AO1632" s="33"/>
      <c r="AP1632" s="33"/>
    </row>
    <row r="1633" spans="1:42" ht="15.75" customHeight="1">
      <c r="A1633" s="33"/>
      <c r="B1633" s="33"/>
      <c r="C1633" s="33"/>
      <c r="D1633" s="33"/>
      <c r="E1633" s="33"/>
      <c r="F1633" s="199"/>
      <c r="G1633" s="33"/>
      <c r="H1633" s="33"/>
      <c r="I1633" s="33"/>
      <c r="J1633" s="33"/>
      <c r="K1633" s="33"/>
      <c r="L1633" s="33"/>
      <c r="M1633" s="33"/>
      <c r="N1633" s="33"/>
      <c r="O1633" s="33"/>
      <c r="P1633" s="33"/>
      <c r="Q1633" s="33"/>
      <c r="R1633" s="33"/>
      <c r="S1633" s="33"/>
      <c r="T1633" s="33"/>
      <c r="U1633" s="33"/>
      <c r="V1633" s="33"/>
      <c r="W1633" s="33"/>
      <c r="X1633" s="33"/>
      <c r="Y1633" s="33"/>
      <c r="Z1633" s="33"/>
      <c r="AA1633" s="33"/>
      <c r="AB1633" s="33"/>
      <c r="AC1633" s="33"/>
      <c r="AD1633" s="33"/>
      <c r="AE1633" s="33"/>
      <c r="AF1633" s="33"/>
      <c r="AG1633" s="33"/>
      <c r="AH1633" s="33"/>
      <c r="AI1633" s="33"/>
      <c r="AJ1633" s="33"/>
      <c r="AK1633" s="216"/>
      <c r="AL1633" s="33"/>
      <c r="AM1633" s="33"/>
      <c r="AN1633" s="33"/>
      <c r="AO1633" s="33"/>
      <c r="AP1633" s="33"/>
    </row>
    <row r="1634" spans="1:42" ht="15.75" customHeight="1">
      <c r="A1634" s="33"/>
      <c r="B1634" s="33"/>
      <c r="C1634" s="33"/>
      <c r="D1634" s="33"/>
      <c r="E1634" s="33"/>
      <c r="F1634" s="199"/>
      <c r="G1634" s="33"/>
      <c r="H1634" s="33"/>
      <c r="I1634" s="33"/>
      <c r="J1634" s="33"/>
      <c r="K1634" s="33"/>
      <c r="L1634" s="33"/>
      <c r="M1634" s="33"/>
      <c r="N1634" s="33"/>
      <c r="O1634" s="33"/>
      <c r="P1634" s="33"/>
      <c r="Q1634" s="33"/>
      <c r="R1634" s="33"/>
      <c r="S1634" s="33"/>
      <c r="T1634" s="33"/>
      <c r="U1634" s="33"/>
      <c r="V1634" s="33"/>
      <c r="W1634" s="33"/>
      <c r="X1634" s="33"/>
      <c r="Y1634" s="33"/>
      <c r="Z1634" s="33"/>
      <c r="AA1634" s="33"/>
      <c r="AB1634" s="33"/>
      <c r="AC1634" s="33"/>
      <c r="AD1634" s="33"/>
      <c r="AE1634" s="33"/>
      <c r="AF1634" s="33"/>
      <c r="AG1634" s="33"/>
      <c r="AH1634" s="33"/>
      <c r="AI1634" s="33"/>
      <c r="AJ1634" s="33"/>
      <c r="AK1634" s="216"/>
      <c r="AL1634" s="33"/>
      <c r="AM1634" s="33"/>
      <c r="AN1634" s="33"/>
      <c r="AO1634" s="33"/>
      <c r="AP1634" s="33"/>
    </row>
    <row r="1635" spans="1:42" ht="15.75" customHeight="1">
      <c r="A1635" s="33"/>
      <c r="B1635" s="33"/>
      <c r="C1635" s="33"/>
      <c r="D1635" s="33"/>
      <c r="E1635" s="33"/>
      <c r="F1635" s="199"/>
      <c r="G1635" s="33"/>
      <c r="H1635" s="33"/>
      <c r="I1635" s="33"/>
      <c r="J1635" s="33"/>
      <c r="K1635" s="33"/>
      <c r="L1635" s="33"/>
      <c r="M1635" s="33"/>
      <c r="N1635" s="33"/>
      <c r="O1635" s="33"/>
      <c r="P1635" s="33"/>
      <c r="Q1635" s="33"/>
      <c r="R1635" s="33"/>
      <c r="S1635" s="33"/>
      <c r="T1635" s="33"/>
      <c r="U1635" s="33"/>
      <c r="V1635" s="33"/>
      <c r="W1635" s="33"/>
      <c r="X1635" s="33"/>
      <c r="Y1635" s="33"/>
      <c r="Z1635" s="33"/>
      <c r="AA1635" s="33"/>
      <c r="AB1635" s="33"/>
      <c r="AC1635" s="33"/>
      <c r="AD1635" s="33"/>
      <c r="AE1635" s="33"/>
      <c r="AF1635" s="33"/>
      <c r="AG1635" s="33"/>
      <c r="AH1635" s="33"/>
      <c r="AI1635" s="33"/>
      <c r="AJ1635" s="33"/>
      <c r="AK1635" s="216"/>
      <c r="AL1635" s="33"/>
      <c r="AM1635" s="33"/>
      <c r="AN1635" s="33"/>
      <c r="AO1635" s="33"/>
      <c r="AP1635" s="33"/>
    </row>
    <row r="1636" spans="1:42" ht="15.75" customHeight="1">
      <c r="A1636" s="33"/>
      <c r="B1636" s="33"/>
      <c r="C1636" s="33"/>
      <c r="D1636" s="33"/>
      <c r="E1636" s="33"/>
      <c r="F1636" s="199"/>
      <c r="G1636" s="33"/>
      <c r="H1636" s="33"/>
      <c r="I1636" s="33"/>
      <c r="J1636" s="33"/>
      <c r="K1636" s="33"/>
      <c r="L1636" s="33"/>
      <c r="M1636" s="33"/>
      <c r="N1636" s="33"/>
      <c r="O1636" s="33"/>
      <c r="P1636" s="33"/>
      <c r="Q1636" s="33"/>
      <c r="R1636" s="33"/>
      <c r="S1636" s="33"/>
      <c r="T1636" s="33"/>
      <c r="U1636" s="33"/>
      <c r="V1636" s="33"/>
      <c r="W1636" s="33"/>
      <c r="X1636" s="33"/>
      <c r="Y1636" s="33"/>
      <c r="Z1636" s="33"/>
      <c r="AA1636" s="33"/>
      <c r="AB1636" s="33"/>
      <c r="AC1636" s="33"/>
      <c r="AD1636" s="33"/>
      <c r="AE1636" s="33"/>
      <c r="AF1636" s="33"/>
      <c r="AG1636" s="33"/>
      <c r="AH1636" s="33"/>
      <c r="AI1636" s="33"/>
      <c r="AJ1636" s="33"/>
      <c r="AK1636" s="216"/>
      <c r="AL1636" s="33"/>
      <c r="AM1636" s="33"/>
      <c r="AN1636" s="33"/>
      <c r="AO1636" s="33"/>
      <c r="AP1636" s="33"/>
    </row>
    <row r="1637" spans="1:42" ht="15.75" customHeight="1">
      <c r="A1637" s="33"/>
      <c r="B1637" s="33"/>
      <c r="C1637" s="33"/>
      <c r="D1637" s="33"/>
      <c r="E1637" s="33"/>
      <c r="F1637" s="199"/>
      <c r="G1637" s="33"/>
      <c r="H1637" s="33"/>
      <c r="I1637" s="33"/>
      <c r="J1637" s="33"/>
      <c r="K1637" s="33"/>
      <c r="L1637" s="33"/>
      <c r="M1637" s="33"/>
      <c r="N1637" s="33"/>
      <c r="O1637" s="33"/>
      <c r="P1637" s="33"/>
      <c r="Q1637" s="33"/>
      <c r="R1637" s="33"/>
      <c r="S1637" s="33"/>
      <c r="T1637" s="33"/>
      <c r="U1637" s="33"/>
      <c r="V1637" s="33"/>
      <c r="W1637" s="33"/>
      <c r="X1637" s="33"/>
      <c r="Y1637" s="33"/>
      <c r="Z1637" s="33"/>
      <c r="AA1637" s="33"/>
      <c r="AB1637" s="33"/>
      <c r="AC1637" s="33"/>
      <c r="AD1637" s="33"/>
      <c r="AE1637" s="33"/>
      <c r="AF1637" s="33"/>
      <c r="AG1637" s="33"/>
      <c r="AH1637" s="33"/>
      <c r="AI1637" s="33"/>
      <c r="AJ1637" s="33"/>
      <c r="AK1637" s="216"/>
      <c r="AL1637" s="33"/>
      <c r="AM1637" s="33"/>
      <c r="AN1637" s="33"/>
      <c r="AO1637" s="33"/>
      <c r="AP1637" s="33"/>
    </row>
    <row r="1638" spans="1:42" ht="15.75" customHeight="1">
      <c r="A1638" s="33"/>
      <c r="B1638" s="33"/>
      <c r="C1638" s="33"/>
      <c r="D1638" s="33"/>
      <c r="E1638" s="33"/>
      <c r="F1638" s="199"/>
      <c r="G1638" s="33"/>
      <c r="H1638" s="33"/>
      <c r="I1638" s="33"/>
      <c r="J1638" s="33"/>
      <c r="K1638" s="33"/>
      <c r="L1638" s="33"/>
      <c r="M1638" s="33"/>
      <c r="N1638" s="33"/>
      <c r="O1638" s="33"/>
      <c r="P1638" s="33"/>
      <c r="Q1638" s="33"/>
      <c r="R1638" s="33"/>
      <c r="S1638" s="33"/>
      <c r="T1638" s="33"/>
      <c r="U1638" s="33"/>
      <c r="V1638" s="33"/>
      <c r="W1638" s="33"/>
      <c r="X1638" s="33"/>
      <c r="Y1638" s="33"/>
      <c r="Z1638" s="33"/>
      <c r="AA1638" s="33"/>
      <c r="AB1638" s="33"/>
      <c r="AC1638" s="33"/>
      <c r="AD1638" s="33"/>
      <c r="AE1638" s="33"/>
      <c r="AF1638" s="33"/>
      <c r="AG1638" s="33"/>
      <c r="AH1638" s="33"/>
      <c r="AI1638" s="33"/>
      <c r="AJ1638" s="33"/>
      <c r="AK1638" s="216"/>
      <c r="AL1638" s="33"/>
      <c r="AM1638" s="33"/>
      <c r="AN1638" s="33"/>
      <c r="AO1638" s="33"/>
      <c r="AP1638" s="33"/>
    </row>
    <row r="1639" spans="1:42" ht="15.75" customHeight="1">
      <c r="A1639" s="33"/>
      <c r="B1639" s="33"/>
      <c r="C1639" s="33"/>
      <c r="D1639" s="33"/>
      <c r="E1639" s="33"/>
      <c r="F1639" s="199"/>
      <c r="G1639" s="33"/>
      <c r="H1639" s="33"/>
      <c r="I1639" s="33"/>
      <c r="J1639" s="33"/>
      <c r="K1639" s="33"/>
      <c r="L1639" s="33"/>
      <c r="M1639" s="33"/>
      <c r="N1639" s="33"/>
      <c r="O1639" s="33"/>
      <c r="P1639" s="33"/>
      <c r="Q1639" s="33"/>
      <c r="R1639" s="33"/>
      <c r="S1639" s="33"/>
      <c r="T1639" s="33"/>
      <c r="U1639" s="33"/>
      <c r="V1639" s="33"/>
      <c r="W1639" s="33"/>
      <c r="X1639" s="33"/>
      <c r="Y1639" s="33"/>
      <c r="Z1639" s="33"/>
      <c r="AA1639" s="33"/>
      <c r="AB1639" s="33"/>
      <c r="AC1639" s="33"/>
      <c r="AD1639" s="33"/>
      <c r="AE1639" s="33"/>
      <c r="AF1639" s="33"/>
      <c r="AG1639" s="33"/>
      <c r="AH1639" s="33"/>
      <c r="AI1639" s="33"/>
      <c r="AJ1639" s="33"/>
      <c r="AK1639" s="216"/>
      <c r="AL1639" s="33"/>
      <c r="AM1639" s="33"/>
      <c r="AN1639" s="33"/>
      <c r="AO1639" s="33"/>
      <c r="AP1639" s="33"/>
    </row>
    <row r="1640" spans="1:42" ht="15.75" customHeight="1">
      <c r="A1640" s="33"/>
      <c r="B1640" s="33"/>
      <c r="C1640" s="33"/>
      <c r="D1640" s="33"/>
      <c r="E1640" s="33"/>
      <c r="F1640" s="199"/>
      <c r="G1640" s="33"/>
      <c r="H1640" s="33"/>
      <c r="I1640" s="33"/>
      <c r="J1640" s="33"/>
      <c r="K1640" s="33"/>
      <c r="L1640" s="33"/>
      <c r="M1640" s="33"/>
      <c r="N1640" s="33"/>
      <c r="O1640" s="33"/>
      <c r="P1640" s="33"/>
      <c r="Q1640" s="33"/>
      <c r="R1640" s="33"/>
      <c r="S1640" s="33"/>
      <c r="T1640" s="33"/>
      <c r="U1640" s="33"/>
      <c r="V1640" s="33"/>
      <c r="W1640" s="33"/>
      <c r="X1640" s="33"/>
      <c r="Y1640" s="33"/>
      <c r="Z1640" s="33"/>
      <c r="AA1640" s="33"/>
      <c r="AB1640" s="33"/>
      <c r="AC1640" s="33"/>
      <c r="AD1640" s="33"/>
      <c r="AE1640" s="33"/>
      <c r="AF1640" s="33"/>
      <c r="AG1640" s="33"/>
      <c r="AH1640" s="33"/>
      <c r="AI1640" s="33"/>
      <c r="AJ1640" s="33"/>
      <c r="AK1640" s="216"/>
      <c r="AL1640" s="33"/>
      <c r="AM1640" s="33"/>
      <c r="AN1640" s="33"/>
      <c r="AO1640" s="33"/>
      <c r="AP1640" s="33"/>
    </row>
    <row r="1641" spans="1:42" ht="15.75" customHeight="1">
      <c r="A1641" s="33"/>
      <c r="B1641" s="33"/>
      <c r="C1641" s="33"/>
      <c r="D1641" s="33"/>
      <c r="E1641" s="33"/>
      <c r="F1641" s="199"/>
      <c r="G1641" s="33"/>
      <c r="H1641" s="33"/>
      <c r="I1641" s="33"/>
      <c r="J1641" s="33"/>
      <c r="K1641" s="33"/>
      <c r="L1641" s="33"/>
      <c r="M1641" s="33"/>
      <c r="N1641" s="33"/>
      <c r="O1641" s="33"/>
      <c r="P1641" s="33"/>
      <c r="Q1641" s="33"/>
      <c r="R1641" s="33"/>
      <c r="S1641" s="33"/>
      <c r="T1641" s="33"/>
      <c r="U1641" s="33"/>
      <c r="V1641" s="33"/>
      <c r="W1641" s="33"/>
      <c r="X1641" s="33"/>
      <c r="Y1641" s="33"/>
      <c r="Z1641" s="33"/>
      <c r="AA1641" s="33"/>
      <c r="AB1641" s="33"/>
      <c r="AC1641" s="33"/>
      <c r="AD1641" s="33"/>
      <c r="AE1641" s="33"/>
      <c r="AF1641" s="33"/>
      <c r="AG1641" s="33"/>
      <c r="AH1641" s="33"/>
      <c r="AI1641" s="33"/>
      <c r="AJ1641" s="33"/>
      <c r="AK1641" s="216"/>
      <c r="AL1641" s="33"/>
      <c r="AM1641" s="33"/>
      <c r="AN1641" s="33"/>
      <c r="AO1641" s="33"/>
      <c r="AP1641" s="33"/>
    </row>
    <row r="1642" spans="1:42" ht="15.75" customHeight="1">
      <c r="A1642" s="33"/>
      <c r="B1642" s="33"/>
      <c r="C1642" s="33"/>
      <c r="D1642" s="33"/>
      <c r="E1642" s="33"/>
      <c r="F1642" s="199"/>
      <c r="G1642" s="33"/>
      <c r="H1642" s="33"/>
      <c r="I1642" s="33"/>
      <c r="J1642" s="33"/>
      <c r="K1642" s="33"/>
      <c r="L1642" s="33"/>
      <c r="M1642" s="33"/>
      <c r="N1642" s="33"/>
      <c r="O1642" s="33"/>
      <c r="P1642" s="33"/>
      <c r="Q1642" s="33"/>
      <c r="R1642" s="33"/>
      <c r="S1642" s="33"/>
      <c r="T1642" s="33"/>
      <c r="U1642" s="33"/>
      <c r="V1642" s="33"/>
      <c r="W1642" s="33"/>
      <c r="X1642" s="33"/>
      <c r="Y1642" s="33"/>
      <c r="Z1642" s="33"/>
      <c r="AA1642" s="33"/>
      <c r="AB1642" s="33"/>
      <c r="AC1642" s="33"/>
      <c r="AD1642" s="33"/>
      <c r="AE1642" s="33"/>
      <c r="AF1642" s="33"/>
      <c r="AG1642" s="33"/>
      <c r="AH1642" s="33"/>
      <c r="AI1642" s="33"/>
      <c r="AJ1642" s="33"/>
      <c r="AK1642" s="216"/>
      <c r="AL1642" s="33"/>
      <c r="AM1642" s="33"/>
      <c r="AN1642" s="33"/>
      <c r="AO1642" s="33"/>
      <c r="AP1642" s="33"/>
    </row>
    <row r="1643" spans="1:42" ht="15.75" customHeight="1">
      <c r="A1643" s="33"/>
      <c r="B1643" s="33"/>
      <c r="C1643" s="33"/>
      <c r="D1643" s="33"/>
      <c r="E1643" s="33"/>
      <c r="F1643" s="199"/>
      <c r="G1643" s="33"/>
      <c r="H1643" s="33"/>
      <c r="I1643" s="33"/>
      <c r="J1643" s="33"/>
      <c r="K1643" s="33"/>
      <c r="L1643" s="33"/>
      <c r="M1643" s="33"/>
      <c r="N1643" s="33"/>
      <c r="O1643" s="33"/>
      <c r="P1643" s="33"/>
      <c r="Q1643" s="33"/>
      <c r="R1643" s="33"/>
      <c r="S1643" s="33"/>
      <c r="T1643" s="33"/>
      <c r="U1643" s="33"/>
      <c r="V1643" s="33"/>
      <c r="W1643" s="33"/>
      <c r="X1643" s="33"/>
      <c r="Y1643" s="33"/>
      <c r="Z1643" s="33"/>
      <c r="AA1643" s="33"/>
      <c r="AB1643" s="33"/>
      <c r="AC1643" s="33"/>
      <c r="AD1643" s="33"/>
      <c r="AE1643" s="33"/>
      <c r="AF1643" s="33"/>
      <c r="AG1643" s="33"/>
      <c r="AH1643" s="33"/>
      <c r="AI1643" s="33"/>
      <c r="AJ1643" s="33"/>
      <c r="AK1643" s="216"/>
      <c r="AL1643" s="33"/>
      <c r="AM1643" s="33"/>
      <c r="AN1643" s="33"/>
      <c r="AO1643" s="33"/>
      <c r="AP1643" s="33"/>
    </row>
    <row r="1644" spans="1:42" ht="15.75" customHeight="1">
      <c r="A1644" s="33"/>
      <c r="B1644" s="33"/>
      <c r="C1644" s="33"/>
      <c r="D1644" s="33"/>
      <c r="E1644" s="33"/>
      <c r="F1644" s="199"/>
      <c r="G1644" s="33"/>
      <c r="H1644" s="33"/>
      <c r="I1644" s="33"/>
      <c r="J1644" s="33"/>
      <c r="K1644" s="33"/>
      <c r="L1644" s="33"/>
      <c r="M1644" s="33"/>
      <c r="N1644" s="33"/>
      <c r="O1644" s="33"/>
      <c r="P1644" s="33"/>
      <c r="Q1644" s="33"/>
      <c r="R1644" s="33"/>
      <c r="S1644" s="33"/>
      <c r="T1644" s="33"/>
      <c r="U1644" s="33"/>
      <c r="V1644" s="33"/>
      <c r="W1644" s="33"/>
      <c r="X1644" s="33"/>
      <c r="Y1644" s="33"/>
      <c r="Z1644" s="33"/>
      <c r="AA1644" s="33"/>
      <c r="AB1644" s="33"/>
      <c r="AC1644" s="33"/>
      <c r="AD1644" s="33"/>
      <c r="AE1644" s="33"/>
      <c r="AF1644" s="33"/>
      <c r="AG1644" s="33"/>
      <c r="AH1644" s="33"/>
      <c r="AI1644" s="33"/>
      <c r="AJ1644" s="33"/>
      <c r="AK1644" s="216"/>
      <c r="AL1644" s="33"/>
      <c r="AM1644" s="33"/>
      <c r="AN1644" s="33"/>
      <c r="AO1644" s="33"/>
      <c r="AP1644" s="33"/>
    </row>
    <row r="1645" spans="1:42" ht="15.75" customHeight="1">
      <c r="A1645" s="33"/>
      <c r="B1645" s="33"/>
      <c r="C1645" s="33"/>
      <c r="D1645" s="33"/>
      <c r="E1645" s="33"/>
      <c r="F1645" s="199"/>
      <c r="G1645" s="33"/>
      <c r="H1645" s="33"/>
      <c r="I1645" s="33"/>
      <c r="J1645" s="33"/>
      <c r="K1645" s="33"/>
      <c r="L1645" s="33"/>
      <c r="M1645" s="33"/>
      <c r="N1645" s="33"/>
      <c r="O1645" s="33"/>
      <c r="P1645" s="33"/>
      <c r="Q1645" s="33"/>
      <c r="R1645" s="33"/>
      <c r="S1645" s="33"/>
      <c r="T1645" s="33"/>
      <c r="U1645" s="33"/>
      <c r="V1645" s="33"/>
      <c r="W1645" s="33"/>
      <c r="X1645" s="33"/>
      <c r="Y1645" s="33"/>
      <c r="Z1645" s="33"/>
      <c r="AA1645" s="33"/>
      <c r="AB1645" s="33"/>
      <c r="AC1645" s="33"/>
      <c r="AD1645" s="33"/>
      <c r="AE1645" s="33"/>
      <c r="AF1645" s="33"/>
      <c r="AG1645" s="33"/>
      <c r="AH1645" s="33"/>
      <c r="AI1645" s="33"/>
      <c r="AJ1645" s="33"/>
      <c r="AK1645" s="216"/>
      <c r="AL1645" s="33"/>
      <c r="AM1645" s="33"/>
      <c r="AN1645" s="33"/>
      <c r="AO1645" s="33"/>
      <c r="AP1645" s="33"/>
    </row>
    <row r="1646" spans="1:42" ht="15.75" customHeight="1">
      <c r="A1646" s="33"/>
      <c r="B1646" s="33"/>
      <c r="C1646" s="33"/>
      <c r="D1646" s="33"/>
      <c r="E1646" s="33"/>
      <c r="F1646" s="199"/>
      <c r="G1646" s="33"/>
      <c r="H1646" s="33"/>
      <c r="I1646" s="33"/>
      <c r="J1646" s="33"/>
      <c r="K1646" s="33"/>
      <c r="L1646" s="33"/>
      <c r="M1646" s="33"/>
      <c r="N1646" s="33"/>
      <c r="O1646" s="33"/>
      <c r="P1646" s="33"/>
      <c r="Q1646" s="33"/>
      <c r="R1646" s="33"/>
      <c r="S1646" s="33"/>
      <c r="T1646" s="33"/>
      <c r="U1646" s="33"/>
      <c r="V1646" s="33"/>
      <c r="W1646" s="33"/>
      <c r="X1646" s="33"/>
      <c r="Y1646" s="33"/>
      <c r="Z1646" s="33"/>
      <c r="AA1646" s="33"/>
      <c r="AB1646" s="33"/>
      <c r="AC1646" s="33"/>
      <c r="AD1646" s="33"/>
      <c r="AE1646" s="33"/>
      <c r="AF1646" s="33"/>
      <c r="AG1646" s="33"/>
      <c r="AH1646" s="33"/>
      <c r="AI1646" s="33"/>
      <c r="AJ1646" s="33"/>
      <c r="AK1646" s="216"/>
      <c r="AL1646" s="33"/>
      <c r="AM1646" s="33"/>
      <c r="AN1646" s="33"/>
      <c r="AO1646" s="33"/>
      <c r="AP1646" s="33"/>
    </row>
    <row r="1647" spans="1:42" ht="15.75" customHeight="1">
      <c r="A1647" s="33"/>
      <c r="B1647" s="33"/>
      <c r="C1647" s="33"/>
      <c r="D1647" s="33"/>
      <c r="E1647" s="33"/>
      <c r="F1647" s="199"/>
      <c r="G1647" s="33"/>
      <c r="H1647" s="33"/>
      <c r="I1647" s="33"/>
      <c r="J1647" s="33"/>
      <c r="K1647" s="33"/>
      <c r="L1647" s="33"/>
      <c r="M1647" s="33"/>
      <c r="N1647" s="33"/>
      <c r="O1647" s="33"/>
      <c r="P1647" s="33"/>
      <c r="Q1647" s="33"/>
      <c r="R1647" s="33"/>
      <c r="S1647" s="33"/>
      <c r="T1647" s="33"/>
      <c r="U1647" s="33"/>
      <c r="V1647" s="33"/>
      <c r="W1647" s="33"/>
      <c r="X1647" s="33"/>
      <c r="Y1647" s="33"/>
      <c r="Z1647" s="33"/>
      <c r="AA1647" s="33"/>
      <c r="AB1647" s="33"/>
      <c r="AC1647" s="33"/>
      <c r="AD1647" s="33"/>
      <c r="AE1647" s="33"/>
      <c r="AF1647" s="33"/>
      <c r="AG1647" s="33"/>
      <c r="AH1647" s="33"/>
      <c r="AI1647" s="33"/>
      <c r="AJ1647" s="33"/>
      <c r="AK1647" s="216"/>
      <c r="AL1647" s="33"/>
      <c r="AM1647" s="33"/>
      <c r="AN1647" s="33"/>
      <c r="AO1647" s="33"/>
      <c r="AP1647" s="33"/>
    </row>
    <row r="1648" spans="1:42" ht="15.75" customHeight="1">
      <c r="A1648" s="33"/>
      <c r="B1648" s="33"/>
      <c r="C1648" s="33"/>
      <c r="D1648" s="33"/>
      <c r="E1648" s="33"/>
      <c r="F1648" s="199"/>
      <c r="G1648" s="33"/>
      <c r="H1648" s="33"/>
      <c r="I1648" s="33"/>
      <c r="J1648" s="33"/>
      <c r="K1648" s="33"/>
      <c r="L1648" s="33"/>
      <c r="M1648" s="33"/>
      <c r="N1648" s="33"/>
      <c r="O1648" s="33"/>
      <c r="P1648" s="33"/>
      <c r="Q1648" s="33"/>
      <c r="R1648" s="33"/>
      <c r="S1648" s="33"/>
      <c r="T1648" s="33"/>
      <c r="U1648" s="33"/>
      <c r="V1648" s="33"/>
      <c r="W1648" s="33"/>
      <c r="X1648" s="33"/>
      <c r="Y1648" s="33"/>
      <c r="Z1648" s="33"/>
      <c r="AA1648" s="33"/>
      <c r="AB1648" s="33"/>
      <c r="AC1648" s="33"/>
      <c r="AD1648" s="33"/>
      <c r="AE1648" s="33"/>
      <c r="AF1648" s="33"/>
      <c r="AG1648" s="33"/>
      <c r="AH1648" s="33"/>
      <c r="AI1648" s="33"/>
      <c r="AJ1648" s="33"/>
      <c r="AK1648" s="216"/>
      <c r="AL1648" s="33"/>
      <c r="AM1648" s="33"/>
      <c r="AN1648" s="33"/>
      <c r="AO1648" s="33"/>
      <c r="AP1648" s="33"/>
    </row>
    <row r="1649" spans="1:42" ht="15.75" customHeight="1">
      <c r="A1649" s="33"/>
      <c r="B1649" s="33"/>
      <c r="C1649" s="33"/>
      <c r="D1649" s="33"/>
      <c r="E1649" s="33"/>
      <c r="F1649" s="199"/>
      <c r="G1649" s="33"/>
      <c r="H1649" s="33"/>
      <c r="I1649" s="33"/>
      <c r="J1649" s="33"/>
      <c r="K1649" s="33"/>
      <c r="L1649" s="33"/>
      <c r="M1649" s="33"/>
      <c r="N1649" s="33"/>
      <c r="O1649" s="33"/>
      <c r="P1649" s="33"/>
      <c r="Q1649" s="33"/>
      <c r="R1649" s="33"/>
      <c r="S1649" s="33"/>
      <c r="T1649" s="33"/>
      <c r="U1649" s="33"/>
      <c r="V1649" s="33"/>
      <c r="W1649" s="33"/>
      <c r="X1649" s="33"/>
      <c r="Y1649" s="33"/>
      <c r="Z1649" s="33"/>
      <c r="AA1649" s="33"/>
      <c r="AB1649" s="33"/>
      <c r="AC1649" s="33"/>
      <c r="AD1649" s="33"/>
      <c r="AE1649" s="33"/>
      <c r="AF1649" s="33"/>
      <c r="AG1649" s="33"/>
      <c r="AH1649" s="33"/>
      <c r="AI1649" s="33"/>
      <c r="AJ1649" s="33"/>
      <c r="AK1649" s="216"/>
      <c r="AL1649" s="33"/>
      <c r="AM1649" s="33"/>
      <c r="AN1649" s="33"/>
      <c r="AO1649" s="33"/>
      <c r="AP1649" s="33"/>
    </row>
    <row r="1650" spans="1:42" ht="15.75" customHeight="1">
      <c r="A1650" s="33"/>
      <c r="B1650" s="33"/>
      <c r="C1650" s="33"/>
      <c r="D1650" s="33"/>
      <c r="E1650" s="33"/>
      <c r="F1650" s="199"/>
      <c r="G1650" s="33"/>
      <c r="H1650" s="33"/>
      <c r="I1650" s="33"/>
      <c r="J1650" s="33"/>
      <c r="K1650" s="33"/>
      <c r="L1650" s="33"/>
      <c r="M1650" s="33"/>
      <c r="N1650" s="33"/>
      <c r="O1650" s="33"/>
      <c r="P1650" s="33"/>
      <c r="Q1650" s="33"/>
      <c r="R1650" s="33"/>
      <c r="S1650" s="33"/>
      <c r="T1650" s="33"/>
      <c r="U1650" s="33"/>
      <c r="V1650" s="33"/>
      <c r="W1650" s="33"/>
      <c r="X1650" s="33"/>
      <c r="Y1650" s="33"/>
      <c r="Z1650" s="33"/>
      <c r="AA1650" s="33"/>
      <c r="AB1650" s="33"/>
      <c r="AC1650" s="33"/>
      <c r="AD1650" s="33"/>
      <c r="AE1650" s="33"/>
      <c r="AF1650" s="33"/>
      <c r="AG1650" s="33"/>
      <c r="AH1650" s="33"/>
      <c r="AI1650" s="33"/>
      <c r="AJ1650" s="33"/>
      <c r="AK1650" s="216"/>
      <c r="AL1650" s="33"/>
      <c r="AM1650" s="33"/>
      <c r="AN1650" s="33"/>
      <c r="AO1650" s="33"/>
      <c r="AP1650" s="33"/>
    </row>
    <row r="1651" spans="1:42" ht="15.75" customHeight="1">
      <c r="A1651" s="33"/>
      <c r="B1651" s="33"/>
      <c r="C1651" s="33"/>
      <c r="D1651" s="33"/>
      <c r="E1651" s="33"/>
      <c r="F1651" s="199"/>
      <c r="G1651" s="33"/>
      <c r="H1651" s="33"/>
      <c r="I1651" s="33"/>
      <c r="J1651" s="33"/>
      <c r="K1651" s="33"/>
      <c r="L1651" s="33"/>
      <c r="M1651" s="33"/>
      <c r="N1651" s="33"/>
      <c r="O1651" s="33"/>
      <c r="P1651" s="33"/>
      <c r="Q1651" s="33"/>
      <c r="R1651" s="33"/>
      <c r="S1651" s="33"/>
      <c r="T1651" s="33"/>
      <c r="U1651" s="33"/>
      <c r="V1651" s="33"/>
      <c r="W1651" s="33"/>
      <c r="X1651" s="33"/>
      <c r="Y1651" s="33"/>
      <c r="Z1651" s="33"/>
      <c r="AA1651" s="33"/>
      <c r="AB1651" s="33"/>
      <c r="AC1651" s="33"/>
      <c r="AD1651" s="33"/>
      <c r="AE1651" s="33"/>
      <c r="AF1651" s="33"/>
      <c r="AG1651" s="33"/>
      <c r="AH1651" s="33"/>
      <c r="AI1651" s="33"/>
      <c r="AJ1651" s="33"/>
      <c r="AK1651" s="216"/>
      <c r="AL1651" s="33"/>
      <c r="AM1651" s="33"/>
      <c r="AN1651" s="33"/>
      <c r="AO1651" s="33"/>
      <c r="AP1651" s="33"/>
    </row>
    <row r="1652" spans="1:42" ht="15.75" customHeight="1">
      <c r="A1652" s="33"/>
      <c r="B1652" s="33"/>
      <c r="C1652" s="33"/>
      <c r="D1652" s="33"/>
      <c r="E1652" s="33"/>
      <c r="F1652" s="199"/>
      <c r="G1652" s="33"/>
      <c r="H1652" s="33"/>
      <c r="I1652" s="33"/>
      <c r="J1652" s="33"/>
      <c r="K1652" s="33"/>
      <c r="L1652" s="33"/>
      <c r="M1652" s="33"/>
      <c r="N1652" s="33"/>
      <c r="O1652" s="33"/>
      <c r="P1652" s="33"/>
      <c r="Q1652" s="33"/>
      <c r="R1652" s="33"/>
      <c r="S1652" s="33"/>
      <c r="T1652" s="33"/>
      <c r="U1652" s="33"/>
      <c r="V1652" s="33"/>
      <c r="W1652" s="33"/>
      <c r="X1652" s="33"/>
      <c r="Y1652" s="33"/>
      <c r="Z1652" s="33"/>
      <c r="AA1652" s="33"/>
      <c r="AB1652" s="33"/>
      <c r="AC1652" s="33"/>
      <c r="AD1652" s="33"/>
      <c r="AE1652" s="33"/>
      <c r="AF1652" s="33"/>
      <c r="AG1652" s="33"/>
      <c r="AH1652" s="33"/>
      <c r="AI1652" s="33"/>
      <c r="AJ1652" s="33"/>
      <c r="AK1652" s="216"/>
      <c r="AL1652" s="33"/>
      <c r="AM1652" s="33"/>
      <c r="AN1652" s="33"/>
      <c r="AO1652" s="33"/>
      <c r="AP1652" s="33"/>
    </row>
    <row r="1653" spans="1:42" ht="15.75" customHeight="1">
      <c r="A1653" s="33"/>
      <c r="B1653" s="33"/>
      <c r="C1653" s="33"/>
      <c r="D1653" s="33"/>
      <c r="E1653" s="33"/>
      <c r="F1653" s="199"/>
      <c r="G1653" s="33"/>
      <c r="H1653" s="33"/>
      <c r="I1653" s="33"/>
      <c r="J1653" s="33"/>
      <c r="K1653" s="33"/>
      <c r="L1653" s="33"/>
      <c r="M1653" s="33"/>
      <c r="N1653" s="33"/>
      <c r="O1653" s="33"/>
      <c r="P1653" s="33"/>
      <c r="Q1653" s="33"/>
      <c r="R1653" s="33"/>
      <c r="S1653" s="33"/>
      <c r="T1653" s="33"/>
      <c r="U1653" s="33"/>
      <c r="V1653" s="33"/>
      <c r="W1653" s="33"/>
      <c r="X1653" s="33"/>
      <c r="Y1653" s="33"/>
      <c r="Z1653" s="33"/>
      <c r="AA1653" s="33"/>
      <c r="AB1653" s="33"/>
      <c r="AC1653" s="33"/>
      <c r="AD1653" s="33"/>
      <c r="AE1653" s="33"/>
      <c r="AF1653" s="33"/>
      <c r="AG1653" s="33"/>
      <c r="AH1653" s="33"/>
      <c r="AI1653" s="33"/>
      <c r="AJ1653" s="33"/>
      <c r="AK1653" s="216"/>
      <c r="AL1653" s="33"/>
      <c r="AM1653" s="33"/>
      <c r="AN1653" s="33"/>
      <c r="AO1653" s="33"/>
      <c r="AP1653" s="33"/>
    </row>
    <row r="1654" spans="1:42" ht="15.75" customHeight="1">
      <c r="A1654" s="33"/>
      <c r="B1654" s="33"/>
      <c r="C1654" s="33"/>
      <c r="D1654" s="33"/>
      <c r="E1654" s="33"/>
      <c r="F1654" s="199"/>
      <c r="G1654" s="33"/>
      <c r="H1654" s="33"/>
      <c r="I1654" s="33"/>
      <c r="J1654" s="33"/>
      <c r="K1654" s="33"/>
      <c r="L1654" s="33"/>
      <c r="M1654" s="33"/>
      <c r="N1654" s="33"/>
      <c r="O1654" s="33"/>
      <c r="P1654" s="33"/>
      <c r="Q1654" s="33"/>
      <c r="R1654" s="33"/>
      <c r="S1654" s="33"/>
      <c r="T1654" s="33"/>
      <c r="U1654" s="33"/>
      <c r="V1654" s="33"/>
      <c r="W1654" s="33"/>
      <c r="X1654" s="33"/>
      <c r="Y1654" s="33"/>
      <c r="Z1654" s="33"/>
      <c r="AA1654" s="33"/>
      <c r="AB1654" s="33"/>
      <c r="AC1654" s="33"/>
      <c r="AD1654" s="33"/>
      <c r="AE1654" s="33"/>
      <c r="AF1654" s="33"/>
      <c r="AG1654" s="33"/>
      <c r="AH1654" s="33"/>
      <c r="AI1654" s="33"/>
      <c r="AJ1654" s="33"/>
      <c r="AK1654" s="216"/>
      <c r="AL1654" s="33"/>
      <c r="AM1654" s="33"/>
      <c r="AN1654" s="33"/>
      <c r="AO1654" s="33"/>
      <c r="AP1654" s="33"/>
    </row>
    <row r="1655" spans="1:42" ht="15.75" customHeight="1">
      <c r="A1655" s="33"/>
      <c r="B1655" s="33"/>
      <c r="C1655" s="33"/>
      <c r="D1655" s="33"/>
      <c r="E1655" s="33"/>
      <c r="F1655" s="199"/>
      <c r="G1655" s="33"/>
      <c r="H1655" s="33"/>
      <c r="I1655" s="33"/>
      <c r="J1655" s="33"/>
      <c r="K1655" s="33"/>
      <c r="L1655" s="33"/>
      <c r="M1655" s="33"/>
      <c r="N1655" s="33"/>
      <c r="O1655" s="33"/>
      <c r="P1655" s="33"/>
      <c r="Q1655" s="33"/>
      <c r="R1655" s="33"/>
      <c r="S1655" s="33"/>
      <c r="T1655" s="33"/>
      <c r="U1655" s="33"/>
      <c r="V1655" s="33"/>
      <c r="W1655" s="33"/>
      <c r="X1655" s="33"/>
      <c r="Y1655" s="33"/>
      <c r="Z1655" s="33"/>
      <c r="AA1655" s="33"/>
      <c r="AB1655" s="33"/>
      <c r="AC1655" s="33"/>
      <c r="AD1655" s="33"/>
      <c r="AE1655" s="33"/>
      <c r="AF1655" s="33"/>
      <c r="AG1655" s="33"/>
      <c r="AH1655" s="33"/>
      <c r="AI1655" s="33"/>
      <c r="AJ1655" s="33"/>
      <c r="AK1655" s="216"/>
      <c r="AL1655" s="33"/>
      <c r="AM1655" s="33"/>
      <c r="AN1655" s="33"/>
      <c r="AO1655" s="33"/>
      <c r="AP1655" s="33"/>
    </row>
    <row r="1656" spans="1:42" ht="15.75" customHeight="1">
      <c r="A1656" s="33"/>
      <c r="B1656" s="33"/>
      <c r="C1656" s="33"/>
      <c r="D1656" s="33"/>
      <c r="E1656" s="33"/>
      <c r="F1656" s="199"/>
      <c r="G1656" s="33"/>
      <c r="H1656" s="33"/>
      <c r="I1656" s="33"/>
      <c r="J1656" s="33"/>
      <c r="K1656" s="33"/>
      <c r="L1656" s="33"/>
      <c r="M1656" s="33"/>
      <c r="N1656" s="33"/>
      <c r="O1656" s="33"/>
      <c r="P1656" s="33"/>
      <c r="Q1656" s="33"/>
      <c r="R1656" s="33"/>
      <c r="S1656" s="33"/>
      <c r="T1656" s="33"/>
      <c r="U1656" s="33"/>
      <c r="V1656" s="33"/>
      <c r="W1656" s="33"/>
      <c r="X1656" s="33"/>
      <c r="Y1656" s="33"/>
      <c r="Z1656" s="33"/>
      <c r="AA1656" s="33"/>
      <c r="AB1656" s="33"/>
      <c r="AC1656" s="33"/>
      <c r="AD1656" s="33"/>
      <c r="AE1656" s="33"/>
      <c r="AF1656" s="33"/>
      <c r="AG1656" s="33"/>
      <c r="AH1656" s="33"/>
      <c r="AI1656" s="33"/>
      <c r="AJ1656" s="33"/>
      <c r="AK1656" s="216"/>
      <c r="AL1656" s="33"/>
      <c r="AM1656" s="33"/>
      <c r="AN1656" s="33"/>
      <c r="AO1656" s="33"/>
      <c r="AP1656" s="33"/>
    </row>
    <row r="1657" spans="1:42" ht="15.75" customHeight="1">
      <c r="A1657" s="33"/>
      <c r="B1657" s="33"/>
      <c r="C1657" s="33"/>
      <c r="D1657" s="33"/>
      <c r="E1657" s="33"/>
      <c r="F1657" s="199"/>
      <c r="G1657" s="33"/>
      <c r="H1657" s="33"/>
      <c r="I1657" s="33"/>
      <c r="J1657" s="33"/>
      <c r="K1657" s="33"/>
      <c r="L1657" s="33"/>
      <c r="M1657" s="33"/>
      <c r="N1657" s="33"/>
      <c r="O1657" s="33"/>
      <c r="P1657" s="33"/>
      <c r="Q1657" s="33"/>
      <c r="R1657" s="33"/>
      <c r="S1657" s="33"/>
      <c r="T1657" s="33"/>
      <c r="U1657" s="33"/>
      <c r="V1657" s="33"/>
      <c r="W1657" s="33"/>
      <c r="X1657" s="33"/>
      <c r="Y1657" s="33"/>
      <c r="Z1657" s="33"/>
      <c r="AA1657" s="33"/>
      <c r="AB1657" s="33"/>
      <c r="AC1657" s="33"/>
      <c r="AD1657" s="33"/>
      <c r="AE1657" s="33"/>
      <c r="AF1657" s="33"/>
      <c r="AG1657" s="33"/>
      <c r="AH1657" s="33"/>
      <c r="AI1657" s="33"/>
      <c r="AJ1657" s="33"/>
      <c r="AK1657" s="216"/>
      <c r="AL1657" s="33"/>
      <c r="AM1657" s="33"/>
      <c r="AN1657" s="33"/>
      <c r="AO1657" s="33"/>
      <c r="AP1657" s="33"/>
    </row>
    <row r="1658" spans="1:42" ht="15.75" customHeight="1">
      <c r="A1658" s="33"/>
      <c r="B1658" s="33"/>
      <c r="C1658" s="33"/>
      <c r="D1658" s="33"/>
      <c r="E1658" s="33"/>
      <c r="F1658" s="199"/>
      <c r="G1658" s="33"/>
      <c r="H1658" s="33"/>
      <c r="I1658" s="33"/>
      <c r="J1658" s="33"/>
      <c r="K1658" s="33"/>
      <c r="L1658" s="33"/>
      <c r="M1658" s="33"/>
      <c r="N1658" s="33"/>
      <c r="O1658" s="33"/>
      <c r="P1658" s="33"/>
      <c r="Q1658" s="33"/>
      <c r="R1658" s="33"/>
      <c r="S1658" s="33"/>
      <c r="T1658" s="33"/>
      <c r="U1658" s="33"/>
      <c r="V1658" s="33"/>
      <c r="W1658" s="33"/>
      <c r="X1658" s="33"/>
      <c r="Y1658" s="33"/>
      <c r="Z1658" s="33"/>
      <c r="AA1658" s="33"/>
      <c r="AB1658" s="33"/>
      <c r="AC1658" s="33"/>
      <c r="AD1658" s="33"/>
      <c r="AE1658" s="33"/>
      <c r="AF1658" s="33"/>
      <c r="AG1658" s="33"/>
      <c r="AH1658" s="33"/>
      <c r="AI1658" s="33"/>
      <c r="AJ1658" s="33"/>
      <c r="AK1658" s="216"/>
      <c r="AL1658" s="33"/>
      <c r="AM1658" s="33"/>
      <c r="AN1658" s="33"/>
      <c r="AO1658" s="33"/>
      <c r="AP1658" s="33"/>
    </row>
    <row r="1659" spans="1:42" ht="15.75" customHeight="1">
      <c r="A1659" s="33"/>
      <c r="B1659" s="33"/>
      <c r="C1659" s="33"/>
      <c r="D1659" s="33"/>
      <c r="E1659" s="33"/>
      <c r="F1659" s="199"/>
      <c r="G1659" s="33"/>
      <c r="H1659" s="33"/>
      <c r="I1659" s="33"/>
      <c r="J1659" s="33"/>
      <c r="K1659" s="33"/>
      <c r="L1659" s="33"/>
      <c r="M1659" s="33"/>
      <c r="N1659" s="33"/>
      <c r="O1659" s="33"/>
      <c r="P1659" s="33"/>
      <c r="Q1659" s="33"/>
      <c r="R1659" s="33"/>
      <c r="S1659" s="33"/>
      <c r="T1659" s="33"/>
      <c r="U1659" s="33"/>
      <c r="V1659" s="33"/>
      <c r="W1659" s="33"/>
      <c r="X1659" s="33"/>
      <c r="Y1659" s="33"/>
      <c r="Z1659" s="33"/>
      <c r="AA1659" s="33"/>
      <c r="AB1659" s="33"/>
      <c r="AC1659" s="33"/>
      <c r="AD1659" s="33"/>
      <c r="AE1659" s="33"/>
      <c r="AF1659" s="33"/>
      <c r="AG1659" s="33"/>
      <c r="AH1659" s="33"/>
      <c r="AI1659" s="33"/>
      <c r="AJ1659" s="33"/>
      <c r="AK1659" s="216"/>
      <c r="AL1659" s="33"/>
      <c r="AM1659" s="33"/>
      <c r="AN1659" s="33"/>
      <c r="AO1659" s="33"/>
      <c r="AP1659" s="33"/>
    </row>
    <row r="1660" spans="1:42" ht="15.75" customHeight="1">
      <c r="A1660" s="33"/>
      <c r="B1660" s="33"/>
      <c r="C1660" s="33"/>
      <c r="D1660" s="33"/>
      <c r="E1660" s="33"/>
      <c r="F1660" s="199"/>
      <c r="G1660" s="33"/>
      <c r="H1660" s="33"/>
      <c r="I1660" s="33"/>
      <c r="J1660" s="33"/>
      <c r="K1660" s="33"/>
      <c r="L1660" s="33"/>
      <c r="M1660" s="33"/>
      <c r="N1660" s="33"/>
      <c r="O1660" s="33"/>
      <c r="P1660" s="33"/>
      <c r="Q1660" s="33"/>
      <c r="R1660" s="33"/>
      <c r="S1660" s="33"/>
      <c r="T1660" s="33"/>
      <c r="U1660" s="33"/>
      <c r="V1660" s="33"/>
      <c r="W1660" s="33"/>
      <c r="X1660" s="33"/>
      <c r="Y1660" s="33"/>
      <c r="Z1660" s="33"/>
      <c r="AA1660" s="33"/>
      <c r="AB1660" s="33"/>
      <c r="AC1660" s="33"/>
      <c r="AD1660" s="33"/>
      <c r="AE1660" s="33"/>
      <c r="AF1660" s="33"/>
      <c r="AG1660" s="33"/>
      <c r="AH1660" s="33"/>
      <c r="AI1660" s="33"/>
      <c r="AJ1660" s="33"/>
      <c r="AK1660" s="216"/>
      <c r="AL1660" s="33"/>
      <c r="AM1660" s="33"/>
      <c r="AN1660" s="33"/>
      <c r="AO1660" s="33"/>
      <c r="AP1660" s="33"/>
    </row>
    <row r="1661" spans="1:42" ht="15.75" customHeight="1">
      <c r="A1661" s="33"/>
      <c r="B1661" s="33"/>
      <c r="C1661" s="33"/>
      <c r="D1661" s="33"/>
      <c r="E1661" s="33"/>
      <c r="F1661" s="199"/>
      <c r="G1661" s="33"/>
      <c r="H1661" s="33"/>
      <c r="I1661" s="33"/>
      <c r="J1661" s="33"/>
      <c r="K1661" s="33"/>
      <c r="L1661" s="33"/>
      <c r="M1661" s="33"/>
      <c r="N1661" s="33"/>
      <c r="O1661" s="33"/>
      <c r="P1661" s="33"/>
      <c r="Q1661" s="33"/>
      <c r="R1661" s="33"/>
      <c r="S1661" s="33"/>
      <c r="T1661" s="33"/>
      <c r="U1661" s="33"/>
      <c r="V1661" s="33"/>
      <c r="W1661" s="33"/>
      <c r="X1661" s="33"/>
      <c r="Y1661" s="33"/>
      <c r="Z1661" s="33"/>
      <c r="AA1661" s="33"/>
      <c r="AB1661" s="33"/>
      <c r="AC1661" s="33"/>
      <c r="AD1661" s="33"/>
      <c r="AE1661" s="33"/>
      <c r="AF1661" s="33"/>
      <c r="AG1661" s="33"/>
      <c r="AH1661" s="33"/>
      <c r="AI1661" s="33"/>
      <c r="AJ1661" s="33"/>
      <c r="AK1661" s="216"/>
      <c r="AL1661" s="33"/>
      <c r="AM1661" s="33"/>
      <c r="AN1661" s="33"/>
      <c r="AO1661" s="33"/>
      <c r="AP1661" s="33"/>
    </row>
    <row r="1662" spans="1:42" ht="15.75" customHeight="1">
      <c r="A1662" s="33"/>
      <c r="B1662" s="33"/>
      <c r="C1662" s="33"/>
      <c r="D1662" s="33"/>
      <c r="E1662" s="33"/>
      <c r="F1662" s="199"/>
      <c r="G1662" s="33"/>
      <c r="H1662" s="33"/>
      <c r="I1662" s="33"/>
      <c r="J1662" s="33"/>
      <c r="K1662" s="33"/>
      <c r="L1662" s="33"/>
      <c r="M1662" s="33"/>
      <c r="N1662" s="33"/>
      <c r="O1662" s="33"/>
      <c r="P1662" s="33"/>
      <c r="Q1662" s="33"/>
      <c r="R1662" s="33"/>
      <c r="S1662" s="33"/>
      <c r="T1662" s="33"/>
      <c r="U1662" s="33"/>
      <c r="V1662" s="33"/>
      <c r="W1662" s="33"/>
      <c r="X1662" s="33"/>
      <c r="Y1662" s="33"/>
      <c r="Z1662" s="33"/>
      <c r="AA1662" s="33"/>
      <c r="AB1662" s="33"/>
      <c r="AC1662" s="33"/>
      <c r="AD1662" s="33"/>
      <c r="AE1662" s="33"/>
      <c r="AF1662" s="33"/>
      <c r="AG1662" s="33"/>
      <c r="AH1662" s="33"/>
      <c r="AI1662" s="33"/>
      <c r="AJ1662" s="33"/>
      <c r="AK1662" s="216"/>
      <c r="AL1662" s="33"/>
      <c r="AM1662" s="33"/>
      <c r="AN1662" s="33"/>
      <c r="AO1662" s="33"/>
      <c r="AP1662" s="33"/>
    </row>
    <row r="1663" spans="1:42" ht="15.75" customHeight="1">
      <c r="A1663" s="33"/>
      <c r="B1663" s="33"/>
      <c r="C1663" s="33"/>
      <c r="D1663" s="33"/>
      <c r="E1663" s="33"/>
      <c r="F1663" s="199"/>
      <c r="G1663" s="33"/>
      <c r="H1663" s="33"/>
      <c r="I1663" s="33"/>
      <c r="J1663" s="33"/>
      <c r="K1663" s="33"/>
      <c r="L1663" s="33"/>
      <c r="M1663" s="33"/>
      <c r="N1663" s="33"/>
      <c r="O1663" s="33"/>
      <c r="P1663" s="33"/>
      <c r="Q1663" s="33"/>
      <c r="R1663" s="33"/>
      <c r="S1663" s="33"/>
      <c r="T1663" s="33"/>
      <c r="U1663" s="33"/>
      <c r="V1663" s="33"/>
      <c r="W1663" s="33"/>
      <c r="X1663" s="33"/>
      <c r="Y1663" s="33"/>
      <c r="Z1663" s="33"/>
      <c r="AA1663" s="33"/>
      <c r="AB1663" s="33"/>
      <c r="AC1663" s="33"/>
      <c r="AD1663" s="33"/>
      <c r="AE1663" s="33"/>
      <c r="AF1663" s="33"/>
      <c r="AG1663" s="33"/>
      <c r="AH1663" s="33"/>
      <c r="AI1663" s="33"/>
      <c r="AJ1663" s="33"/>
      <c r="AK1663" s="216"/>
      <c r="AL1663" s="33"/>
      <c r="AM1663" s="33"/>
      <c r="AN1663" s="33"/>
      <c r="AO1663" s="33"/>
      <c r="AP1663" s="33"/>
    </row>
    <row r="1664" spans="1:42" ht="15.75" customHeight="1">
      <c r="A1664" s="33"/>
      <c r="B1664" s="33"/>
      <c r="C1664" s="33"/>
      <c r="D1664" s="33"/>
      <c r="E1664" s="33"/>
      <c r="F1664" s="199"/>
      <c r="G1664" s="33"/>
      <c r="H1664" s="33"/>
      <c r="I1664" s="33"/>
      <c r="J1664" s="33"/>
      <c r="K1664" s="33"/>
      <c r="L1664" s="33"/>
      <c r="M1664" s="33"/>
      <c r="N1664" s="33"/>
      <c r="O1664" s="33"/>
      <c r="P1664" s="33"/>
      <c r="Q1664" s="33"/>
      <c r="R1664" s="33"/>
      <c r="S1664" s="33"/>
      <c r="T1664" s="33"/>
      <c r="U1664" s="33"/>
      <c r="V1664" s="33"/>
      <c r="W1664" s="33"/>
      <c r="X1664" s="33"/>
      <c r="Y1664" s="33"/>
      <c r="Z1664" s="33"/>
      <c r="AA1664" s="33"/>
      <c r="AB1664" s="33"/>
      <c r="AC1664" s="33"/>
      <c r="AD1664" s="33"/>
      <c r="AE1664" s="33"/>
      <c r="AF1664" s="33"/>
      <c r="AG1664" s="33"/>
      <c r="AH1664" s="33"/>
      <c r="AI1664" s="33"/>
      <c r="AJ1664" s="33"/>
      <c r="AK1664" s="216"/>
      <c r="AL1664" s="33"/>
      <c r="AM1664" s="33"/>
      <c r="AN1664" s="33"/>
      <c r="AO1664" s="33"/>
      <c r="AP1664" s="33"/>
    </row>
    <row r="1665" spans="1:42" ht="15.75" customHeight="1">
      <c r="A1665" s="33"/>
      <c r="B1665" s="33"/>
      <c r="C1665" s="33"/>
      <c r="D1665" s="33"/>
      <c r="E1665" s="33"/>
      <c r="F1665" s="199"/>
      <c r="G1665" s="33"/>
      <c r="H1665" s="33"/>
      <c r="I1665" s="33"/>
      <c r="J1665" s="33"/>
      <c r="K1665" s="33"/>
      <c r="L1665" s="33"/>
      <c r="M1665" s="33"/>
      <c r="N1665" s="33"/>
      <c r="O1665" s="33"/>
      <c r="P1665" s="33"/>
      <c r="Q1665" s="33"/>
      <c r="R1665" s="33"/>
      <c r="S1665" s="33"/>
      <c r="T1665" s="33"/>
      <c r="U1665" s="33"/>
      <c r="V1665" s="33"/>
      <c r="W1665" s="33"/>
      <c r="X1665" s="33"/>
      <c r="Y1665" s="33"/>
      <c r="Z1665" s="33"/>
      <c r="AA1665" s="33"/>
      <c r="AB1665" s="33"/>
      <c r="AC1665" s="33"/>
      <c r="AD1665" s="33"/>
      <c r="AE1665" s="33"/>
      <c r="AF1665" s="33"/>
      <c r="AG1665" s="33"/>
      <c r="AH1665" s="33"/>
      <c r="AI1665" s="33"/>
      <c r="AJ1665" s="33"/>
      <c r="AK1665" s="216"/>
      <c r="AL1665" s="33"/>
      <c r="AM1665" s="33"/>
      <c r="AN1665" s="33"/>
      <c r="AO1665" s="33"/>
      <c r="AP1665" s="33"/>
    </row>
    <row r="1666" spans="1:42" ht="15.75" customHeight="1">
      <c r="A1666" s="33"/>
      <c r="B1666" s="33"/>
      <c r="C1666" s="33"/>
      <c r="D1666" s="33"/>
      <c r="E1666" s="33"/>
      <c r="F1666" s="199"/>
      <c r="G1666" s="33"/>
      <c r="H1666" s="33"/>
      <c r="I1666" s="33"/>
      <c r="J1666" s="33"/>
      <c r="K1666" s="33"/>
      <c r="L1666" s="33"/>
      <c r="M1666" s="33"/>
      <c r="N1666" s="33"/>
      <c r="O1666" s="33"/>
      <c r="P1666" s="33"/>
      <c r="Q1666" s="33"/>
      <c r="R1666" s="33"/>
      <c r="S1666" s="33"/>
      <c r="T1666" s="33"/>
      <c r="U1666" s="33"/>
      <c r="V1666" s="33"/>
      <c r="W1666" s="33"/>
      <c r="X1666" s="33"/>
      <c r="Y1666" s="33"/>
      <c r="Z1666" s="33"/>
      <c r="AA1666" s="33"/>
      <c r="AB1666" s="33"/>
      <c r="AC1666" s="33"/>
      <c r="AD1666" s="33"/>
      <c r="AE1666" s="33"/>
      <c r="AF1666" s="33"/>
      <c r="AG1666" s="33"/>
      <c r="AH1666" s="33"/>
      <c r="AI1666" s="33"/>
      <c r="AJ1666" s="33"/>
      <c r="AK1666" s="216"/>
      <c r="AL1666" s="33"/>
      <c r="AM1666" s="33"/>
      <c r="AN1666" s="33"/>
      <c r="AO1666" s="33"/>
      <c r="AP1666" s="33"/>
    </row>
    <row r="1667" spans="1:42" ht="15.75" customHeight="1">
      <c r="A1667" s="33"/>
      <c r="B1667" s="33"/>
      <c r="C1667" s="33"/>
      <c r="D1667" s="33"/>
      <c r="E1667" s="33"/>
      <c r="F1667" s="199"/>
      <c r="G1667" s="33"/>
      <c r="H1667" s="33"/>
      <c r="I1667" s="33"/>
      <c r="J1667" s="33"/>
      <c r="K1667" s="33"/>
      <c r="L1667" s="33"/>
      <c r="M1667" s="33"/>
      <c r="N1667" s="33"/>
      <c r="O1667" s="33"/>
      <c r="P1667" s="33"/>
      <c r="Q1667" s="33"/>
      <c r="R1667" s="33"/>
      <c r="S1667" s="33"/>
      <c r="T1667" s="33"/>
      <c r="U1667" s="33"/>
      <c r="V1667" s="33"/>
      <c r="W1667" s="33"/>
      <c r="X1667" s="33"/>
      <c r="Y1667" s="33"/>
      <c r="Z1667" s="33"/>
      <c r="AA1667" s="33"/>
      <c r="AB1667" s="33"/>
      <c r="AC1667" s="33"/>
      <c r="AD1667" s="33"/>
      <c r="AE1667" s="33"/>
      <c r="AF1667" s="33"/>
      <c r="AG1667" s="33"/>
      <c r="AH1667" s="33"/>
      <c r="AI1667" s="33"/>
      <c r="AJ1667" s="33"/>
      <c r="AK1667" s="216"/>
      <c r="AL1667" s="33"/>
      <c r="AM1667" s="33"/>
      <c r="AN1667" s="33"/>
      <c r="AO1667" s="33"/>
      <c r="AP1667" s="33"/>
    </row>
    <row r="1668" spans="1:42" ht="15.75" customHeight="1">
      <c r="A1668" s="33"/>
      <c r="B1668" s="33"/>
      <c r="C1668" s="33"/>
      <c r="D1668" s="33"/>
      <c r="E1668" s="33"/>
      <c r="F1668" s="199"/>
      <c r="G1668" s="33"/>
      <c r="H1668" s="33"/>
      <c r="I1668" s="33"/>
      <c r="J1668" s="33"/>
      <c r="K1668" s="33"/>
      <c r="L1668" s="33"/>
      <c r="M1668" s="33"/>
      <c r="N1668" s="33"/>
      <c r="O1668" s="33"/>
      <c r="P1668" s="33"/>
      <c r="Q1668" s="33"/>
      <c r="R1668" s="33"/>
      <c r="S1668" s="33"/>
      <c r="T1668" s="33"/>
      <c r="U1668" s="33"/>
      <c r="V1668" s="33"/>
      <c r="W1668" s="33"/>
      <c r="X1668" s="33"/>
      <c r="Y1668" s="33"/>
      <c r="Z1668" s="33"/>
      <c r="AA1668" s="33"/>
      <c r="AB1668" s="33"/>
      <c r="AC1668" s="33"/>
      <c r="AD1668" s="33"/>
      <c r="AE1668" s="33"/>
      <c r="AF1668" s="33"/>
      <c r="AG1668" s="33"/>
      <c r="AH1668" s="33"/>
      <c r="AI1668" s="33"/>
      <c r="AJ1668" s="33"/>
      <c r="AK1668" s="216"/>
      <c r="AL1668" s="33"/>
      <c r="AM1668" s="33"/>
      <c r="AN1668" s="33"/>
      <c r="AO1668" s="33"/>
      <c r="AP1668" s="33"/>
    </row>
    <row r="1669" spans="1:42" ht="15.75" customHeight="1">
      <c r="A1669" s="33"/>
      <c r="B1669" s="33"/>
      <c r="C1669" s="33"/>
      <c r="D1669" s="33"/>
      <c r="E1669" s="33"/>
      <c r="F1669" s="199"/>
      <c r="G1669" s="33"/>
      <c r="H1669" s="33"/>
      <c r="I1669" s="33"/>
      <c r="J1669" s="33"/>
      <c r="K1669" s="33"/>
      <c r="L1669" s="33"/>
      <c r="M1669" s="33"/>
      <c r="N1669" s="33"/>
      <c r="O1669" s="33"/>
      <c r="P1669" s="33"/>
      <c r="Q1669" s="33"/>
      <c r="R1669" s="33"/>
      <c r="S1669" s="33"/>
      <c r="T1669" s="33"/>
      <c r="U1669" s="33"/>
      <c r="V1669" s="33"/>
      <c r="W1669" s="33"/>
      <c r="X1669" s="33"/>
      <c r="Y1669" s="33"/>
      <c r="Z1669" s="33"/>
      <c r="AA1669" s="33"/>
      <c r="AB1669" s="33"/>
      <c r="AC1669" s="33"/>
      <c r="AD1669" s="33"/>
      <c r="AE1669" s="33"/>
      <c r="AF1669" s="33"/>
      <c r="AG1669" s="33"/>
      <c r="AH1669" s="33"/>
      <c r="AI1669" s="33"/>
      <c r="AJ1669" s="33"/>
      <c r="AK1669" s="216"/>
      <c r="AL1669" s="33"/>
      <c r="AM1669" s="33"/>
      <c r="AN1669" s="33"/>
      <c r="AO1669" s="33"/>
      <c r="AP1669" s="33"/>
    </row>
    <row r="1670" spans="1:42" ht="15.75" customHeight="1">
      <c r="A1670" s="33"/>
      <c r="B1670" s="33"/>
      <c r="C1670" s="33"/>
      <c r="D1670" s="33"/>
      <c r="E1670" s="33"/>
      <c r="F1670" s="199"/>
      <c r="G1670" s="33"/>
      <c r="H1670" s="33"/>
      <c r="I1670" s="33"/>
      <c r="J1670" s="33"/>
      <c r="K1670" s="33"/>
      <c r="L1670" s="33"/>
      <c r="M1670" s="33"/>
      <c r="N1670" s="33"/>
      <c r="O1670" s="33"/>
      <c r="P1670" s="33"/>
      <c r="Q1670" s="33"/>
      <c r="R1670" s="33"/>
      <c r="S1670" s="33"/>
      <c r="T1670" s="33"/>
      <c r="U1670" s="33"/>
      <c r="V1670" s="33"/>
      <c r="W1670" s="33"/>
      <c r="X1670" s="33"/>
      <c r="Y1670" s="33"/>
      <c r="Z1670" s="33"/>
      <c r="AA1670" s="33"/>
      <c r="AB1670" s="33"/>
      <c r="AC1670" s="33"/>
      <c r="AD1670" s="33"/>
      <c r="AE1670" s="33"/>
      <c r="AF1670" s="33"/>
      <c r="AG1670" s="33"/>
      <c r="AH1670" s="33"/>
      <c r="AI1670" s="33"/>
      <c r="AJ1670" s="33"/>
      <c r="AK1670" s="216"/>
      <c r="AL1670" s="33"/>
      <c r="AM1670" s="33"/>
      <c r="AN1670" s="33"/>
      <c r="AO1670" s="33"/>
      <c r="AP1670" s="33"/>
    </row>
    <row r="1671" spans="1:42" ht="15.75" customHeight="1">
      <c r="A1671" s="33"/>
      <c r="B1671" s="33"/>
      <c r="C1671" s="33"/>
      <c r="D1671" s="33"/>
      <c r="E1671" s="33"/>
      <c r="F1671" s="199"/>
      <c r="G1671" s="33"/>
      <c r="H1671" s="33"/>
      <c r="I1671" s="33"/>
      <c r="J1671" s="33"/>
      <c r="K1671" s="33"/>
      <c r="L1671" s="33"/>
      <c r="M1671" s="33"/>
      <c r="N1671" s="33"/>
      <c r="O1671" s="33"/>
      <c r="P1671" s="33"/>
      <c r="Q1671" s="33"/>
      <c r="R1671" s="33"/>
      <c r="S1671" s="33"/>
      <c r="T1671" s="33"/>
      <c r="U1671" s="33"/>
      <c r="V1671" s="33"/>
      <c r="W1671" s="33"/>
      <c r="X1671" s="33"/>
      <c r="Y1671" s="33"/>
      <c r="Z1671" s="33"/>
      <c r="AA1671" s="33"/>
      <c r="AB1671" s="33"/>
      <c r="AC1671" s="33"/>
      <c r="AD1671" s="33"/>
      <c r="AE1671" s="33"/>
      <c r="AF1671" s="33"/>
      <c r="AG1671" s="33"/>
      <c r="AH1671" s="33"/>
      <c r="AI1671" s="33"/>
      <c r="AJ1671" s="33"/>
      <c r="AK1671" s="216"/>
      <c r="AL1671" s="33"/>
      <c r="AM1671" s="33"/>
      <c r="AN1671" s="33"/>
      <c r="AO1671" s="33"/>
      <c r="AP1671" s="33"/>
    </row>
    <row r="1672" spans="1:42" ht="15.75" customHeight="1">
      <c r="A1672" s="33"/>
      <c r="B1672" s="33"/>
      <c r="C1672" s="33"/>
      <c r="D1672" s="33"/>
      <c r="E1672" s="33"/>
      <c r="F1672" s="199"/>
      <c r="G1672" s="33"/>
      <c r="H1672" s="33"/>
      <c r="I1672" s="33"/>
      <c r="J1672" s="33"/>
      <c r="K1672" s="33"/>
      <c r="L1672" s="33"/>
      <c r="M1672" s="33"/>
      <c r="N1672" s="33"/>
      <c r="O1672" s="33"/>
      <c r="P1672" s="33"/>
      <c r="Q1672" s="33"/>
      <c r="R1672" s="33"/>
      <c r="S1672" s="33"/>
      <c r="T1672" s="33"/>
      <c r="U1672" s="33"/>
      <c r="V1672" s="33"/>
      <c r="W1672" s="33"/>
      <c r="X1672" s="33"/>
      <c r="Y1672" s="33"/>
      <c r="Z1672" s="33"/>
      <c r="AA1672" s="33"/>
      <c r="AB1672" s="33"/>
      <c r="AC1672" s="33"/>
      <c r="AD1672" s="33"/>
      <c r="AE1672" s="33"/>
      <c r="AF1672" s="33"/>
      <c r="AG1672" s="33"/>
      <c r="AH1672" s="33"/>
      <c r="AI1672" s="33"/>
      <c r="AJ1672" s="33"/>
      <c r="AK1672" s="216"/>
      <c r="AL1672" s="33"/>
      <c r="AM1672" s="33"/>
      <c r="AN1672" s="33"/>
      <c r="AO1672" s="33"/>
      <c r="AP1672" s="33"/>
    </row>
    <row r="1673" spans="1:42" ht="15.75" customHeight="1">
      <c r="A1673" s="33"/>
      <c r="B1673" s="33"/>
      <c r="C1673" s="33"/>
      <c r="D1673" s="33"/>
      <c r="E1673" s="33"/>
      <c r="F1673" s="199"/>
      <c r="G1673" s="33"/>
      <c r="H1673" s="33"/>
      <c r="I1673" s="33"/>
      <c r="J1673" s="33"/>
      <c r="K1673" s="33"/>
      <c r="L1673" s="33"/>
      <c r="M1673" s="33"/>
      <c r="N1673" s="33"/>
      <c r="O1673" s="33"/>
      <c r="P1673" s="33"/>
      <c r="Q1673" s="33"/>
      <c r="R1673" s="33"/>
      <c r="S1673" s="33"/>
      <c r="T1673" s="33"/>
      <c r="U1673" s="33"/>
      <c r="V1673" s="33"/>
      <c r="W1673" s="33"/>
      <c r="X1673" s="33"/>
      <c r="Y1673" s="33"/>
      <c r="Z1673" s="33"/>
      <c r="AA1673" s="33"/>
      <c r="AB1673" s="33"/>
      <c r="AC1673" s="33"/>
      <c r="AD1673" s="33"/>
      <c r="AE1673" s="33"/>
      <c r="AF1673" s="33"/>
      <c r="AG1673" s="33"/>
      <c r="AH1673" s="33"/>
      <c r="AI1673" s="33"/>
      <c r="AJ1673" s="33"/>
      <c r="AK1673" s="216"/>
      <c r="AL1673" s="33"/>
      <c r="AM1673" s="33"/>
      <c r="AN1673" s="33"/>
      <c r="AO1673" s="33"/>
      <c r="AP1673" s="33"/>
    </row>
    <row r="1674" spans="1:42" ht="15.75" customHeight="1">
      <c r="A1674" s="33"/>
      <c r="B1674" s="33"/>
      <c r="C1674" s="33"/>
      <c r="D1674" s="33"/>
      <c r="E1674" s="33"/>
      <c r="F1674" s="199"/>
      <c r="G1674" s="33"/>
      <c r="H1674" s="33"/>
      <c r="I1674" s="33"/>
      <c r="J1674" s="33"/>
      <c r="K1674" s="33"/>
      <c r="L1674" s="33"/>
      <c r="M1674" s="33"/>
      <c r="N1674" s="33"/>
      <c r="O1674" s="33"/>
      <c r="P1674" s="33"/>
      <c r="Q1674" s="33"/>
      <c r="R1674" s="33"/>
      <c r="S1674" s="33"/>
      <c r="T1674" s="33"/>
      <c r="U1674" s="33"/>
      <c r="V1674" s="33"/>
      <c r="W1674" s="33"/>
      <c r="X1674" s="33"/>
      <c r="Y1674" s="33"/>
      <c r="Z1674" s="33"/>
      <c r="AA1674" s="33"/>
      <c r="AB1674" s="33"/>
      <c r="AC1674" s="33"/>
      <c r="AD1674" s="33"/>
      <c r="AE1674" s="33"/>
      <c r="AF1674" s="33"/>
      <c r="AG1674" s="33"/>
      <c r="AH1674" s="33"/>
      <c r="AI1674" s="33"/>
      <c r="AJ1674" s="33"/>
      <c r="AK1674" s="216"/>
      <c r="AL1674" s="33"/>
      <c r="AM1674" s="33"/>
      <c r="AN1674" s="33"/>
      <c r="AO1674" s="33"/>
      <c r="AP1674" s="33"/>
    </row>
    <row r="1675" spans="1:42" ht="15.75" customHeight="1">
      <c r="A1675" s="33"/>
      <c r="B1675" s="33"/>
      <c r="C1675" s="33"/>
      <c r="D1675" s="33"/>
      <c r="E1675" s="33"/>
      <c r="F1675" s="199"/>
      <c r="G1675" s="33"/>
      <c r="H1675" s="33"/>
      <c r="I1675" s="33"/>
      <c r="J1675" s="33"/>
      <c r="K1675" s="33"/>
      <c r="L1675" s="33"/>
      <c r="M1675" s="33"/>
      <c r="N1675" s="33"/>
      <c r="O1675" s="33"/>
      <c r="P1675" s="33"/>
      <c r="Q1675" s="33"/>
      <c r="R1675" s="33"/>
      <c r="S1675" s="33"/>
      <c r="T1675" s="33"/>
      <c r="U1675" s="33"/>
      <c r="V1675" s="33"/>
      <c r="W1675" s="33"/>
      <c r="X1675" s="33"/>
      <c r="Y1675" s="33"/>
      <c r="Z1675" s="33"/>
      <c r="AA1675" s="33"/>
      <c r="AB1675" s="33"/>
      <c r="AC1675" s="33"/>
      <c r="AD1675" s="33"/>
      <c r="AE1675" s="33"/>
      <c r="AF1675" s="33"/>
      <c r="AG1675" s="33"/>
      <c r="AH1675" s="33"/>
      <c r="AI1675" s="33"/>
      <c r="AJ1675" s="33"/>
      <c r="AK1675" s="216"/>
      <c r="AL1675" s="33"/>
      <c r="AM1675" s="33"/>
      <c r="AN1675" s="33"/>
      <c r="AO1675" s="33"/>
      <c r="AP1675" s="33"/>
    </row>
    <row r="1676" spans="1:42" ht="15.75" customHeight="1">
      <c r="A1676" s="33"/>
      <c r="B1676" s="33"/>
      <c r="C1676" s="33"/>
      <c r="D1676" s="33"/>
      <c r="E1676" s="33"/>
      <c r="F1676" s="199"/>
      <c r="G1676" s="33"/>
      <c r="H1676" s="33"/>
      <c r="I1676" s="33"/>
      <c r="J1676" s="33"/>
      <c r="K1676" s="33"/>
      <c r="L1676" s="33"/>
      <c r="M1676" s="33"/>
      <c r="N1676" s="33"/>
      <c r="O1676" s="33"/>
      <c r="P1676" s="33"/>
      <c r="Q1676" s="33"/>
      <c r="R1676" s="33"/>
      <c r="S1676" s="33"/>
      <c r="T1676" s="33"/>
      <c r="U1676" s="33"/>
      <c r="V1676" s="33"/>
      <c r="W1676" s="33"/>
      <c r="X1676" s="33"/>
      <c r="Y1676" s="33"/>
      <c r="Z1676" s="33"/>
      <c r="AA1676" s="33"/>
      <c r="AB1676" s="33"/>
      <c r="AC1676" s="33"/>
      <c r="AD1676" s="33"/>
      <c r="AE1676" s="33"/>
      <c r="AF1676" s="33"/>
      <c r="AG1676" s="33"/>
      <c r="AH1676" s="33"/>
      <c r="AI1676" s="33"/>
      <c r="AJ1676" s="33"/>
      <c r="AK1676" s="216"/>
      <c r="AL1676" s="33"/>
      <c r="AM1676" s="33"/>
      <c r="AN1676" s="33"/>
      <c r="AO1676" s="33"/>
      <c r="AP1676" s="33"/>
    </row>
    <row r="1677" spans="1:42" ht="15.75" customHeight="1">
      <c r="A1677" s="33"/>
      <c r="B1677" s="33"/>
      <c r="C1677" s="33"/>
      <c r="D1677" s="33"/>
      <c r="E1677" s="33"/>
      <c r="F1677" s="199"/>
      <c r="G1677" s="33"/>
      <c r="H1677" s="33"/>
      <c r="I1677" s="33"/>
      <c r="J1677" s="33"/>
      <c r="K1677" s="33"/>
      <c r="L1677" s="33"/>
      <c r="M1677" s="33"/>
      <c r="N1677" s="33"/>
      <c r="O1677" s="33"/>
      <c r="P1677" s="33"/>
      <c r="Q1677" s="33"/>
      <c r="R1677" s="33"/>
      <c r="S1677" s="33"/>
      <c r="T1677" s="33"/>
      <c r="U1677" s="33"/>
      <c r="V1677" s="33"/>
      <c r="W1677" s="33"/>
      <c r="X1677" s="33"/>
      <c r="Y1677" s="33"/>
      <c r="Z1677" s="33"/>
      <c r="AA1677" s="33"/>
      <c r="AB1677" s="33"/>
      <c r="AC1677" s="33"/>
      <c r="AD1677" s="33"/>
      <c r="AE1677" s="33"/>
      <c r="AF1677" s="33"/>
      <c r="AG1677" s="33"/>
      <c r="AH1677" s="33"/>
      <c r="AI1677" s="33"/>
      <c r="AJ1677" s="33"/>
      <c r="AK1677" s="216"/>
      <c r="AL1677" s="33"/>
      <c r="AM1677" s="33"/>
      <c r="AN1677" s="33"/>
      <c r="AO1677" s="33"/>
      <c r="AP1677" s="33"/>
    </row>
    <row r="1678" spans="1:42" ht="15.75" customHeight="1">
      <c r="A1678" s="33"/>
      <c r="B1678" s="33"/>
      <c r="C1678" s="33"/>
      <c r="D1678" s="33"/>
      <c r="E1678" s="33"/>
      <c r="F1678" s="199"/>
      <c r="G1678" s="33"/>
      <c r="H1678" s="33"/>
      <c r="I1678" s="33"/>
      <c r="J1678" s="33"/>
      <c r="K1678" s="33"/>
      <c r="L1678" s="33"/>
      <c r="M1678" s="33"/>
      <c r="N1678" s="33"/>
      <c r="O1678" s="33"/>
      <c r="P1678" s="33"/>
      <c r="Q1678" s="33"/>
      <c r="R1678" s="33"/>
      <c r="S1678" s="33"/>
      <c r="T1678" s="33"/>
      <c r="U1678" s="33"/>
      <c r="V1678" s="33"/>
      <c r="W1678" s="33"/>
      <c r="X1678" s="33"/>
      <c r="Y1678" s="33"/>
      <c r="Z1678" s="33"/>
      <c r="AA1678" s="33"/>
      <c r="AB1678" s="33"/>
      <c r="AC1678" s="33"/>
      <c r="AD1678" s="33"/>
      <c r="AE1678" s="33"/>
      <c r="AF1678" s="33"/>
      <c r="AG1678" s="33"/>
      <c r="AH1678" s="33"/>
      <c r="AI1678" s="33"/>
      <c r="AJ1678" s="33"/>
      <c r="AK1678" s="216"/>
      <c r="AL1678" s="33"/>
      <c r="AM1678" s="33"/>
      <c r="AN1678" s="33"/>
      <c r="AO1678" s="33"/>
      <c r="AP1678" s="33"/>
    </row>
    <row r="1679" spans="1:42" ht="15.75" customHeight="1">
      <c r="A1679" s="33"/>
      <c r="B1679" s="33"/>
      <c r="C1679" s="33"/>
      <c r="D1679" s="33"/>
      <c r="E1679" s="33"/>
      <c r="F1679" s="199"/>
      <c r="G1679" s="33"/>
      <c r="H1679" s="33"/>
      <c r="I1679" s="33"/>
      <c r="J1679" s="33"/>
      <c r="K1679" s="33"/>
      <c r="L1679" s="33"/>
      <c r="M1679" s="33"/>
      <c r="N1679" s="33"/>
      <c r="O1679" s="33"/>
      <c r="P1679" s="33"/>
      <c r="Q1679" s="33"/>
      <c r="R1679" s="33"/>
      <c r="S1679" s="33"/>
      <c r="T1679" s="33"/>
      <c r="U1679" s="33"/>
      <c r="V1679" s="33"/>
      <c r="W1679" s="33"/>
      <c r="X1679" s="33"/>
      <c r="Y1679" s="33"/>
      <c r="Z1679" s="33"/>
      <c r="AA1679" s="33"/>
      <c r="AB1679" s="33"/>
      <c r="AC1679" s="33"/>
      <c r="AD1679" s="33"/>
      <c r="AE1679" s="33"/>
      <c r="AF1679" s="33"/>
      <c r="AG1679" s="33"/>
      <c r="AH1679" s="33"/>
      <c r="AI1679" s="33"/>
      <c r="AJ1679" s="33"/>
      <c r="AK1679" s="216"/>
      <c r="AL1679" s="33"/>
      <c r="AM1679" s="33"/>
      <c r="AN1679" s="33"/>
      <c r="AO1679" s="33"/>
      <c r="AP1679" s="33"/>
    </row>
    <row r="1680" spans="1:42" ht="15.75" customHeight="1">
      <c r="A1680" s="33"/>
      <c r="B1680" s="33"/>
      <c r="C1680" s="33"/>
      <c r="D1680" s="33"/>
      <c r="E1680" s="33"/>
      <c r="F1680" s="199"/>
      <c r="G1680" s="33"/>
      <c r="H1680" s="33"/>
      <c r="I1680" s="33"/>
      <c r="J1680" s="33"/>
      <c r="K1680" s="33"/>
      <c r="L1680" s="33"/>
      <c r="M1680" s="33"/>
      <c r="N1680" s="33"/>
      <c r="O1680" s="33"/>
      <c r="P1680" s="33"/>
      <c r="Q1680" s="33"/>
      <c r="R1680" s="33"/>
      <c r="S1680" s="33"/>
      <c r="T1680" s="33"/>
      <c r="U1680" s="33"/>
      <c r="V1680" s="33"/>
      <c r="W1680" s="33"/>
      <c r="X1680" s="33"/>
      <c r="Y1680" s="33"/>
      <c r="Z1680" s="33"/>
      <c r="AA1680" s="33"/>
      <c r="AB1680" s="33"/>
      <c r="AC1680" s="33"/>
      <c r="AD1680" s="33"/>
      <c r="AE1680" s="33"/>
      <c r="AF1680" s="33"/>
      <c r="AG1680" s="33"/>
      <c r="AH1680" s="33"/>
      <c r="AI1680" s="33"/>
      <c r="AJ1680" s="33"/>
      <c r="AK1680" s="216"/>
      <c r="AL1680" s="33"/>
      <c r="AM1680" s="33"/>
      <c r="AN1680" s="33"/>
      <c r="AO1680" s="33"/>
      <c r="AP1680" s="33"/>
    </row>
    <row r="1681" spans="1:42" ht="15.75" customHeight="1">
      <c r="A1681" s="33"/>
      <c r="B1681" s="33"/>
      <c r="C1681" s="33"/>
      <c r="D1681" s="33"/>
      <c r="E1681" s="33"/>
      <c r="F1681" s="199"/>
      <c r="G1681" s="33"/>
      <c r="H1681" s="33"/>
      <c r="I1681" s="33"/>
      <c r="J1681" s="33"/>
      <c r="K1681" s="33"/>
      <c r="L1681" s="33"/>
      <c r="M1681" s="33"/>
      <c r="N1681" s="33"/>
      <c r="O1681" s="33"/>
      <c r="P1681" s="33"/>
      <c r="Q1681" s="33"/>
      <c r="R1681" s="33"/>
      <c r="S1681" s="33"/>
      <c r="T1681" s="33"/>
      <c r="U1681" s="33"/>
      <c r="V1681" s="33"/>
      <c r="W1681" s="33"/>
      <c r="X1681" s="33"/>
      <c r="Y1681" s="33"/>
      <c r="Z1681" s="33"/>
      <c r="AA1681" s="33"/>
      <c r="AB1681" s="33"/>
      <c r="AC1681" s="33"/>
      <c r="AD1681" s="33"/>
      <c r="AE1681" s="33"/>
      <c r="AF1681" s="33"/>
      <c r="AG1681" s="33"/>
      <c r="AH1681" s="33"/>
      <c r="AI1681" s="33"/>
      <c r="AJ1681" s="33"/>
      <c r="AK1681" s="216"/>
      <c r="AL1681" s="33"/>
      <c r="AM1681" s="33"/>
      <c r="AN1681" s="33"/>
      <c r="AO1681" s="33"/>
      <c r="AP1681" s="33"/>
    </row>
    <row r="1682" spans="1:42" ht="15.75" customHeight="1">
      <c r="A1682" s="33"/>
      <c r="B1682" s="33"/>
      <c r="C1682" s="33"/>
      <c r="D1682" s="33"/>
      <c r="E1682" s="33"/>
      <c r="F1682" s="199"/>
      <c r="G1682" s="33"/>
      <c r="H1682" s="33"/>
      <c r="I1682" s="33"/>
      <c r="J1682" s="33"/>
      <c r="K1682" s="33"/>
      <c r="L1682" s="33"/>
      <c r="M1682" s="33"/>
      <c r="N1682" s="33"/>
      <c r="O1682" s="33"/>
      <c r="P1682" s="33"/>
      <c r="Q1682" s="33"/>
      <c r="R1682" s="33"/>
      <c r="S1682" s="33"/>
      <c r="T1682" s="33"/>
      <c r="U1682" s="33"/>
      <c r="V1682" s="33"/>
      <c r="W1682" s="33"/>
      <c r="X1682" s="33"/>
      <c r="Y1682" s="33"/>
      <c r="Z1682" s="33"/>
      <c r="AA1682" s="33"/>
      <c r="AB1682" s="33"/>
      <c r="AC1682" s="33"/>
      <c r="AD1682" s="33"/>
      <c r="AE1682" s="33"/>
      <c r="AF1682" s="33"/>
      <c r="AG1682" s="33"/>
      <c r="AH1682" s="33"/>
      <c r="AI1682" s="33"/>
      <c r="AJ1682" s="33"/>
      <c r="AK1682" s="216"/>
      <c r="AL1682" s="33"/>
      <c r="AM1682" s="33"/>
      <c r="AN1682" s="33"/>
      <c r="AO1682" s="33"/>
      <c r="AP1682" s="33"/>
    </row>
    <row r="1683" spans="1:42" ht="15.75" customHeight="1">
      <c r="A1683" s="33"/>
      <c r="B1683" s="33"/>
      <c r="C1683" s="33"/>
      <c r="D1683" s="33"/>
      <c r="E1683" s="33"/>
      <c r="F1683" s="199"/>
      <c r="G1683" s="33"/>
      <c r="H1683" s="33"/>
      <c r="I1683" s="33"/>
      <c r="J1683" s="33"/>
      <c r="K1683" s="33"/>
      <c r="L1683" s="33"/>
      <c r="M1683" s="33"/>
      <c r="N1683" s="33"/>
      <c r="O1683" s="33"/>
      <c r="P1683" s="33"/>
      <c r="Q1683" s="33"/>
      <c r="R1683" s="33"/>
      <c r="S1683" s="33"/>
      <c r="T1683" s="33"/>
      <c r="U1683" s="33"/>
      <c r="V1683" s="33"/>
      <c r="W1683" s="33"/>
      <c r="X1683" s="33"/>
      <c r="Y1683" s="33"/>
      <c r="Z1683" s="33"/>
      <c r="AA1683" s="33"/>
      <c r="AB1683" s="33"/>
      <c r="AC1683" s="33"/>
      <c r="AD1683" s="33"/>
      <c r="AE1683" s="33"/>
      <c r="AF1683" s="33"/>
      <c r="AG1683" s="33"/>
      <c r="AH1683" s="33"/>
      <c r="AI1683" s="33"/>
      <c r="AJ1683" s="33"/>
      <c r="AK1683" s="216"/>
      <c r="AL1683" s="33"/>
      <c r="AM1683" s="33"/>
      <c r="AN1683" s="33"/>
      <c r="AO1683" s="33"/>
      <c r="AP1683" s="33"/>
    </row>
    <row r="1684" spans="1:42" ht="15.75" customHeight="1">
      <c r="A1684" s="33"/>
      <c r="B1684" s="33"/>
      <c r="C1684" s="33"/>
      <c r="D1684" s="33"/>
      <c r="E1684" s="33"/>
      <c r="F1684" s="199"/>
      <c r="G1684" s="33"/>
      <c r="H1684" s="33"/>
      <c r="I1684" s="33"/>
      <c r="J1684" s="33"/>
      <c r="K1684" s="33"/>
      <c r="L1684" s="33"/>
      <c r="M1684" s="33"/>
      <c r="N1684" s="33"/>
      <c r="O1684" s="33"/>
      <c r="P1684" s="33"/>
      <c r="Q1684" s="33"/>
      <c r="R1684" s="33"/>
      <c r="S1684" s="33"/>
      <c r="T1684" s="33"/>
      <c r="U1684" s="33"/>
      <c r="V1684" s="33"/>
      <c r="W1684" s="33"/>
      <c r="X1684" s="33"/>
      <c r="Y1684" s="33"/>
      <c r="Z1684" s="33"/>
      <c r="AA1684" s="33"/>
      <c r="AB1684" s="33"/>
      <c r="AC1684" s="33"/>
      <c r="AD1684" s="33"/>
      <c r="AE1684" s="33"/>
      <c r="AF1684" s="33"/>
      <c r="AG1684" s="33"/>
      <c r="AH1684" s="33"/>
      <c r="AI1684" s="33"/>
      <c r="AJ1684" s="33"/>
      <c r="AK1684" s="216"/>
      <c r="AL1684" s="33"/>
      <c r="AM1684" s="33"/>
      <c r="AN1684" s="33"/>
      <c r="AO1684" s="33"/>
      <c r="AP1684" s="33"/>
    </row>
    <row r="1685" spans="1:42" ht="15.75" customHeight="1">
      <c r="A1685" s="33"/>
      <c r="B1685" s="33"/>
      <c r="C1685" s="33"/>
      <c r="D1685" s="33"/>
      <c r="E1685" s="33"/>
      <c r="F1685" s="199"/>
      <c r="G1685" s="33"/>
      <c r="H1685" s="33"/>
      <c r="I1685" s="33"/>
      <c r="J1685" s="33"/>
      <c r="K1685" s="33"/>
      <c r="L1685" s="33"/>
      <c r="M1685" s="33"/>
      <c r="N1685" s="33"/>
      <c r="O1685" s="33"/>
      <c r="P1685" s="33"/>
      <c r="Q1685" s="33"/>
      <c r="R1685" s="33"/>
      <c r="S1685" s="33"/>
      <c r="T1685" s="33"/>
      <c r="U1685" s="33"/>
      <c r="V1685" s="33"/>
      <c r="W1685" s="33"/>
      <c r="X1685" s="33"/>
      <c r="Y1685" s="33"/>
      <c r="Z1685" s="33"/>
      <c r="AA1685" s="33"/>
      <c r="AB1685" s="33"/>
      <c r="AC1685" s="33"/>
      <c r="AD1685" s="33"/>
      <c r="AE1685" s="33"/>
      <c r="AF1685" s="33"/>
      <c r="AG1685" s="33"/>
      <c r="AH1685" s="33"/>
      <c r="AI1685" s="33"/>
      <c r="AJ1685" s="33"/>
      <c r="AK1685" s="216"/>
      <c r="AL1685" s="33"/>
      <c r="AM1685" s="33"/>
      <c r="AN1685" s="33"/>
      <c r="AO1685" s="33"/>
      <c r="AP1685" s="33"/>
    </row>
    <row r="1686" spans="1:42" ht="15.75" customHeight="1">
      <c r="A1686" s="33"/>
      <c r="B1686" s="33"/>
      <c r="C1686" s="33"/>
      <c r="D1686" s="33"/>
      <c r="E1686" s="33"/>
      <c r="F1686" s="199"/>
      <c r="G1686" s="33"/>
      <c r="H1686" s="33"/>
      <c r="I1686" s="33"/>
      <c r="J1686" s="33"/>
      <c r="K1686" s="33"/>
      <c r="L1686" s="33"/>
      <c r="M1686" s="33"/>
      <c r="N1686" s="33"/>
      <c r="O1686" s="33"/>
      <c r="P1686" s="33"/>
      <c r="Q1686" s="33"/>
      <c r="R1686" s="33"/>
      <c r="S1686" s="33"/>
      <c r="T1686" s="33"/>
      <c r="U1686" s="33"/>
      <c r="V1686" s="33"/>
      <c r="W1686" s="33"/>
      <c r="X1686" s="33"/>
      <c r="Y1686" s="33"/>
      <c r="Z1686" s="33"/>
      <c r="AA1686" s="33"/>
      <c r="AB1686" s="33"/>
      <c r="AC1686" s="33"/>
      <c r="AD1686" s="33"/>
      <c r="AE1686" s="33"/>
      <c r="AF1686" s="33"/>
      <c r="AG1686" s="33"/>
      <c r="AH1686" s="33"/>
      <c r="AI1686" s="33"/>
      <c r="AJ1686" s="33"/>
      <c r="AK1686" s="216"/>
      <c r="AL1686" s="33"/>
      <c r="AM1686" s="33"/>
      <c r="AN1686" s="33"/>
      <c r="AO1686" s="33"/>
      <c r="AP1686" s="33"/>
    </row>
    <row r="1687" spans="1:42" ht="15.75" customHeight="1">
      <c r="A1687" s="33"/>
      <c r="B1687" s="33"/>
      <c r="C1687" s="33"/>
      <c r="D1687" s="33"/>
      <c r="E1687" s="33"/>
      <c r="F1687" s="199"/>
      <c r="G1687" s="33"/>
      <c r="H1687" s="33"/>
      <c r="I1687" s="33"/>
      <c r="J1687" s="33"/>
      <c r="K1687" s="33"/>
      <c r="L1687" s="33"/>
      <c r="M1687" s="33"/>
      <c r="N1687" s="33"/>
      <c r="O1687" s="33"/>
      <c r="P1687" s="33"/>
      <c r="Q1687" s="33"/>
      <c r="R1687" s="33"/>
      <c r="S1687" s="33"/>
      <c r="T1687" s="33"/>
      <c r="U1687" s="33"/>
      <c r="V1687" s="33"/>
      <c r="W1687" s="33"/>
      <c r="X1687" s="33"/>
      <c r="Y1687" s="33"/>
      <c r="Z1687" s="33"/>
      <c r="AA1687" s="33"/>
      <c r="AB1687" s="33"/>
      <c r="AC1687" s="33"/>
      <c r="AD1687" s="33"/>
      <c r="AE1687" s="33"/>
      <c r="AF1687" s="33"/>
      <c r="AG1687" s="33"/>
      <c r="AH1687" s="33"/>
      <c r="AI1687" s="33"/>
      <c r="AJ1687" s="33"/>
      <c r="AK1687" s="216"/>
      <c r="AL1687" s="33"/>
      <c r="AM1687" s="33"/>
      <c r="AN1687" s="33"/>
      <c r="AO1687" s="33"/>
      <c r="AP1687" s="33"/>
    </row>
    <row r="1688" spans="1:42" ht="15.75" customHeight="1">
      <c r="A1688" s="33"/>
      <c r="B1688" s="33"/>
      <c r="C1688" s="33"/>
      <c r="D1688" s="33"/>
      <c r="E1688" s="33"/>
      <c r="F1688" s="199"/>
      <c r="G1688" s="33"/>
      <c r="H1688" s="33"/>
      <c r="I1688" s="33"/>
      <c r="J1688" s="33"/>
      <c r="K1688" s="33"/>
      <c r="L1688" s="33"/>
      <c r="M1688" s="33"/>
      <c r="N1688" s="33"/>
      <c r="O1688" s="33"/>
      <c r="P1688" s="33"/>
      <c r="Q1688" s="33"/>
      <c r="R1688" s="33"/>
      <c r="S1688" s="33"/>
      <c r="T1688" s="33"/>
      <c r="U1688" s="33"/>
      <c r="V1688" s="33"/>
      <c r="W1688" s="33"/>
      <c r="X1688" s="33"/>
      <c r="Y1688" s="33"/>
      <c r="Z1688" s="33"/>
      <c r="AA1688" s="33"/>
      <c r="AB1688" s="33"/>
      <c r="AC1688" s="33"/>
      <c r="AD1688" s="33"/>
      <c r="AE1688" s="33"/>
      <c r="AF1688" s="33"/>
      <c r="AG1688" s="33"/>
      <c r="AH1688" s="33"/>
      <c r="AI1688" s="33"/>
      <c r="AJ1688" s="33"/>
      <c r="AK1688" s="216"/>
      <c r="AL1688" s="33"/>
      <c r="AM1688" s="33"/>
      <c r="AN1688" s="33"/>
      <c r="AO1688" s="33"/>
      <c r="AP1688" s="33"/>
    </row>
    <row r="1689" spans="1:42" ht="15.75" customHeight="1">
      <c r="A1689" s="33"/>
      <c r="B1689" s="33"/>
      <c r="C1689" s="33"/>
      <c r="D1689" s="33"/>
      <c r="E1689" s="33"/>
      <c r="F1689" s="199"/>
      <c r="G1689" s="33"/>
      <c r="H1689" s="33"/>
      <c r="I1689" s="33"/>
      <c r="J1689" s="33"/>
      <c r="K1689" s="33"/>
      <c r="L1689" s="33"/>
      <c r="M1689" s="33"/>
      <c r="N1689" s="33"/>
      <c r="O1689" s="33"/>
      <c r="P1689" s="33"/>
      <c r="Q1689" s="33"/>
      <c r="R1689" s="33"/>
      <c r="S1689" s="33"/>
      <c r="T1689" s="33"/>
      <c r="U1689" s="33"/>
      <c r="V1689" s="33"/>
      <c r="W1689" s="33"/>
      <c r="X1689" s="33"/>
      <c r="Y1689" s="33"/>
      <c r="Z1689" s="33"/>
      <c r="AA1689" s="33"/>
      <c r="AB1689" s="33"/>
      <c r="AC1689" s="33"/>
      <c r="AD1689" s="33"/>
      <c r="AE1689" s="33"/>
      <c r="AF1689" s="33"/>
      <c r="AG1689" s="33"/>
      <c r="AH1689" s="33"/>
      <c r="AI1689" s="33"/>
      <c r="AJ1689" s="33"/>
      <c r="AK1689" s="216"/>
      <c r="AL1689" s="33"/>
      <c r="AM1689" s="33"/>
      <c r="AN1689" s="33"/>
      <c r="AO1689" s="33"/>
      <c r="AP1689" s="33"/>
    </row>
    <row r="1690" spans="1:42" ht="15.75" customHeight="1">
      <c r="A1690" s="33"/>
      <c r="B1690" s="33"/>
      <c r="C1690" s="33"/>
      <c r="D1690" s="33"/>
      <c r="E1690" s="33"/>
      <c r="F1690" s="199"/>
      <c r="G1690" s="33"/>
      <c r="H1690" s="33"/>
      <c r="I1690" s="33"/>
      <c r="J1690" s="33"/>
      <c r="K1690" s="33"/>
      <c r="L1690" s="33"/>
      <c r="M1690" s="33"/>
      <c r="N1690" s="33"/>
      <c r="O1690" s="33"/>
      <c r="P1690" s="33"/>
      <c r="Q1690" s="33"/>
      <c r="R1690" s="33"/>
      <c r="S1690" s="33"/>
      <c r="T1690" s="33"/>
      <c r="U1690" s="33"/>
      <c r="V1690" s="33"/>
      <c r="W1690" s="33"/>
      <c r="X1690" s="33"/>
      <c r="Y1690" s="33"/>
      <c r="Z1690" s="33"/>
      <c r="AA1690" s="33"/>
      <c r="AB1690" s="33"/>
      <c r="AC1690" s="33"/>
      <c r="AD1690" s="33"/>
      <c r="AE1690" s="33"/>
      <c r="AF1690" s="33"/>
      <c r="AG1690" s="33"/>
      <c r="AH1690" s="33"/>
      <c r="AI1690" s="33"/>
      <c r="AJ1690" s="33"/>
      <c r="AK1690" s="216"/>
      <c r="AL1690" s="33"/>
      <c r="AM1690" s="33"/>
      <c r="AN1690" s="33"/>
      <c r="AO1690" s="33"/>
      <c r="AP1690" s="33"/>
    </row>
    <row r="1691" spans="1:42" ht="15.75" customHeight="1">
      <c r="A1691" s="33"/>
      <c r="B1691" s="33"/>
      <c r="C1691" s="33"/>
      <c r="D1691" s="33"/>
      <c r="E1691" s="33"/>
      <c r="F1691" s="199"/>
      <c r="G1691" s="33"/>
      <c r="H1691" s="33"/>
      <c r="I1691" s="33"/>
      <c r="J1691" s="33"/>
      <c r="K1691" s="33"/>
      <c r="L1691" s="33"/>
      <c r="M1691" s="33"/>
      <c r="N1691" s="33"/>
      <c r="O1691" s="33"/>
      <c r="P1691" s="33"/>
      <c r="Q1691" s="33"/>
      <c r="R1691" s="33"/>
      <c r="S1691" s="33"/>
      <c r="T1691" s="33"/>
      <c r="U1691" s="33"/>
      <c r="V1691" s="33"/>
      <c r="W1691" s="33"/>
      <c r="X1691" s="33"/>
      <c r="Y1691" s="33"/>
      <c r="Z1691" s="33"/>
      <c r="AA1691" s="33"/>
      <c r="AB1691" s="33"/>
      <c r="AC1691" s="33"/>
      <c r="AD1691" s="33"/>
      <c r="AE1691" s="33"/>
      <c r="AF1691" s="33"/>
      <c r="AG1691" s="33"/>
      <c r="AH1691" s="33"/>
      <c r="AI1691" s="33"/>
      <c r="AJ1691" s="33"/>
      <c r="AK1691" s="216"/>
      <c r="AL1691" s="33"/>
      <c r="AM1691" s="33"/>
      <c r="AN1691" s="33"/>
      <c r="AO1691" s="33"/>
      <c r="AP1691" s="33"/>
    </row>
    <row r="1692" spans="1:42" ht="15.75" customHeight="1">
      <c r="A1692" s="33"/>
      <c r="B1692" s="33"/>
      <c r="C1692" s="33"/>
      <c r="D1692" s="33"/>
      <c r="E1692" s="33"/>
      <c r="F1692" s="199"/>
      <c r="G1692" s="33"/>
      <c r="H1692" s="33"/>
      <c r="I1692" s="33"/>
      <c r="J1692" s="33"/>
      <c r="K1692" s="33"/>
      <c r="L1692" s="33"/>
      <c r="M1692" s="33"/>
      <c r="N1692" s="33"/>
      <c r="O1692" s="33"/>
      <c r="P1692" s="33"/>
      <c r="Q1692" s="33"/>
      <c r="R1692" s="33"/>
      <c r="S1692" s="33"/>
      <c r="T1692" s="33"/>
      <c r="U1692" s="33"/>
      <c r="V1692" s="33"/>
      <c r="W1692" s="33"/>
      <c r="X1692" s="33"/>
      <c r="Y1692" s="33"/>
      <c r="Z1692" s="33"/>
      <c r="AA1692" s="33"/>
      <c r="AB1692" s="33"/>
      <c r="AC1692" s="33"/>
      <c r="AD1692" s="33"/>
      <c r="AE1692" s="33"/>
      <c r="AF1692" s="33"/>
      <c r="AG1692" s="33"/>
      <c r="AH1692" s="33"/>
      <c r="AI1692" s="33"/>
      <c r="AJ1692" s="33"/>
      <c r="AK1692" s="216"/>
      <c r="AL1692" s="33"/>
      <c r="AM1692" s="33"/>
      <c r="AN1692" s="33"/>
      <c r="AO1692" s="33"/>
      <c r="AP1692" s="33"/>
    </row>
    <row r="1693" spans="1:42" ht="15.75" customHeight="1">
      <c r="A1693" s="33"/>
      <c r="B1693" s="33"/>
      <c r="C1693" s="33"/>
      <c r="D1693" s="33"/>
      <c r="E1693" s="33"/>
      <c r="F1693" s="199"/>
      <c r="G1693" s="33"/>
      <c r="H1693" s="33"/>
      <c r="I1693" s="33"/>
      <c r="J1693" s="33"/>
      <c r="K1693" s="33"/>
      <c r="L1693" s="33"/>
      <c r="M1693" s="33"/>
      <c r="N1693" s="33"/>
      <c r="O1693" s="33"/>
      <c r="P1693" s="33"/>
      <c r="Q1693" s="33"/>
      <c r="R1693" s="33"/>
      <c r="S1693" s="33"/>
      <c r="T1693" s="33"/>
      <c r="U1693" s="33"/>
      <c r="V1693" s="33"/>
      <c r="W1693" s="33"/>
      <c r="X1693" s="33"/>
      <c r="Y1693" s="33"/>
      <c r="Z1693" s="33"/>
      <c r="AA1693" s="33"/>
      <c r="AB1693" s="33"/>
      <c r="AC1693" s="33"/>
      <c r="AD1693" s="33"/>
      <c r="AE1693" s="33"/>
      <c r="AF1693" s="33"/>
      <c r="AG1693" s="33"/>
      <c r="AH1693" s="33"/>
      <c r="AI1693" s="33"/>
      <c r="AJ1693" s="33"/>
      <c r="AK1693" s="216"/>
      <c r="AL1693" s="33"/>
      <c r="AM1693" s="33"/>
      <c r="AN1693" s="33"/>
      <c r="AO1693" s="33"/>
      <c r="AP1693" s="33"/>
    </row>
    <row r="1694" spans="1:42" ht="15.75" customHeight="1">
      <c r="A1694" s="33"/>
      <c r="B1694" s="33"/>
      <c r="C1694" s="33"/>
      <c r="D1694" s="33"/>
      <c r="E1694" s="33"/>
      <c r="F1694" s="199"/>
      <c r="G1694" s="33"/>
      <c r="H1694" s="33"/>
      <c r="I1694" s="33"/>
      <c r="J1694" s="33"/>
      <c r="K1694" s="33"/>
      <c r="L1694" s="33"/>
      <c r="M1694" s="33"/>
      <c r="N1694" s="33"/>
      <c r="O1694" s="33"/>
      <c r="P1694" s="33"/>
      <c r="Q1694" s="33"/>
      <c r="R1694" s="33"/>
      <c r="S1694" s="33"/>
      <c r="T1694" s="33"/>
      <c r="U1694" s="33"/>
      <c r="V1694" s="33"/>
      <c r="W1694" s="33"/>
      <c r="X1694" s="33"/>
      <c r="Y1694" s="33"/>
      <c r="Z1694" s="33"/>
      <c r="AA1694" s="33"/>
      <c r="AB1694" s="33"/>
      <c r="AC1694" s="33"/>
      <c r="AD1694" s="33"/>
      <c r="AE1694" s="33"/>
      <c r="AF1694" s="33"/>
      <c r="AG1694" s="33"/>
      <c r="AH1694" s="33"/>
      <c r="AI1694" s="33"/>
      <c r="AJ1694" s="33"/>
      <c r="AK1694" s="216"/>
      <c r="AL1694" s="33"/>
      <c r="AM1694" s="33"/>
      <c r="AN1694" s="33"/>
      <c r="AO1694" s="33"/>
      <c r="AP1694" s="33"/>
    </row>
    <row r="1695" spans="1:42" ht="15.75" customHeight="1">
      <c r="A1695" s="33"/>
      <c r="B1695" s="33"/>
      <c r="C1695" s="33"/>
      <c r="D1695" s="33"/>
      <c r="E1695" s="33"/>
      <c r="F1695" s="199"/>
      <c r="G1695" s="33"/>
      <c r="H1695" s="33"/>
      <c r="I1695" s="33"/>
      <c r="J1695" s="33"/>
      <c r="K1695" s="33"/>
      <c r="L1695" s="33"/>
      <c r="M1695" s="33"/>
      <c r="N1695" s="33"/>
      <c r="O1695" s="33"/>
      <c r="P1695" s="33"/>
      <c r="Q1695" s="33"/>
      <c r="R1695" s="33"/>
      <c r="S1695" s="33"/>
      <c r="T1695" s="33"/>
      <c r="U1695" s="33"/>
      <c r="V1695" s="33"/>
      <c r="W1695" s="33"/>
      <c r="X1695" s="33"/>
      <c r="Y1695" s="33"/>
      <c r="Z1695" s="33"/>
      <c r="AA1695" s="33"/>
      <c r="AB1695" s="33"/>
      <c r="AC1695" s="33"/>
      <c r="AD1695" s="33"/>
      <c r="AE1695" s="33"/>
      <c r="AF1695" s="33"/>
      <c r="AG1695" s="33"/>
      <c r="AH1695" s="33"/>
      <c r="AI1695" s="33"/>
      <c r="AJ1695" s="33"/>
      <c r="AK1695" s="216"/>
      <c r="AL1695" s="33"/>
      <c r="AM1695" s="33"/>
      <c r="AN1695" s="33"/>
      <c r="AO1695" s="33"/>
      <c r="AP1695" s="33"/>
    </row>
    <row r="1696" spans="1:42" ht="15.75" customHeight="1">
      <c r="A1696" s="33"/>
      <c r="B1696" s="33"/>
      <c r="C1696" s="33"/>
      <c r="D1696" s="33"/>
      <c r="E1696" s="33"/>
      <c r="F1696" s="199"/>
      <c r="G1696" s="33"/>
      <c r="H1696" s="33"/>
      <c r="I1696" s="33"/>
      <c r="J1696" s="33"/>
      <c r="K1696" s="33"/>
      <c r="L1696" s="33"/>
      <c r="M1696" s="33"/>
      <c r="N1696" s="33"/>
      <c r="O1696" s="33"/>
      <c r="P1696" s="33"/>
      <c r="Q1696" s="33"/>
      <c r="R1696" s="33"/>
      <c r="S1696" s="33"/>
      <c r="T1696" s="33"/>
      <c r="U1696" s="33"/>
      <c r="V1696" s="33"/>
      <c r="W1696" s="33"/>
      <c r="X1696" s="33"/>
      <c r="Y1696" s="33"/>
      <c r="Z1696" s="33"/>
      <c r="AA1696" s="33"/>
      <c r="AB1696" s="33"/>
      <c r="AC1696" s="33"/>
      <c r="AD1696" s="33"/>
      <c r="AE1696" s="33"/>
      <c r="AF1696" s="33"/>
      <c r="AG1696" s="33"/>
      <c r="AH1696" s="33"/>
      <c r="AI1696" s="33"/>
      <c r="AJ1696" s="33"/>
      <c r="AK1696" s="216"/>
      <c r="AL1696" s="33"/>
      <c r="AM1696" s="33"/>
      <c r="AN1696" s="33"/>
      <c r="AO1696" s="33"/>
      <c r="AP1696" s="33"/>
    </row>
    <row r="1697" spans="1:42" ht="15.75" customHeight="1">
      <c r="A1697" s="33"/>
      <c r="B1697" s="33"/>
      <c r="C1697" s="33"/>
      <c r="D1697" s="33"/>
      <c r="E1697" s="33"/>
      <c r="F1697" s="199"/>
      <c r="G1697" s="33"/>
      <c r="H1697" s="33"/>
      <c r="I1697" s="33"/>
      <c r="J1697" s="33"/>
      <c r="K1697" s="33"/>
      <c r="L1697" s="33"/>
      <c r="M1697" s="33"/>
      <c r="N1697" s="33"/>
      <c r="O1697" s="33"/>
      <c r="P1697" s="33"/>
      <c r="Q1697" s="33"/>
      <c r="R1697" s="33"/>
      <c r="S1697" s="33"/>
      <c r="T1697" s="33"/>
      <c r="U1697" s="33"/>
      <c r="V1697" s="33"/>
      <c r="W1697" s="33"/>
      <c r="X1697" s="33"/>
      <c r="Y1697" s="33"/>
      <c r="Z1697" s="33"/>
      <c r="AA1697" s="33"/>
      <c r="AB1697" s="33"/>
      <c r="AC1697" s="33"/>
      <c r="AD1697" s="33"/>
      <c r="AE1697" s="33"/>
      <c r="AF1697" s="33"/>
      <c r="AG1697" s="33"/>
      <c r="AH1697" s="33"/>
      <c r="AI1697" s="33"/>
      <c r="AJ1697" s="33"/>
      <c r="AK1697" s="216"/>
      <c r="AL1697" s="33"/>
      <c r="AM1697" s="33"/>
      <c r="AN1697" s="33"/>
      <c r="AO1697" s="33"/>
      <c r="AP1697" s="33"/>
    </row>
    <row r="1698" spans="1:42" ht="15.75" customHeight="1">
      <c r="A1698" s="33"/>
      <c r="B1698" s="33"/>
      <c r="C1698" s="33"/>
      <c r="D1698" s="33"/>
      <c r="E1698" s="33"/>
      <c r="F1698" s="199"/>
      <c r="G1698" s="33"/>
      <c r="H1698" s="33"/>
      <c r="I1698" s="33"/>
      <c r="J1698" s="33"/>
      <c r="K1698" s="33"/>
      <c r="L1698" s="33"/>
      <c r="M1698" s="33"/>
      <c r="N1698" s="33"/>
      <c r="O1698" s="33"/>
      <c r="P1698" s="33"/>
      <c r="Q1698" s="33"/>
      <c r="R1698" s="33"/>
      <c r="S1698" s="33"/>
      <c r="T1698" s="33"/>
      <c r="U1698" s="33"/>
      <c r="V1698" s="33"/>
      <c r="W1698" s="33"/>
      <c r="X1698" s="33"/>
      <c r="Y1698" s="33"/>
      <c r="Z1698" s="33"/>
      <c r="AA1698" s="33"/>
      <c r="AB1698" s="33"/>
      <c r="AC1698" s="33"/>
      <c r="AD1698" s="33"/>
      <c r="AE1698" s="33"/>
      <c r="AF1698" s="33"/>
      <c r="AG1698" s="33"/>
      <c r="AH1698" s="33"/>
      <c r="AI1698" s="33"/>
      <c r="AJ1698" s="33"/>
      <c r="AK1698" s="216"/>
      <c r="AL1698" s="33"/>
      <c r="AM1698" s="33"/>
      <c r="AN1698" s="33"/>
      <c r="AO1698" s="33"/>
      <c r="AP1698" s="33"/>
    </row>
    <row r="1699" spans="1:42" ht="15.75" customHeight="1">
      <c r="A1699" s="33"/>
      <c r="B1699" s="33"/>
      <c r="C1699" s="33"/>
      <c r="D1699" s="33"/>
      <c r="E1699" s="33"/>
      <c r="F1699" s="199"/>
      <c r="G1699" s="33"/>
      <c r="H1699" s="33"/>
      <c r="I1699" s="33"/>
      <c r="J1699" s="33"/>
      <c r="K1699" s="33"/>
      <c r="L1699" s="33"/>
      <c r="M1699" s="33"/>
      <c r="N1699" s="33"/>
      <c r="O1699" s="33"/>
      <c r="P1699" s="33"/>
      <c r="Q1699" s="33"/>
      <c r="R1699" s="33"/>
      <c r="S1699" s="33"/>
      <c r="T1699" s="33"/>
      <c r="U1699" s="33"/>
      <c r="V1699" s="33"/>
      <c r="W1699" s="33"/>
      <c r="X1699" s="33"/>
      <c r="Y1699" s="33"/>
      <c r="Z1699" s="33"/>
      <c r="AA1699" s="33"/>
      <c r="AB1699" s="33"/>
      <c r="AC1699" s="33"/>
      <c r="AD1699" s="33"/>
      <c r="AE1699" s="33"/>
      <c r="AF1699" s="33"/>
      <c r="AG1699" s="33"/>
      <c r="AH1699" s="33"/>
      <c r="AI1699" s="33"/>
      <c r="AJ1699" s="33"/>
      <c r="AK1699" s="216"/>
      <c r="AL1699" s="33"/>
      <c r="AM1699" s="33"/>
      <c r="AN1699" s="33"/>
      <c r="AO1699" s="33"/>
      <c r="AP1699" s="33"/>
    </row>
    <row r="1700" spans="1:42" ht="15.75" customHeight="1">
      <c r="A1700" s="33"/>
      <c r="B1700" s="33"/>
      <c r="C1700" s="33"/>
      <c r="D1700" s="33"/>
      <c r="E1700" s="33"/>
      <c r="F1700" s="199"/>
      <c r="G1700" s="33"/>
      <c r="H1700" s="33"/>
      <c r="I1700" s="33"/>
      <c r="J1700" s="33"/>
      <c r="K1700" s="33"/>
      <c r="L1700" s="33"/>
      <c r="M1700" s="33"/>
      <c r="N1700" s="33"/>
      <c r="O1700" s="33"/>
      <c r="P1700" s="33"/>
      <c r="Q1700" s="33"/>
      <c r="R1700" s="33"/>
      <c r="S1700" s="33"/>
      <c r="T1700" s="33"/>
      <c r="U1700" s="33"/>
      <c r="V1700" s="33"/>
      <c r="W1700" s="33"/>
      <c r="X1700" s="33"/>
      <c r="Y1700" s="33"/>
      <c r="Z1700" s="33"/>
      <c r="AA1700" s="33"/>
      <c r="AB1700" s="33"/>
      <c r="AC1700" s="33"/>
      <c r="AD1700" s="33"/>
      <c r="AE1700" s="33"/>
      <c r="AF1700" s="33"/>
      <c r="AG1700" s="33"/>
      <c r="AH1700" s="33"/>
      <c r="AI1700" s="33"/>
      <c r="AJ1700" s="33"/>
      <c r="AK1700" s="216"/>
      <c r="AL1700" s="33"/>
      <c r="AM1700" s="33"/>
      <c r="AN1700" s="33"/>
      <c r="AO1700" s="33"/>
      <c r="AP1700" s="33"/>
    </row>
    <row r="1701" spans="1:42" ht="15.75" customHeight="1">
      <c r="A1701" s="33"/>
      <c r="B1701" s="33"/>
      <c r="C1701" s="33"/>
      <c r="D1701" s="33"/>
      <c r="E1701" s="33"/>
      <c r="F1701" s="199"/>
      <c r="G1701" s="33"/>
      <c r="H1701" s="33"/>
      <c r="I1701" s="33"/>
      <c r="J1701" s="33"/>
      <c r="K1701" s="33"/>
      <c r="L1701" s="33"/>
      <c r="M1701" s="33"/>
      <c r="N1701" s="33"/>
      <c r="O1701" s="33"/>
      <c r="P1701" s="33"/>
      <c r="Q1701" s="33"/>
      <c r="R1701" s="33"/>
      <c r="S1701" s="33"/>
      <c r="T1701" s="33"/>
      <c r="U1701" s="33"/>
      <c r="V1701" s="33"/>
      <c r="W1701" s="33"/>
      <c r="X1701" s="33"/>
      <c r="Y1701" s="33"/>
      <c r="Z1701" s="33"/>
      <c r="AA1701" s="33"/>
      <c r="AB1701" s="33"/>
      <c r="AC1701" s="33"/>
      <c r="AD1701" s="33"/>
      <c r="AE1701" s="33"/>
      <c r="AF1701" s="33"/>
      <c r="AG1701" s="33"/>
      <c r="AH1701" s="33"/>
      <c r="AI1701" s="33"/>
      <c r="AJ1701" s="33"/>
      <c r="AK1701" s="216"/>
      <c r="AL1701" s="33"/>
      <c r="AM1701" s="33"/>
      <c r="AN1701" s="33"/>
      <c r="AO1701" s="33"/>
      <c r="AP1701" s="33"/>
    </row>
    <row r="1702" spans="1:42" ht="15.75" customHeight="1">
      <c r="A1702" s="33"/>
      <c r="B1702" s="33"/>
      <c r="C1702" s="33"/>
      <c r="D1702" s="33"/>
      <c r="E1702" s="33"/>
      <c r="F1702" s="199"/>
      <c r="G1702" s="33"/>
      <c r="H1702" s="33"/>
      <c r="I1702" s="33"/>
      <c r="J1702" s="33"/>
      <c r="K1702" s="33"/>
      <c r="L1702" s="33"/>
      <c r="M1702" s="33"/>
      <c r="N1702" s="33"/>
      <c r="O1702" s="33"/>
      <c r="P1702" s="33"/>
      <c r="Q1702" s="33"/>
      <c r="R1702" s="33"/>
      <c r="S1702" s="33"/>
      <c r="T1702" s="33"/>
      <c r="U1702" s="33"/>
      <c r="V1702" s="33"/>
      <c r="W1702" s="33"/>
      <c r="X1702" s="33"/>
      <c r="Y1702" s="33"/>
      <c r="Z1702" s="33"/>
      <c r="AA1702" s="33"/>
      <c r="AB1702" s="33"/>
      <c r="AC1702" s="33"/>
      <c r="AD1702" s="33"/>
      <c r="AE1702" s="33"/>
      <c r="AF1702" s="33"/>
      <c r="AG1702" s="33"/>
      <c r="AH1702" s="33"/>
      <c r="AI1702" s="33"/>
      <c r="AJ1702" s="33"/>
      <c r="AK1702" s="216"/>
      <c r="AL1702" s="33"/>
      <c r="AM1702" s="33"/>
      <c r="AN1702" s="33"/>
      <c r="AO1702" s="33"/>
      <c r="AP1702" s="33"/>
    </row>
    <row r="1703" spans="1:42" ht="15.75" customHeight="1">
      <c r="A1703" s="33"/>
      <c r="B1703" s="33"/>
      <c r="C1703" s="33"/>
      <c r="D1703" s="33"/>
      <c r="E1703" s="33"/>
      <c r="F1703" s="199"/>
      <c r="G1703" s="33"/>
      <c r="H1703" s="33"/>
      <c r="I1703" s="33"/>
      <c r="J1703" s="33"/>
      <c r="K1703" s="33"/>
      <c r="L1703" s="33"/>
      <c r="M1703" s="33"/>
      <c r="N1703" s="33"/>
      <c r="O1703" s="33"/>
      <c r="P1703" s="33"/>
      <c r="Q1703" s="33"/>
      <c r="R1703" s="33"/>
      <c r="S1703" s="33"/>
      <c r="T1703" s="33"/>
      <c r="U1703" s="33"/>
      <c r="V1703" s="33"/>
      <c r="W1703" s="33"/>
      <c r="X1703" s="33"/>
      <c r="Y1703" s="33"/>
      <c r="Z1703" s="33"/>
      <c r="AA1703" s="33"/>
      <c r="AB1703" s="33"/>
      <c r="AC1703" s="33"/>
      <c r="AD1703" s="33"/>
      <c r="AE1703" s="33"/>
      <c r="AF1703" s="33"/>
      <c r="AG1703" s="33"/>
      <c r="AH1703" s="33"/>
      <c r="AI1703" s="33"/>
      <c r="AJ1703" s="33"/>
      <c r="AK1703" s="216"/>
      <c r="AL1703" s="33"/>
      <c r="AM1703" s="33"/>
      <c r="AN1703" s="33"/>
      <c r="AO1703" s="33"/>
      <c r="AP1703" s="33"/>
    </row>
    <row r="1704" spans="1:42" ht="15.75" customHeight="1">
      <c r="A1704" s="33"/>
      <c r="B1704" s="33"/>
      <c r="C1704" s="33"/>
      <c r="D1704" s="33"/>
      <c r="E1704" s="33"/>
      <c r="F1704" s="199"/>
      <c r="G1704" s="33"/>
      <c r="H1704" s="33"/>
      <c r="I1704" s="33"/>
      <c r="J1704" s="33"/>
      <c r="K1704" s="33"/>
      <c r="L1704" s="33"/>
      <c r="M1704" s="33"/>
      <c r="N1704" s="33"/>
      <c r="O1704" s="33"/>
      <c r="P1704" s="33"/>
      <c r="Q1704" s="33"/>
      <c r="R1704" s="33"/>
      <c r="S1704" s="33"/>
      <c r="T1704" s="33"/>
      <c r="U1704" s="33"/>
      <c r="V1704" s="33"/>
      <c r="W1704" s="33"/>
      <c r="X1704" s="33"/>
      <c r="Y1704" s="33"/>
      <c r="Z1704" s="33"/>
      <c r="AA1704" s="33"/>
      <c r="AB1704" s="33"/>
      <c r="AC1704" s="33"/>
      <c r="AD1704" s="33"/>
      <c r="AE1704" s="33"/>
      <c r="AF1704" s="33"/>
      <c r="AG1704" s="33"/>
      <c r="AH1704" s="33"/>
      <c r="AI1704" s="33"/>
      <c r="AJ1704" s="33"/>
      <c r="AK1704" s="216"/>
      <c r="AL1704" s="33"/>
      <c r="AM1704" s="33"/>
      <c r="AN1704" s="33"/>
      <c r="AO1704" s="33"/>
      <c r="AP1704" s="33"/>
    </row>
    <row r="1705" spans="1:42" ht="15.75" customHeight="1">
      <c r="A1705" s="33"/>
      <c r="B1705" s="33"/>
      <c r="C1705" s="33"/>
      <c r="D1705" s="33"/>
      <c r="E1705" s="33"/>
      <c r="F1705" s="199"/>
      <c r="G1705" s="33"/>
      <c r="H1705" s="33"/>
      <c r="I1705" s="33"/>
      <c r="J1705" s="33"/>
      <c r="K1705" s="33"/>
      <c r="L1705" s="33"/>
      <c r="M1705" s="33"/>
      <c r="N1705" s="33"/>
      <c r="O1705" s="33"/>
      <c r="P1705" s="33"/>
      <c r="Q1705" s="33"/>
      <c r="R1705" s="33"/>
      <c r="S1705" s="33"/>
      <c r="T1705" s="33"/>
      <c r="U1705" s="33"/>
      <c r="V1705" s="33"/>
      <c r="W1705" s="33"/>
      <c r="X1705" s="33"/>
      <c r="Y1705" s="33"/>
      <c r="Z1705" s="33"/>
      <c r="AA1705" s="33"/>
      <c r="AB1705" s="33"/>
      <c r="AC1705" s="33"/>
      <c r="AD1705" s="33"/>
      <c r="AE1705" s="33"/>
      <c r="AF1705" s="33"/>
      <c r="AG1705" s="33"/>
      <c r="AH1705" s="33"/>
      <c r="AI1705" s="33"/>
      <c r="AJ1705" s="33"/>
      <c r="AK1705" s="216"/>
      <c r="AL1705" s="33"/>
      <c r="AM1705" s="33"/>
      <c r="AN1705" s="33"/>
      <c r="AO1705" s="33"/>
      <c r="AP1705" s="33"/>
    </row>
    <row r="1706" spans="1:42" ht="15.75" customHeight="1">
      <c r="A1706" s="33"/>
      <c r="B1706" s="33"/>
      <c r="C1706" s="33"/>
      <c r="D1706" s="33"/>
      <c r="E1706" s="33"/>
      <c r="F1706" s="199"/>
      <c r="G1706" s="33"/>
      <c r="H1706" s="33"/>
      <c r="I1706" s="33"/>
      <c r="J1706" s="33"/>
      <c r="K1706" s="33"/>
      <c r="L1706" s="33"/>
      <c r="M1706" s="33"/>
      <c r="N1706" s="33"/>
      <c r="O1706" s="33"/>
      <c r="P1706" s="33"/>
      <c r="Q1706" s="33"/>
      <c r="R1706" s="33"/>
      <c r="S1706" s="33"/>
      <c r="T1706" s="33"/>
      <c r="U1706" s="33"/>
      <c r="V1706" s="33"/>
      <c r="W1706" s="33"/>
      <c r="X1706" s="33"/>
      <c r="Y1706" s="33"/>
      <c r="Z1706" s="33"/>
      <c r="AA1706" s="33"/>
      <c r="AB1706" s="33"/>
      <c r="AC1706" s="33"/>
      <c r="AD1706" s="33"/>
      <c r="AE1706" s="33"/>
      <c r="AF1706" s="33"/>
      <c r="AG1706" s="33"/>
      <c r="AH1706" s="33"/>
      <c r="AI1706" s="33"/>
      <c r="AJ1706" s="33"/>
      <c r="AK1706" s="216"/>
      <c r="AL1706" s="33"/>
      <c r="AM1706" s="33"/>
      <c r="AN1706" s="33"/>
      <c r="AO1706" s="33"/>
      <c r="AP1706" s="33"/>
    </row>
    <row r="1707" spans="1:42" ht="15.75" customHeight="1">
      <c r="A1707" s="33"/>
      <c r="B1707" s="33"/>
      <c r="C1707" s="33"/>
      <c r="D1707" s="33"/>
      <c r="E1707" s="33"/>
      <c r="F1707" s="199"/>
      <c r="G1707" s="33"/>
      <c r="H1707" s="33"/>
      <c r="I1707" s="33"/>
      <c r="J1707" s="33"/>
      <c r="K1707" s="33"/>
      <c r="L1707" s="33"/>
      <c r="M1707" s="33"/>
      <c r="N1707" s="33"/>
      <c r="O1707" s="33"/>
      <c r="P1707" s="33"/>
      <c r="Q1707" s="33"/>
      <c r="R1707" s="33"/>
      <c r="S1707" s="33"/>
      <c r="T1707" s="33"/>
      <c r="U1707" s="33"/>
      <c r="V1707" s="33"/>
      <c r="W1707" s="33"/>
      <c r="X1707" s="33"/>
      <c r="Y1707" s="33"/>
      <c r="Z1707" s="33"/>
      <c r="AA1707" s="33"/>
      <c r="AB1707" s="33"/>
      <c r="AC1707" s="33"/>
      <c r="AD1707" s="33"/>
      <c r="AE1707" s="33"/>
      <c r="AF1707" s="33"/>
      <c r="AG1707" s="33"/>
      <c r="AH1707" s="33"/>
      <c r="AI1707" s="33"/>
      <c r="AJ1707" s="33"/>
      <c r="AK1707" s="216"/>
      <c r="AL1707" s="33"/>
      <c r="AM1707" s="33"/>
      <c r="AN1707" s="33"/>
      <c r="AO1707" s="33"/>
      <c r="AP1707" s="33"/>
    </row>
    <row r="1708" spans="1:42" ht="15.75" customHeight="1">
      <c r="A1708" s="33"/>
      <c r="B1708" s="33"/>
      <c r="C1708" s="33"/>
      <c r="D1708" s="33"/>
      <c r="E1708" s="33"/>
      <c r="F1708" s="199"/>
      <c r="G1708" s="33"/>
      <c r="H1708" s="33"/>
      <c r="I1708" s="33"/>
      <c r="J1708" s="33"/>
      <c r="K1708" s="33"/>
      <c r="L1708" s="33"/>
      <c r="M1708" s="33"/>
      <c r="N1708" s="33"/>
      <c r="O1708" s="33"/>
      <c r="P1708" s="33"/>
      <c r="Q1708" s="33"/>
      <c r="R1708" s="33"/>
      <c r="S1708" s="33"/>
      <c r="T1708" s="33"/>
      <c r="U1708" s="33"/>
      <c r="V1708" s="33"/>
      <c r="W1708" s="33"/>
      <c r="X1708" s="33"/>
      <c r="Y1708" s="33"/>
      <c r="Z1708" s="33"/>
      <c r="AA1708" s="33"/>
      <c r="AB1708" s="33"/>
      <c r="AC1708" s="33"/>
      <c r="AD1708" s="33"/>
      <c r="AE1708" s="33"/>
      <c r="AF1708" s="33"/>
      <c r="AG1708" s="33"/>
      <c r="AH1708" s="33"/>
      <c r="AI1708" s="33"/>
      <c r="AJ1708" s="33"/>
      <c r="AK1708" s="216"/>
      <c r="AL1708" s="33"/>
      <c r="AM1708" s="33"/>
      <c r="AN1708" s="33"/>
      <c r="AO1708" s="33"/>
      <c r="AP1708" s="33"/>
    </row>
    <row r="1709" spans="1:42" ht="15.75" customHeight="1">
      <c r="A1709" s="33"/>
      <c r="B1709" s="33"/>
      <c r="C1709" s="33"/>
      <c r="D1709" s="33"/>
      <c r="E1709" s="33"/>
      <c r="F1709" s="199"/>
      <c r="G1709" s="33"/>
      <c r="H1709" s="33"/>
      <c r="I1709" s="33"/>
      <c r="J1709" s="33"/>
      <c r="K1709" s="33"/>
      <c r="L1709" s="33"/>
      <c r="M1709" s="33"/>
      <c r="N1709" s="33"/>
      <c r="O1709" s="33"/>
      <c r="P1709" s="33"/>
      <c r="Q1709" s="33"/>
      <c r="R1709" s="33"/>
      <c r="S1709" s="33"/>
      <c r="T1709" s="33"/>
      <c r="U1709" s="33"/>
      <c r="V1709" s="33"/>
      <c r="W1709" s="33"/>
      <c r="X1709" s="33"/>
      <c r="Y1709" s="33"/>
      <c r="Z1709" s="33"/>
      <c r="AA1709" s="33"/>
      <c r="AB1709" s="33"/>
      <c r="AC1709" s="33"/>
      <c r="AD1709" s="33"/>
      <c r="AE1709" s="33"/>
      <c r="AF1709" s="33"/>
      <c r="AG1709" s="33"/>
      <c r="AH1709" s="33"/>
      <c r="AI1709" s="33"/>
      <c r="AJ1709" s="33"/>
      <c r="AK1709" s="216"/>
      <c r="AL1709" s="33"/>
      <c r="AM1709" s="33"/>
      <c r="AN1709" s="33"/>
      <c r="AO1709" s="33"/>
      <c r="AP1709" s="33"/>
    </row>
    <row r="1710" spans="1:42" ht="15.75" customHeight="1">
      <c r="A1710" s="33"/>
      <c r="B1710" s="33"/>
      <c r="C1710" s="33"/>
      <c r="D1710" s="33"/>
      <c r="E1710" s="33"/>
      <c r="F1710" s="199"/>
      <c r="G1710" s="33"/>
      <c r="H1710" s="33"/>
      <c r="I1710" s="33"/>
      <c r="J1710" s="33"/>
      <c r="K1710" s="33"/>
      <c r="L1710" s="33"/>
      <c r="M1710" s="33"/>
      <c r="N1710" s="33"/>
      <c r="O1710" s="33"/>
      <c r="P1710" s="33"/>
      <c r="Q1710" s="33"/>
      <c r="R1710" s="33"/>
      <c r="S1710" s="33"/>
      <c r="T1710" s="33"/>
      <c r="U1710" s="33"/>
      <c r="V1710" s="33"/>
      <c r="W1710" s="33"/>
      <c r="X1710" s="33"/>
      <c r="Y1710" s="33"/>
      <c r="Z1710" s="33"/>
      <c r="AA1710" s="33"/>
      <c r="AB1710" s="33"/>
      <c r="AC1710" s="33"/>
      <c r="AD1710" s="33"/>
      <c r="AE1710" s="33"/>
      <c r="AF1710" s="33"/>
      <c r="AG1710" s="33"/>
      <c r="AH1710" s="33"/>
      <c r="AI1710" s="33"/>
      <c r="AJ1710" s="33"/>
      <c r="AK1710" s="216"/>
      <c r="AL1710" s="33"/>
      <c r="AM1710" s="33"/>
      <c r="AN1710" s="33"/>
      <c r="AO1710" s="33"/>
      <c r="AP1710" s="33"/>
    </row>
    <row r="1711" spans="1:42" ht="15.75" customHeight="1">
      <c r="A1711" s="33"/>
      <c r="B1711" s="33"/>
      <c r="C1711" s="33"/>
      <c r="D1711" s="33"/>
      <c r="E1711" s="33"/>
      <c r="F1711" s="199"/>
      <c r="G1711" s="33"/>
      <c r="H1711" s="33"/>
      <c r="I1711" s="33"/>
      <c r="J1711" s="33"/>
      <c r="K1711" s="33"/>
      <c r="L1711" s="33"/>
      <c r="M1711" s="33"/>
      <c r="N1711" s="33"/>
      <c r="O1711" s="33"/>
      <c r="P1711" s="33"/>
      <c r="Q1711" s="33"/>
      <c r="R1711" s="33"/>
      <c r="S1711" s="33"/>
      <c r="T1711" s="33"/>
      <c r="U1711" s="33"/>
      <c r="V1711" s="33"/>
      <c r="W1711" s="33"/>
      <c r="X1711" s="33"/>
      <c r="Y1711" s="33"/>
      <c r="Z1711" s="33"/>
      <c r="AA1711" s="33"/>
      <c r="AB1711" s="33"/>
      <c r="AC1711" s="33"/>
      <c r="AD1711" s="33"/>
      <c r="AE1711" s="33"/>
      <c r="AF1711" s="33"/>
      <c r="AG1711" s="33"/>
      <c r="AH1711" s="33"/>
      <c r="AI1711" s="33"/>
      <c r="AJ1711" s="33"/>
      <c r="AK1711" s="216"/>
      <c r="AL1711" s="33"/>
      <c r="AM1711" s="33"/>
      <c r="AN1711" s="33"/>
      <c r="AO1711" s="33"/>
      <c r="AP1711" s="33"/>
    </row>
    <row r="1712" spans="1:42" ht="15.75" customHeight="1">
      <c r="A1712" s="33"/>
      <c r="B1712" s="33"/>
      <c r="C1712" s="33"/>
      <c r="D1712" s="33"/>
      <c r="E1712" s="33"/>
      <c r="F1712" s="199"/>
      <c r="G1712" s="33"/>
      <c r="H1712" s="33"/>
      <c r="I1712" s="33"/>
      <c r="J1712" s="33"/>
      <c r="K1712" s="33"/>
      <c r="L1712" s="33"/>
      <c r="M1712" s="33"/>
      <c r="N1712" s="33"/>
      <c r="O1712" s="33"/>
      <c r="P1712" s="33"/>
      <c r="Q1712" s="33"/>
      <c r="R1712" s="33"/>
      <c r="S1712" s="33"/>
      <c r="T1712" s="33"/>
      <c r="U1712" s="33"/>
      <c r="V1712" s="33"/>
      <c r="W1712" s="33"/>
      <c r="X1712" s="33"/>
      <c r="Y1712" s="33"/>
      <c r="Z1712" s="33"/>
      <c r="AA1712" s="33"/>
      <c r="AB1712" s="33"/>
      <c r="AC1712" s="33"/>
      <c r="AD1712" s="33"/>
      <c r="AE1712" s="33"/>
      <c r="AF1712" s="33"/>
      <c r="AG1712" s="33"/>
      <c r="AH1712" s="33"/>
      <c r="AI1712" s="33"/>
      <c r="AJ1712" s="33"/>
      <c r="AK1712" s="216"/>
      <c r="AL1712" s="33"/>
      <c r="AM1712" s="33"/>
      <c r="AN1712" s="33"/>
      <c r="AO1712" s="33"/>
      <c r="AP1712" s="33"/>
    </row>
    <row r="1713" spans="1:42" ht="15.75" customHeight="1">
      <c r="A1713" s="33"/>
      <c r="B1713" s="33"/>
      <c r="C1713" s="33"/>
      <c r="D1713" s="33"/>
      <c r="E1713" s="33"/>
      <c r="F1713" s="199"/>
      <c r="G1713" s="33"/>
      <c r="H1713" s="33"/>
      <c r="I1713" s="33"/>
      <c r="J1713" s="33"/>
      <c r="K1713" s="33"/>
      <c r="L1713" s="33"/>
      <c r="M1713" s="33"/>
      <c r="N1713" s="33"/>
      <c r="O1713" s="33"/>
      <c r="P1713" s="33"/>
      <c r="Q1713" s="33"/>
      <c r="R1713" s="33"/>
      <c r="S1713" s="33"/>
      <c r="T1713" s="33"/>
      <c r="U1713" s="33"/>
      <c r="V1713" s="33"/>
      <c r="W1713" s="33"/>
      <c r="X1713" s="33"/>
      <c r="Y1713" s="33"/>
      <c r="Z1713" s="33"/>
      <c r="AA1713" s="33"/>
      <c r="AB1713" s="33"/>
      <c r="AC1713" s="33"/>
      <c r="AD1713" s="33"/>
      <c r="AE1713" s="33"/>
      <c r="AF1713" s="33"/>
      <c r="AG1713" s="33"/>
      <c r="AH1713" s="33"/>
      <c r="AI1713" s="33"/>
      <c r="AJ1713" s="33"/>
      <c r="AK1713" s="216"/>
      <c r="AL1713" s="33"/>
      <c r="AM1713" s="33"/>
      <c r="AN1713" s="33"/>
      <c r="AO1713" s="33"/>
      <c r="AP1713" s="33"/>
    </row>
    <row r="1714" spans="1:42" ht="15.75" customHeight="1">
      <c r="A1714" s="33"/>
      <c r="B1714" s="33"/>
      <c r="C1714" s="33"/>
      <c r="D1714" s="33"/>
      <c r="E1714" s="33"/>
      <c r="F1714" s="199"/>
      <c r="G1714" s="33"/>
      <c r="H1714" s="33"/>
      <c r="I1714" s="33"/>
      <c r="J1714" s="33"/>
      <c r="K1714" s="33"/>
      <c r="L1714" s="33"/>
      <c r="M1714" s="33"/>
      <c r="N1714" s="33"/>
      <c r="O1714" s="33"/>
      <c r="P1714" s="33"/>
      <c r="Q1714" s="33"/>
      <c r="R1714" s="33"/>
      <c r="S1714" s="33"/>
      <c r="T1714" s="33"/>
      <c r="U1714" s="33"/>
      <c r="V1714" s="33"/>
      <c r="W1714" s="33"/>
      <c r="X1714" s="33"/>
      <c r="Y1714" s="33"/>
      <c r="Z1714" s="33"/>
      <c r="AA1714" s="33"/>
      <c r="AB1714" s="33"/>
      <c r="AC1714" s="33"/>
      <c r="AD1714" s="33"/>
      <c r="AE1714" s="33"/>
      <c r="AF1714" s="33"/>
      <c r="AG1714" s="33"/>
      <c r="AH1714" s="33"/>
      <c r="AI1714" s="33"/>
      <c r="AJ1714" s="33"/>
      <c r="AK1714" s="216"/>
      <c r="AL1714" s="33"/>
      <c r="AM1714" s="33"/>
      <c r="AN1714" s="33"/>
      <c r="AO1714" s="33"/>
      <c r="AP1714" s="33"/>
    </row>
    <row r="1715" spans="1:42" ht="15.75" customHeight="1">
      <c r="A1715" s="33"/>
      <c r="B1715" s="33"/>
      <c r="C1715" s="33"/>
      <c r="D1715" s="33"/>
      <c r="E1715" s="33"/>
      <c r="F1715" s="199"/>
      <c r="G1715" s="33"/>
      <c r="H1715" s="33"/>
      <c r="I1715" s="33"/>
      <c r="J1715" s="33"/>
      <c r="K1715" s="33"/>
      <c r="L1715" s="33"/>
      <c r="M1715" s="33"/>
      <c r="N1715" s="33"/>
      <c r="O1715" s="33"/>
      <c r="P1715" s="33"/>
      <c r="Q1715" s="33"/>
      <c r="R1715" s="33"/>
      <c r="S1715" s="33"/>
      <c r="T1715" s="33"/>
      <c r="U1715" s="33"/>
      <c r="V1715" s="33"/>
      <c r="W1715" s="33"/>
      <c r="X1715" s="33"/>
      <c r="Y1715" s="33"/>
      <c r="Z1715" s="33"/>
      <c r="AA1715" s="33"/>
      <c r="AB1715" s="33"/>
      <c r="AC1715" s="33"/>
      <c r="AD1715" s="33"/>
      <c r="AE1715" s="33"/>
      <c r="AF1715" s="33"/>
      <c r="AG1715" s="33"/>
      <c r="AH1715" s="33"/>
      <c r="AI1715" s="33"/>
      <c r="AJ1715" s="33"/>
      <c r="AK1715" s="216"/>
      <c r="AL1715" s="33"/>
      <c r="AM1715" s="33"/>
      <c r="AN1715" s="33"/>
      <c r="AO1715" s="33"/>
      <c r="AP1715" s="33"/>
    </row>
    <row r="1716" spans="1:42" ht="15.75" customHeight="1">
      <c r="A1716" s="33"/>
      <c r="B1716" s="33"/>
      <c r="C1716" s="33"/>
      <c r="D1716" s="33"/>
      <c r="E1716" s="33"/>
      <c r="F1716" s="199"/>
      <c r="G1716" s="33"/>
      <c r="H1716" s="33"/>
      <c r="I1716" s="33"/>
      <c r="J1716" s="33"/>
      <c r="K1716" s="33"/>
      <c r="L1716" s="33"/>
      <c r="M1716" s="33"/>
      <c r="N1716" s="33"/>
      <c r="O1716" s="33"/>
      <c r="P1716" s="33"/>
      <c r="Q1716" s="33"/>
      <c r="R1716" s="33"/>
      <c r="S1716" s="33"/>
      <c r="T1716" s="33"/>
      <c r="U1716" s="33"/>
      <c r="V1716" s="33"/>
      <c r="W1716" s="33"/>
      <c r="X1716" s="33"/>
      <c r="Y1716" s="33"/>
      <c r="Z1716" s="33"/>
      <c r="AA1716" s="33"/>
      <c r="AB1716" s="33"/>
      <c r="AC1716" s="33"/>
      <c r="AD1716" s="33"/>
      <c r="AE1716" s="33"/>
      <c r="AF1716" s="33"/>
      <c r="AG1716" s="33"/>
      <c r="AH1716" s="33"/>
      <c r="AI1716" s="33"/>
      <c r="AJ1716" s="33"/>
      <c r="AK1716" s="216"/>
      <c r="AL1716" s="33"/>
      <c r="AM1716" s="33"/>
      <c r="AN1716" s="33"/>
      <c r="AO1716" s="33"/>
      <c r="AP1716" s="33"/>
    </row>
    <row r="1717" spans="1:42" ht="15.75" customHeight="1">
      <c r="A1717" s="33"/>
      <c r="B1717" s="33"/>
      <c r="C1717" s="33"/>
      <c r="D1717" s="33"/>
      <c r="E1717" s="33"/>
      <c r="F1717" s="199"/>
      <c r="G1717" s="33"/>
      <c r="H1717" s="33"/>
      <c r="I1717" s="33"/>
      <c r="J1717" s="33"/>
      <c r="K1717" s="33"/>
      <c r="L1717" s="33"/>
      <c r="M1717" s="33"/>
      <c r="N1717" s="33"/>
      <c r="O1717" s="33"/>
      <c r="P1717" s="33"/>
      <c r="Q1717" s="33"/>
      <c r="R1717" s="33"/>
      <c r="S1717" s="33"/>
      <c r="T1717" s="33"/>
      <c r="U1717" s="33"/>
      <c r="V1717" s="33"/>
      <c r="W1717" s="33"/>
      <c r="X1717" s="33"/>
      <c r="Y1717" s="33"/>
      <c r="Z1717" s="33"/>
      <c r="AA1717" s="33"/>
      <c r="AB1717" s="33"/>
      <c r="AC1717" s="33"/>
      <c r="AD1717" s="33"/>
      <c r="AE1717" s="33"/>
      <c r="AF1717" s="33"/>
      <c r="AG1717" s="33"/>
      <c r="AH1717" s="33"/>
      <c r="AI1717" s="33"/>
      <c r="AJ1717" s="33"/>
      <c r="AK1717" s="216"/>
      <c r="AL1717" s="33"/>
      <c r="AM1717" s="33"/>
      <c r="AN1717" s="33"/>
      <c r="AO1717" s="33"/>
      <c r="AP1717" s="33"/>
    </row>
    <row r="1718" spans="1:42" ht="15.75" customHeight="1">
      <c r="A1718" s="33"/>
      <c r="B1718" s="33"/>
      <c r="C1718" s="33"/>
      <c r="D1718" s="33"/>
      <c r="E1718" s="33"/>
      <c r="F1718" s="199"/>
      <c r="G1718" s="33"/>
      <c r="H1718" s="33"/>
      <c r="I1718" s="33"/>
      <c r="J1718" s="33"/>
      <c r="K1718" s="33"/>
      <c r="L1718" s="33"/>
      <c r="M1718" s="33"/>
      <c r="N1718" s="33"/>
      <c r="O1718" s="33"/>
      <c r="P1718" s="33"/>
      <c r="Q1718" s="33"/>
      <c r="R1718" s="33"/>
      <c r="S1718" s="33"/>
      <c r="T1718" s="33"/>
      <c r="U1718" s="33"/>
      <c r="V1718" s="33"/>
      <c r="W1718" s="33"/>
      <c r="X1718" s="33"/>
      <c r="Y1718" s="33"/>
      <c r="Z1718" s="33"/>
      <c r="AA1718" s="33"/>
      <c r="AB1718" s="33"/>
      <c r="AC1718" s="33"/>
      <c r="AD1718" s="33"/>
      <c r="AE1718" s="33"/>
      <c r="AF1718" s="33"/>
      <c r="AG1718" s="33"/>
      <c r="AH1718" s="33"/>
      <c r="AI1718" s="33"/>
      <c r="AJ1718" s="33"/>
      <c r="AK1718" s="216"/>
      <c r="AL1718" s="33"/>
      <c r="AM1718" s="33"/>
      <c r="AN1718" s="33"/>
      <c r="AO1718" s="33"/>
      <c r="AP1718" s="33"/>
    </row>
    <row r="1719" spans="1:42" ht="15.75" customHeight="1">
      <c r="A1719" s="33"/>
      <c r="B1719" s="33"/>
      <c r="C1719" s="33"/>
      <c r="D1719" s="33"/>
      <c r="E1719" s="33"/>
      <c r="F1719" s="199"/>
      <c r="G1719" s="33"/>
      <c r="H1719" s="33"/>
      <c r="I1719" s="33"/>
      <c r="J1719" s="33"/>
      <c r="K1719" s="33"/>
      <c r="L1719" s="33"/>
      <c r="M1719" s="33"/>
      <c r="N1719" s="33"/>
      <c r="O1719" s="33"/>
      <c r="P1719" s="33"/>
      <c r="Q1719" s="33"/>
      <c r="R1719" s="33"/>
      <c r="S1719" s="33"/>
      <c r="T1719" s="33"/>
      <c r="U1719" s="33"/>
      <c r="V1719" s="33"/>
      <c r="W1719" s="33"/>
      <c r="X1719" s="33"/>
      <c r="Y1719" s="33"/>
      <c r="Z1719" s="33"/>
      <c r="AA1719" s="33"/>
      <c r="AB1719" s="33"/>
      <c r="AC1719" s="33"/>
      <c r="AD1719" s="33"/>
      <c r="AE1719" s="33"/>
      <c r="AF1719" s="33"/>
      <c r="AG1719" s="33"/>
      <c r="AH1719" s="33"/>
      <c r="AI1719" s="33"/>
      <c r="AJ1719" s="33"/>
      <c r="AK1719" s="216"/>
      <c r="AL1719" s="33"/>
      <c r="AM1719" s="33"/>
      <c r="AN1719" s="33"/>
      <c r="AO1719" s="33"/>
      <c r="AP1719" s="33"/>
    </row>
    <row r="1720" spans="1:42" ht="15.75" customHeight="1">
      <c r="A1720" s="33"/>
      <c r="B1720" s="33"/>
      <c r="C1720" s="33"/>
      <c r="D1720" s="33"/>
      <c r="E1720" s="33"/>
      <c r="F1720" s="199"/>
      <c r="G1720" s="33"/>
      <c r="H1720" s="33"/>
      <c r="I1720" s="33"/>
      <c r="J1720" s="33"/>
      <c r="K1720" s="33"/>
      <c r="L1720" s="33"/>
      <c r="M1720" s="33"/>
      <c r="N1720" s="33"/>
      <c r="O1720" s="33"/>
      <c r="P1720" s="33"/>
      <c r="Q1720" s="33"/>
      <c r="R1720" s="33"/>
      <c r="S1720" s="33"/>
      <c r="T1720" s="33"/>
      <c r="U1720" s="33"/>
      <c r="V1720" s="33"/>
      <c r="W1720" s="33"/>
      <c r="X1720" s="33"/>
      <c r="Y1720" s="33"/>
      <c r="Z1720" s="33"/>
      <c r="AA1720" s="33"/>
      <c r="AB1720" s="33"/>
      <c r="AC1720" s="33"/>
      <c r="AD1720" s="33"/>
      <c r="AE1720" s="33"/>
      <c r="AF1720" s="33"/>
      <c r="AG1720" s="33"/>
      <c r="AH1720" s="33"/>
      <c r="AI1720" s="33"/>
      <c r="AJ1720" s="33"/>
      <c r="AK1720" s="216"/>
      <c r="AL1720" s="33"/>
      <c r="AM1720" s="33"/>
      <c r="AN1720" s="33"/>
      <c r="AO1720" s="33"/>
      <c r="AP1720" s="33"/>
    </row>
    <row r="1721" spans="1:42" ht="15.75" customHeight="1">
      <c r="A1721" s="33"/>
      <c r="B1721" s="33"/>
      <c r="C1721" s="33"/>
      <c r="D1721" s="33"/>
      <c r="E1721" s="33"/>
      <c r="F1721" s="199"/>
      <c r="G1721" s="33"/>
      <c r="H1721" s="33"/>
      <c r="I1721" s="33"/>
      <c r="J1721" s="33"/>
      <c r="K1721" s="33"/>
      <c r="L1721" s="33"/>
      <c r="M1721" s="33"/>
      <c r="N1721" s="33"/>
      <c r="O1721" s="33"/>
      <c r="P1721" s="33"/>
      <c r="Q1721" s="33"/>
      <c r="R1721" s="33"/>
      <c r="S1721" s="33"/>
      <c r="T1721" s="33"/>
      <c r="U1721" s="33"/>
      <c r="V1721" s="33"/>
      <c r="W1721" s="33"/>
      <c r="X1721" s="33"/>
      <c r="Y1721" s="33"/>
      <c r="Z1721" s="33"/>
      <c r="AA1721" s="33"/>
      <c r="AB1721" s="33"/>
      <c r="AC1721" s="33"/>
      <c r="AD1721" s="33"/>
      <c r="AE1721" s="33"/>
      <c r="AF1721" s="33"/>
      <c r="AG1721" s="33"/>
      <c r="AH1721" s="33"/>
      <c r="AI1721" s="33"/>
      <c r="AJ1721" s="33"/>
      <c r="AK1721" s="216"/>
      <c r="AL1721" s="33"/>
      <c r="AM1721" s="33"/>
      <c r="AN1721" s="33"/>
      <c r="AO1721" s="33"/>
      <c r="AP1721" s="33"/>
    </row>
    <row r="1722" spans="1:42" ht="15.75" customHeight="1">
      <c r="A1722" s="33"/>
      <c r="B1722" s="33"/>
      <c r="C1722" s="33"/>
      <c r="D1722" s="33"/>
      <c r="E1722" s="33"/>
      <c r="F1722" s="199"/>
      <c r="G1722" s="33"/>
      <c r="H1722" s="33"/>
      <c r="I1722" s="33"/>
      <c r="J1722" s="33"/>
      <c r="K1722" s="33"/>
      <c r="L1722" s="33"/>
      <c r="M1722" s="33"/>
      <c r="N1722" s="33"/>
      <c r="O1722" s="33"/>
      <c r="P1722" s="33"/>
      <c r="Q1722" s="33"/>
      <c r="R1722" s="33"/>
      <c r="S1722" s="33"/>
      <c r="T1722" s="33"/>
      <c r="U1722" s="33"/>
      <c r="V1722" s="33"/>
      <c r="W1722" s="33"/>
      <c r="X1722" s="33"/>
      <c r="Y1722" s="33"/>
      <c r="Z1722" s="33"/>
      <c r="AA1722" s="33"/>
      <c r="AB1722" s="33"/>
      <c r="AC1722" s="33"/>
      <c r="AD1722" s="33"/>
      <c r="AE1722" s="33"/>
      <c r="AF1722" s="33"/>
      <c r="AG1722" s="33"/>
      <c r="AH1722" s="33"/>
      <c r="AI1722" s="33"/>
      <c r="AJ1722" s="33"/>
      <c r="AK1722" s="216"/>
      <c r="AL1722" s="33"/>
      <c r="AM1722" s="33"/>
      <c r="AN1722" s="33"/>
      <c r="AO1722" s="33"/>
      <c r="AP1722" s="33"/>
    </row>
    <row r="1723" spans="1:42" ht="15.75" customHeight="1">
      <c r="A1723" s="33"/>
      <c r="B1723" s="33"/>
      <c r="C1723" s="33"/>
      <c r="D1723" s="33"/>
      <c r="E1723" s="33"/>
      <c r="F1723" s="199"/>
      <c r="G1723" s="33"/>
      <c r="H1723" s="33"/>
      <c r="I1723" s="33"/>
      <c r="J1723" s="33"/>
      <c r="K1723" s="33"/>
      <c r="L1723" s="33"/>
      <c r="M1723" s="33"/>
      <c r="N1723" s="33"/>
      <c r="O1723" s="33"/>
      <c r="P1723" s="33"/>
      <c r="Q1723" s="33"/>
      <c r="R1723" s="33"/>
      <c r="S1723" s="33"/>
      <c r="T1723" s="33"/>
      <c r="U1723" s="33"/>
      <c r="V1723" s="33"/>
      <c r="W1723" s="33"/>
      <c r="X1723" s="33"/>
      <c r="Y1723" s="33"/>
      <c r="Z1723" s="33"/>
      <c r="AA1723" s="33"/>
      <c r="AB1723" s="33"/>
      <c r="AC1723" s="33"/>
      <c r="AD1723" s="33"/>
      <c r="AE1723" s="33"/>
      <c r="AF1723" s="33"/>
      <c r="AG1723" s="33"/>
      <c r="AH1723" s="33"/>
      <c r="AI1723" s="33"/>
      <c r="AJ1723" s="33"/>
      <c r="AK1723" s="216"/>
      <c r="AL1723" s="33"/>
      <c r="AM1723" s="33"/>
      <c r="AN1723" s="33"/>
      <c r="AO1723" s="33"/>
      <c r="AP1723" s="33"/>
    </row>
    <row r="1724" spans="1:42" ht="15.75" customHeight="1">
      <c r="A1724" s="33"/>
      <c r="B1724" s="33"/>
      <c r="C1724" s="33"/>
      <c r="D1724" s="33"/>
      <c r="E1724" s="33"/>
      <c r="F1724" s="199"/>
      <c r="G1724" s="33"/>
      <c r="H1724" s="33"/>
      <c r="I1724" s="33"/>
      <c r="J1724" s="33"/>
      <c r="K1724" s="33"/>
      <c r="L1724" s="33"/>
      <c r="M1724" s="33"/>
      <c r="N1724" s="33"/>
      <c r="O1724" s="33"/>
      <c r="P1724" s="33"/>
      <c r="Q1724" s="33"/>
      <c r="R1724" s="33"/>
      <c r="S1724" s="33"/>
      <c r="T1724" s="33"/>
      <c r="U1724" s="33"/>
      <c r="V1724" s="33"/>
      <c r="W1724" s="33"/>
      <c r="X1724" s="33"/>
      <c r="Y1724" s="33"/>
      <c r="Z1724" s="33"/>
      <c r="AA1724" s="33"/>
      <c r="AB1724" s="33"/>
      <c r="AC1724" s="33"/>
      <c r="AD1724" s="33"/>
      <c r="AE1724" s="33"/>
      <c r="AF1724" s="33"/>
      <c r="AG1724" s="33"/>
      <c r="AH1724" s="33"/>
      <c r="AI1724" s="33"/>
      <c r="AJ1724" s="33"/>
      <c r="AK1724" s="216"/>
      <c r="AL1724" s="33"/>
      <c r="AM1724" s="33"/>
      <c r="AN1724" s="33"/>
      <c r="AO1724" s="33"/>
      <c r="AP1724" s="33"/>
    </row>
    <row r="1725" spans="1:42" ht="15.75" customHeight="1">
      <c r="A1725" s="33"/>
      <c r="B1725" s="33"/>
      <c r="C1725" s="33"/>
      <c r="D1725" s="33"/>
      <c r="E1725" s="33"/>
      <c r="F1725" s="199"/>
      <c r="G1725" s="33"/>
      <c r="H1725" s="33"/>
      <c r="I1725" s="33"/>
      <c r="J1725" s="33"/>
      <c r="K1725" s="33"/>
      <c r="L1725" s="33"/>
      <c r="M1725" s="33"/>
      <c r="N1725" s="33"/>
      <c r="O1725" s="33"/>
      <c r="P1725" s="33"/>
      <c r="Q1725" s="33"/>
      <c r="R1725" s="33"/>
      <c r="S1725" s="33"/>
      <c r="T1725" s="33"/>
      <c r="U1725" s="33"/>
      <c r="V1725" s="33"/>
      <c r="W1725" s="33"/>
      <c r="X1725" s="33"/>
      <c r="Y1725" s="33"/>
      <c r="Z1725" s="33"/>
      <c r="AA1725" s="33"/>
      <c r="AB1725" s="33"/>
      <c r="AC1725" s="33"/>
      <c r="AD1725" s="33"/>
      <c r="AE1725" s="33"/>
      <c r="AF1725" s="33"/>
      <c r="AG1725" s="33"/>
      <c r="AH1725" s="33"/>
      <c r="AI1725" s="33"/>
      <c r="AJ1725" s="33"/>
      <c r="AK1725" s="216"/>
      <c r="AL1725" s="33"/>
      <c r="AM1725" s="33"/>
      <c r="AN1725" s="33"/>
      <c r="AO1725" s="33"/>
      <c r="AP1725" s="33"/>
    </row>
    <row r="1726" spans="1:42" ht="15.75" customHeight="1">
      <c r="A1726" s="33"/>
      <c r="B1726" s="33"/>
      <c r="C1726" s="33"/>
      <c r="D1726" s="33"/>
      <c r="E1726" s="33"/>
      <c r="F1726" s="199"/>
      <c r="G1726" s="33"/>
      <c r="H1726" s="33"/>
      <c r="I1726" s="33"/>
      <c r="J1726" s="33"/>
      <c r="K1726" s="33"/>
      <c r="L1726" s="33"/>
      <c r="M1726" s="33"/>
      <c r="N1726" s="33"/>
      <c r="O1726" s="33"/>
      <c r="P1726" s="33"/>
      <c r="Q1726" s="33"/>
      <c r="R1726" s="33"/>
      <c r="S1726" s="33"/>
      <c r="T1726" s="33"/>
      <c r="U1726" s="33"/>
      <c r="V1726" s="33"/>
      <c r="W1726" s="33"/>
      <c r="X1726" s="33"/>
      <c r="Y1726" s="33"/>
      <c r="Z1726" s="33"/>
      <c r="AA1726" s="33"/>
      <c r="AB1726" s="33"/>
      <c r="AC1726" s="33"/>
      <c r="AD1726" s="33"/>
      <c r="AE1726" s="33"/>
      <c r="AF1726" s="33"/>
      <c r="AG1726" s="33"/>
      <c r="AH1726" s="33"/>
      <c r="AI1726" s="33"/>
      <c r="AJ1726" s="33"/>
      <c r="AK1726" s="216"/>
      <c r="AL1726" s="33"/>
      <c r="AM1726" s="33"/>
      <c r="AN1726" s="33"/>
      <c r="AO1726" s="33"/>
      <c r="AP1726" s="33"/>
    </row>
    <row r="1727" spans="1:42" ht="15.75" customHeight="1">
      <c r="A1727" s="33"/>
      <c r="B1727" s="33"/>
      <c r="C1727" s="33"/>
      <c r="D1727" s="33"/>
      <c r="E1727" s="33"/>
      <c r="F1727" s="199"/>
      <c r="G1727" s="33"/>
      <c r="H1727" s="33"/>
      <c r="I1727" s="33"/>
      <c r="J1727" s="33"/>
      <c r="K1727" s="33"/>
      <c r="L1727" s="33"/>
      <c r="M1727" s="33"/>
      <c r="N1727" s="33"/>
      <c r="O1727" s="33"/>
      <c r="P1727" s="33"/>
      <c r="Q1727" s="33"/>
      <c r="R1727" s="33"/>
      <c r="S1727" s="33"/>
      <c r="T1727" s="33"/>
      <c r="U1727" s="33"/>
      <c r="V1727" s="33"/>
      <c r="W1727" s="33"/>
      <c r="X1727" s="33"/>
      <c r="Y1727" s="33"/>
      <c r="Z1727" s="33"/>
      <c r="AA1727" s="33"/>
      <c r="AB1727" s="33"/>
      <c r="AC1727" s="33"/>
      <c r="AD1727" s="33"/>
      <c r="AE1727" s="33"/>
      <c r="AF1727" s="33"/>
      <c r="AG1727" s="33"/>
      <c r="AH1727" s="33"/>
      <c r="AI1727" s="33"/>
      <c r="AJ1727" s="33"/>
      <c r="AK1727" s="216"/>
      <c r="AL1727" s="33"/>
      <c r="AM1727" s="33"/>
      <c r="AN1727" s="33"/>
      <c r="AO1727" s="33"/>
      <c r="AP1727" s="33"/>
    </row>
    <row r="1728" spans="1:42" ht="15.75" customHeight="1">
      <c r="A1728" s="33"/>
      <c r="B1728" s="33"/>
      <c r="C1728" s="33"/>
      <c r="D1728" s="33"/>
      <c r="E1728" s="33"/>
      <c r="F1728" s="199"/>
      <c r="G1728" s="33"/>
      <c r="H1728" s="33"/>
      <c r="I1728" s="33"/>
      <c r="J1728" s="33"/>
      <c r="K1728" s="33"/>
      <c r="L1728" s="33"/>
      <c r="M1728" s="33"/>
      <c r="N1728" s="33"/>
      <c r="O1728" s="33"/>
      <c r="P1728" s="33"/>
      <c r="Q1728" s="33"/>
      <c r="R1728" s="33"/>
      <c r="S1728" s="33"/>
      <c r="T1728" s="33"/>
      <c r="U1728" s="33"/>
      <c r="V1728" s="33"/>
      <c r="W1728" s="33"/>
      <c r="X1728" s="33"/>
      <c r="Y1728" s="33"/>
      <c r="Z1728" s="33"/>
      <c r="AA1728" s="33"/>
      <c r="AB1728" s="33"/>
      <c r="AC1728" s="33"/>
      <c r="AD1728" s="33"/>
      <c r="AE1728" s="33"/>
      <c r="AF1728" s="33"/>
      <c r="AG1728" s="33"/>
      <c r="AH1728" s="33"/>
      <c r="AI1728" s="33"/>
      <c r="AJ1728" s="33"/>
      <c r="AK1728" s="216"/>
      <c r="AL1728" s="33"/>
      <c r="AM1728" s="33"/>
      <c r="AN1728" s="33"/>
      <c r="AO1728" s="33"/>
      <c r="AP1728" s="33"/>
    </row>
    <row r="1729" spans="1:42" ht="15.75" customHeight="1">
      <c r="A1729" s="33"/>
      <c r="B1729" s="33"/>
      <c r="C1729" s="33"/>
      <c r="D1729" s="33"/>
      <c r="E1729" s="33"/>
      <c r="F1729" s="199"/>
      <c r="G1729" s="33"/>
      <c r="H1729" s="33"/>
      <c r="I1729" s="33"/>
      <c r="J1729" s="33"/>
      <c r="K1729" s="33"/>
      <c r="L1729" s="33"/>
      <c r="M1729" s="33"/>
      <c r="N1729" s="33"/>
      <c r="O1729" s="33"/>
      <c r="P1729" s="33"/>
      <c r="Q1729" s="33"/>
      <c r="R1729" s="33"/>
      <c r="S1729" s="33"/>
      <c r="T1729" s="33"/>
      <c r="U1729" s="33"/>
      <c r="V1729" s="33"/>
      <c r="W1729" s="33"/>
      <c r="X1729" s="33"/>
      <c r="Y1729" s="33"/>
      <c r="Z1729" s="33"/>
      <c r="AA1729" s="33"/>
      <c r="AB1729" s="33"/>
      <c r="AC1729" s="33"/>
      <c r="AD1729" s="33"/>
      <c r="AE1729" s="33"/>
      <c r="AF1729" s="33"/>
      <c r="AG1729" s="33"/>
      <c r="AH1729" s="33"/>
      <c r="AI1729" s="33"/>
      <c r="AJ1729" s="33"/>
      <c r="AK1729" s="216"/>
      <c r="AL1729" s="33"/>
      <c r="AM1729" s="33"/>
      <c r="AN1729" s="33"/>
      <c r="AO1729" s="33"/>
      <c r="AP1729" s="33"/>
    </row>
    <row r="1730" spans="1:42" ht="15.75" customHeight="1">
      <c r="A1730" s="33"/>
      <c r="B1730" s="33"/>
      <c r="C1730" s="33"/>
      <c r="D1730" s="33"/>
      <c r="E1730" s="33"/>
      <c r="F1730" s="199"/>
      <c r="G1730" s="33"/>
      <c r="H1730" s="33"/>
      <c r="I1730" s="33"/>
      <c r="J1730" s="33"/>
      <c r="K1730" s="33"/>
      <c r="L1730" s="33"/>
      <c r="M1730" s="33"/>
      <c r="N1730" s="33"/>
      <c r="O1730" s="33"/>
      <c r="P1730" s="33"/>
      <c r="Q1730" s="33"/>
      <c r="R1730" s="33"/>
      <c r="S1730" s="33"/>
      <c r="T1730" s="33"/>
      <c r="U1730" s="33"/>
      <c r="V1730" s="33"/>
      <c r="W1730" s="33"/>
      <c r="X1730" s="33"/>
      <c r="Y1730" s="33"/>
      <c r="Z1730" s="33"/>
      <c r="AA1730" s="33"/>
      <c r="AB1730" s="33"/>
      <c r="AC1730" s="33"/>
      <c r="AD1730" s="33"/>
      <c r="AE1730" s="33"/>
      <c r="AF1730" s="33"/>
      <c r="AG1730" s="33"/>
      <c r="AH1730" s="33"/>
      <c r="AI1730" s="33"/>
      <c r="AJ1730" s="33"/>
      <c r="AK1730" s="216"/>
      <c r="AL1730" s="33"/>
      <c r="AM1730" s="33"/>
      <c r="AN1730" s="33"/>
      <c r="AO1730" s="33"/>
      <c r="AP1730" s="33"/>
    </row>
    <row r="1731" spans="1:42" ht="15.75" customHeight="1">
      <c r="A1731" s="33"/>
      <c r="B1731" s="33"/>
      <c r="C1731" s="33"/>
      <c r="D1731" s="33"/>
      <c r="E1731" s="33"/>
      <c r="F1731" s="199"/>
      <c r="G1731" s="33"/>
      <c r="H1731" s="33"/>
      <c r="I1731" s="33"/>
      <c r="J1731" s="33"/>
      <c r="K1731" s="33"/>
      <c r="L1731" s="33"/>
      <c r="M1731" s="33"/>
      <c r="N1731" s="33"/>
      <c r="O1731" s="33"/>
      <c r="P1731" s="33"/>
      <c r="Q1731" s="33"/>
      <c r="R1731" s="33"/>
      <c r="S1731" s="33"/>
      <c r="T1731" s="33"/>
      <c r="U1731" s="33"/>
      <c r="V1731" s="33"/>
      <c r="W1731" s="33"/>
      <c r="X1731" s="33"/>
      <c r="Y1731" s="33"/>
      <c r="Z1731" s="33"/>
      <c r="AA1731" s="33"/>
      <c r="AB1731" s="33"/>
      <c r="AC1731" s="33"/>
      <c r="AD1731" s="33"/>
      <c r="AE1731" s="33"/>
      <c r="AF1731" s="33"/>
      <c r="AG1731" s="33"/>
      <c r="AH1731" s="33"/>
      <c r="AI1731" s="33"/>
      <c r="AJ1731" s="33"/>
      <c r="AK1731" s="216"/>
      <c r="AL1731" s="33"/>
      <c r="AM1731" s="33"/>
      <c r="AN1731" s="33"/>
      <c r="AO1731" s="33"/>
      <c r="AP1731" s="33"/>
    </row>
    <row r="1732" spans="1:42" ht="15.75" customHeight="1">
      <c r="A1732" s="33"/>
      <c r="B1732" s="33"/>
      <c r="C1732" s="33"/>
      <c r="D1732" s="33"/>
      <c r="E1732" s="33"/>
      <c r="F1732" s="199"/>
      <c r="G1732" s="33"/>
      <c r="H1732" s="33"/>
      <c r="I1732" s="33"/>
      <c r="J1732" s="33"/>
      <c r="K1732" s="33"/>
      <c r="L1732" s="33"/>
      <c r="M1732" s="33"/>
      <c r="N1732" s="33"/>
      <c r="O1732" s="33"/>
      <c r="P1732" s="33"/>
      <c r="Q1732" s="33"/>
      <c r="R1732" s="33"/>
      <c r="S1732" s="33"/>
      <c r="T1732" s="33"/>
      <c r="U1732" s="33"/>
      <c r="V1732" s="33"/>
      <c r="W1732" s="33"/>
      <c r="X1732" s="33"/>
      <c r="Y1732" s="33"/>
      <c r="Z1732" s="33"/>
      <c r="AA1732" s="33"/>
      <c r="AB1732" s="33"/>
      <c r="AC1732" s="33"/>
      <c r="AD1732" s="33"/>
      <c r="AE1732" s="33"/>
      <c r="AF1732" s="33"/>
      <c r="AG1732" s="33"/>
      <c r="AH1732" s="33"/>
      <c r="AI1732" s="33"/>
      <c r="AJ1732" s="33"/>
      <c r="AK1732" s="216"/>
      <c r="AL1732" s="33"/>
      <c r="AM1732" s="33"/>
      <c r="AN1732" s="33"/>
      <c r="AO1732" s="33"/>
      <c r="AP1732" s="33"/>
    </row>
    <row r="1733" spans="1:42" ht="15.75" customHeight="1">
      <c r="A1733" s="33"/>
      <c r="B1733" s="33"/>
      <c r="C1733" s="33"/>
      <c r="D1733" s="33"/>
      <c r="E1733" s="33"/>
      <c r="F1733" s="199"/>
      <c r="G1733" s="33"/>
      <c r="H1733" s="33"/>
      <c r="I1733" s="33"/>
      <c r="J1733" s="33"/>
      <c r="K1733" s="33"/>
      <c r="L1733" s="33"/>
      <c r="M1733" s="33"/>
      <c r="N1733" s="33"/>
      <c r="O1733" s="33"/>
      <c r="P1733" s="33"/>
      <c r="Q1733" s="33"/>
      <c r="R1733" s="33"/>
      <c r="S1733" s="33"/>
      <c r="T1733" s="33"/>
      <c r="U1733" s="33"/>
      <c r="V1733" s="33"/>
      <c r="W1733" s="33"/>
      <c r="X1733" s="33"/>
      <c r="Y1733" s="33"/>
      <c r="Z1733" s="33"/>
      <c r="AA1733" s="33"/>
      <c r="AB1733" s="33"/>
      <c r="AC1733" s="33"/>
      <c r="AD1733" s="33"/>
      <c r="AE1733" s="33"/>
      <c r="AF1733" s="33"/>
      <c r="AG1733" s="33"/>
      <c r="AH1733" s="33"/>
      <c r="AI1733" s="33"/>
      <c r="AJ1733" s="33"/>
      <c r="AK1733" s="216"/>
      <c r="AL1733" s="33"/>
      <c r="AM1733" s="33"/>
      <c r="AN1733" s="33"/>
      <c r="AO1733" s="33"/>
      <c r="AP1733" s="33"/>
    </row>
    <row r="1734" spans="1:42" ht="15.75" customHeight="1">
      <c r="A1734" s="33"/>
      <c r="B1734" s="33"/>
      <c r="C1734" s="33"/>
      <c r="D1734" s="33"/>
      <c r="E1734" s="33"/>
      <c r="F1734" s="199"/>
      <c r="G1734" s="33"/>
      <c r="H1734" s="33"/>
      <c r="I1734" s="33"/>
      <c r="J1734" s="33"/>
      <c r="K1734" s="33"/>
      <c r="L1734" s="33"/>
      <c r="M1734" s="33"/>
      <c r="N1734" s="33"/>
      <c r="O1734" s="33"/>
      <c r="P1734" s="33"/>
      <c r="Q1734" s="33"/>
      <c r="R1734" s="33"/>
      <c r="S1734" s="33"/>
      <c r="T1734" s="33"/>
      <c r="U1734" s="33"/>
      <c r="V1734" s="33"/>
      <c r="W1734" s="33"/>
      <c r="X1734" s="33"/>
      <c r="Y1734" s="33"/>
      <c r="Z1734" s="33"/>
      <c r="AA1734" s="33"/>
      <c r="AB1734" s="33"/>
      <c r="AC1734" s="33"/>
      <c r="AD1734" s="33"/>
      <c r="AE1734" s="33"/>
      <c r="AF1734" s="33"/>
      <c r="AG1734" s="33"/>
      <c r="AH1734" s="33"/>
      <c r="AI1734" s="33"/>
      <c r="AJ1734" s="33"/>
      <c r="AK1734" s="216"/>
      <c r="AL1734" s="33"/>
      <c r="AM1734" s="33"/>
      <c r="AN1734" s="33"/>
      <c r="AO1734" s="33"/>
      <c r="AP1734" s="33"/>
    </row>
    <row r="1735" spans="1:42" ht="15.75" customHeight="1">
      <c r="A1735" s="33"/>
      <c r="B1735" s="33"/>
      <c r="C1735" s="33"/>
      <c r="D1735" s="33"/>
      <c r="E1735" s="33"/>
      <c r="F1735" s="199"/>
      <c r="G1735" s="33"/>
      <c r="H1735" s="33"/>
      <c r="I1735" s="33"/>
      <c r="J1735" s="33"/>
      <c r="K1735" s="33"/>
      <c r="L1735" s="33"/>
      <c r="M1735" s="33"/>
      <c r="N1735" s="33"/>
      <c r="O1735" s="33"/>
      <c r="P1735" s="33"/>
      <c r="Q1735" s="33"/>
      <c r="R1735" s="33"/>
      <c r="S1735" s="33"/>
      <c r="T1735" s="33"/>
      <c r="U1735" s="33"/>
      <c r="V1735" s="33"/>
      <c r="W1735" s="33"/>
      <c r="X1735" s="33"/>
      <c r="Y1735" s="33"/>
      <c r="Z1735" s="33"/>
      <c r="AA1735" s="33"/>
      <c r="AB1735" s="33"/>
      <c r="AC1735" s="33"/>
      <c r="AD1735" s="33"/>
      <c r="AE1735" s="33"/>
      <c r="AF1735" s="33"/>
      <c r="AG1735" s="33"/>
      <c r="AH1735" s="33"/>
      <c r="AI1735" s="33"/>
      <c r="AJ1735" s="33"/>
      <c r="AK1735" s="216"/>
      <c r="AL1735" s="33"/>
      <c r="AM1735" s="33"/>
      <c r="AN1735" s="33"/>
      <c r="AO1735" s="33"/>
      <c r="AP1735" s="33"/>
    </row>
    <row r="1736" spans="1:42" ht="15.75" customHeight="1">
      <c r="A1736" s="33"/>
      <c r="B1736" s="33"/>
      <c r="C1736" s="33"/>
      <c r="D1736" s="33"/>
      <c r="E1736" s="33"/>
      <c r="F1736" s="199"/>
      <c r="G1736" s="33"/>
      <c r="H1736" s="33"/>
      <c r="I1736" s="33"/>
      <c r="J1736" s="33"/>
      <c r="K1736" s="33"/>
      <c r="L1736" s="33"/>
      <c r="M1736" s="33"/>
      <c r="N1736" s="33"/>
      <c r="O1736" s="33"/>
      <c r="P1736" s="33"/>
      <c r="Q1736" s="33"/>
      <c r="R1736" s="33"/>
      <c r="S1736" s="33"/>
      <c r="T1736" s="33"/>
      <c r="U1736" s="33"/>
      <c r="V1736" s="33"/>
      <c r="W1736" s="33"/>
      <c r="X1736" s="33"/>
      <c r="Y1736" s="33"/>
      <c r="Z1736" s="33"/>
      <c r="AA1736" s="33"/>
      <c r="AB1736" s="33"/>
      <c r="AC1736" s="33"/>
      <c r="AD1736" s="33"/>
      <c r="AE1736" s="33"/>
      <c r="AF1736" s="33"/>
      <c r="AG1736" s="33"/>
      <c r="AH1736" s="33"/>
      <c r="AI1736" s="33"/>
      <c r="AJ1736" s="33"/>
      <c r="AK1736" s="216"/>
      <c r="AL1736" s="33"/>
      <c r="AM1736" s="33"/>
      <c r="AN1736" s="33"/>
      <c r="AO1736" s="33"/>
      <c r="AP1736" s="33"/>
    </row>
    <row r="1737" spans="1:42" ht="15.75" customHeight="1">
      <c r="A1737" s="33"/>
      <c r="B1737" s="33"/>
      <c r="C1737" s="33"/>
      <c r="D1737" s="33"/>
      <c r="E1737" s="33"/>
      <c r="F1737" s="199"/>
      <c r="G1737" s="33"/>
      <c r="H1737" s="33"/>
      <c r="I1737" s="33"/>
      <c r="J1737" s="33"/>
      <c r="K1737" s="33"/>
      <c r="L1737" s="33"/>
      <c r="M1737" s="33"/>
      <c r="N1737" s="33"/>
      <c r="O1737" s="33"/>
      <c r="P1737" s="33"/>
      <c r="Q1737" s="33"/>
      <c r="R1737" s="33"/>
      <c r="S1737" s="33"/>
      <c r="T1737" s="33"/>
      <c r="U1737" s="33"/>
      <c r="V1737" s="33"/>
      <c r="W1737" s="33"/>
      <c r="X1737" s="33"/>
      <c r="Y1737" s="33"/>
      <c r="Z1737" s="33"/>
      <c r="AA1737" s="33"/>
      <c r="AB1737" s="33"/>
      <c r="AC1737" s="33"/>
      <c r="AD1737" s="33"/>
      <c r="AE1737" s="33"/>
      <c r="AF1737" s="33"/>
      <c r="AG1737" s="33"/>
      <c r="AH1737" s="33"/>
      <c r="AI1737" s="33"/>
      <c r="AJ1737" s="33"/>
      <c r="AK1737" s="216"/>
      <c r="AL1737" s="33"/>
      <c r="AM1737" s="33"/>
      <c r="AN1737" s="33"/>
      <c r="AO1737" s="33"/>
      <c r="AP1737" s="33"/>
    </row>
    <row r="1738" spans="1:42" ht="15.75" customHeight="1">
      <c r="A1738" s="33"/>
      <c r="B1738" s="33"/>
      <c r="C1738" s="33"/>
      <c r="D1738" s="33"/>
      <c r="E1738" s="33"/>
      <c r="F1738" s="199"/>
      <c r="G1738" s="33"/>
      <c r="H1738" s="33"/>
      <c r="I1738" s="33"/>
      <c r="J1738" s="33"/>
      <c r="K1738" s="33"/>
      <c r="L1738" s="33"/>
      <c r="M1738" s="33"/>
      <c r="N1738" s="33"/>
      <c r="O1738" s="33"/>
      <c r="P1738" s="33"/>
      <c r="Q1738" s="33"/>
      <c r="R1738" s="33"/>
      <c r="S1738" s="33"/>
      <c r="T1738" s="33"/>
      <c r="U1738" s="33"/>
      <c r="V1738" s="33"/>
      <c r="W1738" s="33"/>
      <c r="X1738" s="33"/>
      <c r="Y1738" s="33"/>
      <c r="Z1738" s="33"/>
      <c r="AA1738" s="33"/>
      <c r="AB1738" s="33"/>
      <c r="AC1738" s="33"/>
      <c r="AD1738" s="33"/>
      <c r="AE1738" s="33"/>
      <c r="AF1738" s="33"/>
      <c r="AG1738" s="33"/>
      <c r="AH1738" s="33"/>
      <c r="AI1738" s="33"/>
      <c r="AJ1738" s="33"/>
      <c r="AK1738" s="216"/>
      <c r="AL1738" s="33"/>
      <c r="AM1738" s="33"/>
      <c r="AN1738" s="33"/>
      <c r="AO1738" s="33"/>
      <c r="AP1738" s="33"/>
    </row>
    <row r="1739" spans="1:42" ht="15.75" customHeight="1">
      <c r="A1739" s="33"/>
      <c r="B1739" s="33"/>
      <c r="C1739" s="33"/>
      <c r="D1739" s="33"/>
      <c r="E1739" s="33"/>
      <c r="F1739" s="199"/>
      <c r="G1739" s="33"/>
      <c r="H1739" s="33"/>
      <c r="I1739" s="33"/>
      <c r="J1739" s="33"/>
      <c r="K1739" s="33"/>
      <c r="L1739" s="33"/>
      <c r="M1739" s="33"/>
      <c r="N1739" s="33"/>
      <c r="O1739" s="33"/>
      <c r="P1739" s="33"/>
      <c r="Q1739" s="33"/>
      <c r="R1739" s="33"/>
      <c r="S1739" s="33"/>
      <c r="T1739" s="33"/>
      <c r="U1739" s="33"/>
      <c r="V1739" s="33"/>
      <c r="W1739" s="33"/>
      <c r="X1739" s="33"/>
      <c r="Y1739" s="33"/>
      <c r="Z1739" s="33"/>
      <c r="AA1739" s="33"/>
      <c r="AB1739" s="33"/>
      <c r="AC1739" s="33"/>
      <c r="AD1739" s="33"/>
      <c r="AE1739" s="33"/>
      <c r="AF1739" s="33"/>
      <c r="AG1739" s="33"/>
      <c r="AH1739" s="33"/>
      <c r="AI1739" s="33"/>
      <c r="AJ1739" s="33"/>
      <c r="AK1739" s="216"/>
      <c r="AL1739" s="33"/>
      <c r="AM1739" s="33"/>
      <c r="AN1739" s="33"/>
      <c r="AO1739" s="33"/>
      <c r="AP1739" s="33"/>
    </row>
    <row r="1740" spans="1:42" ht="15.75" customHeight="1">
      <c r="A1740" s="33"/>
      <c r="B1740" s="33"/>
      <c r="C1740" s="33"/>
      <c r="D1740" s="33"/>
      <c r="E1740" s="33"/>
      <c r="F1740" s="199"/>
      <c r="G1740" s="33"/>
      <c r="H1740" s="33"/>
      <c r="I1740" s="33"/>
      <c r="J1740" s="33"/>
      <c r="K1740" s="33"/>
      <c r="L1740" s="33"/>
      <c r="M1740" s="33"/>
      <c r="N1740" s="33"/>
      <c r="O1740" s="33"/>
      <c r="P1740" s="33"/>
      <c r="Q1740" s="33"/>
      <c r="R1740" s="33"/>
      <c r="S1740" s="33"/>
      <c r="T1740" s="33"/>
      <c r="U1740" s="33"/>
      <c r="V1740" s="33"/>
      <c r="W1740" s="33"/>
      <c r="X1740" s="33"/>
      <c r="Y1740" s="33"/>
      <c r="Z1740" s="33"/>
      <c r="AA1740" s="33"/>
      <c r="AB1740" s="33"/>
      <c r="AC1740" s="33"/>
      <c r="AD1740" s="33"/>
      <c r="AE1740" s="33"/>
      <c r="AF1740" s="33"/>
      <c r="AG1740" s="33"/>
      <c r="AH1740" s="33"/>
      <c r="AI1740" s="33"/>
      <c r="AJ1740" s="33"/>
      <c r="AK1740" s="216"/>
      <c r="AL1740" s="33"/>
      <c r="AM1740" s="33"/>
      <c r="AN1740" s="33"/>
      <c r="AO1740" s="33"/>
      <c r="AP1740" s="33"/>
    </row>
    <row r="1741" spans="1:42" ht="15.75" customHeight="1">
      <c r="A1741" s="33"/>
      <c r="B1741" s="33"/>
      <c r="C1741" s="33"/>
      <c r="D1741" s="33"/>
      <c r="E1741" s="33"/>
      <c r="F1741" s="199"/>
      <c r="G1741" s="33"/>
      <c r="H1741" s="33"/>
      <c r="I1741" s="33"/>
      <c r="J1741" s="33"/>
      <c r="K1741" s="33"/>
      <c r="L1741" s="33"/>
      <c r="M1741" s="33"/>
      <c r="N1741" s="33"/>
      <c r="O1741" s="33"/>
      <c r="P1741" s="33"/>
      <c r="Q1741" s="33"/>
      <c r="R1741" s="33"/>
      <c r="S1741" s="33"/>
      <c r="T1741" s="33"/>
      <c r="U1741" s="33"/>
      <c r="V1741" s="33"/>
      <c r="W1741" s="33"/>
      <c r="X1741" s="33"/>
      <c r="Y1741" s="33"/>
      <c r="Z1741" s="33"/>
      <c r="AA1741" s="33"/>
      <c r="AB1741" s="33"/>
      <c r="AC1741" s="33"/>
      <c r="AD1741" s="33"/>
      <c r="AE1741" s="33"/>
      <c r="AF1741" s="33"/>
      <c r="AG1741" s="33"/>
      <c r="AH1741" s="33"/>
      <c r="AI1741" s="33"/>
      <c r="AJ1741" s="33"/>
      <c r="AK1741" s="216"/>
      <c r="AL1741" s="33"/>
      <c r="AM1741" s="33"/>
      <c r="AN1741" s="33"/>
      <c r="AO1741" s="33"/>
      <c r="AP1741" s="33"/>
    </row>
    <row r="1742" spans="1:42" ht="15.75" customHeight="1">
      <c r="A1742" s="33"/>
      <c r="B1742" s="33"/>
      <c r="C1742" s="33"/>
      <c r="D1742" s="33"/>
      <c r="E1742" s="33"/>
      <c r="F1742" s="199"/>
      <c r="G1742" s="33"/>
      <c r="H1742" s="33"/>
      <c r="I1742" s="33"/>
      <c r="J1742" s="33"/>
      <c r="K1742" s="33"/>
      <c r="L1742" s="33"/>
      <c r="M1742" s="33"/>
      <c r="N1742" s="33"/>
      <c r="O1742" s="33"/>
      <c r="P1742" s="33"/>
      <c r="Q1742" s="33"/>
      <c r="R1742" s="33"/>
      <c r="S1742" s="33"/>
      <c r="T1742" s="33"/>
      <c r="U1742" s="33"/>
      <c r="V1742" s="33"/>
      <c r="W1742" s="33"/>
      <c r="X1742" s="33"/>
      <c r="Y1742" s="33"/>
      <c r="Z1742" s="33"/>
      <c r="AA1742" s="33"/>
      <c r="AB1742" s="33"/>
      <c r="AC1742" s="33"/>
      <c r="AD1742" s="33"/>
      <c r="AE1742" s="33"/>
      <c r="AF1742" s="33"/>
      <c r="AG1742" s="33"/>
      <c r="AH1742" s="33"/>
      <c r="AI1742" s="33"/>
      <c r="AJ1742" s="33"/>
      <c r="AK1742" s="216"/>
      <c r="AL1742" s="33"/>
      <c r="AM1742" s="33"/>
      <c r="AN1742" s="33"/>
      <c r="AO1742" s="33"/>
      <c r="AP1742" s="33"/>
    </row>
    <row r="1743" spans="1:42" ht="15.75" customHeight="1">
      <c r="A1743" s="33"/>
      <c r="B1743" s="33"/>
      <c r="C1743" s="33"/>
      <c r="D1743" s="33"/>
      <c r="E1743" s="33"/>
      <c r="F1743" s="199"/>
      <c r="G1743" s="33"/>
      <c r="H1743" s="33"/>
      <c r="I1743" s="33"/>
      <c r="J1743" s="33"/>
      <c r="K1743" s="33"/>
      <c r="L1743" s="33"/>
      <c r="M1743" s="33"/>
      <c r="N1743" s="33"/>
      <c r="O1743" s="33"/>
      <c r="P1743" s="33"/>
      <c r="Q1743" s="33"/>
      <c r="R1743" s="33"/>
      <c r="S1743" s="33"/>
      <c r="T1743" s="33"/>
      <c r="U1743" s="33"/>
      <c r="V1743" s="33"/>
      <c r="W1743" s="33"/>
      <c r="X1743" s="33"/>
      <c r="Y1743" s="33"/>
      <c r="Z1743" s="33"/>
      <c r="AA1743" s="33"/>
      <c r="AB1743" s="33"/>
      <c r="AC1743" s="33"/>
      <c r="AD1743" s="33"/>
      <c r="AE1743" s="33"/>
      <c r="AF1743" s="33"/>
      <c r="AG1743" s="33"/>
      <c r="AH1743" s="33"/>
      <c r="AI1743" s="33"/>
      <c r="AJ1743" s="33"/>
      <c r="AK1743" s="216"/>
      <c r="AL1743" s="33"/>
      <c r="AM1743" s="33"/>
      <c r="AN1743" s="33"/>
      <c r="AO1743" s="33"/>
      <c r="AP1743" s="33"/>
    </row>
    <row r="1744" spans="1:42" ht="15.75" customHeight="1">
      <c r="A1744" s="33"/>
      <c r="B1744" s="33"/>
      <c r="C1744" s="33"/>
      <c r="D1744" s="33"/>
      <c r="E1744" s="33"/>
      <c r="F1744" s="199"/>
      <c r="G1744" s="33"/>
      <c r="H1744" s="33"/>
      <c r="I1744" s="33"/>
      <c r="J1744" s="33"/>
      <c r="K1744" s="33"/>
      <c r="L1744" s="33"/>
      <c r="M1744" s="33"/>
      <c r="N1744" s="33"/>
      <c r="O1744" s="33"/>
      <c r="P1744" s="33"/>
      <c r="Q1744" s="33"/>
      <c r="R1744" s="33"/>
      <c r="S1744" s="33"/>
      <c r="T1744" s="33"/>
      <c r="U1744" s="33"/>
      <c r="V1744" s="33"/>
      <c r="W1744" s="33"/>
      <c r="X1744" s="33"/>
      <c r="Y1744" s="33"/>
      <c r="Z1744" s="33"/>
      <c r="AA1744" s="33"/>
      <c r="AB1744" s="33"/>
      <c r="AC1744" s="33"/>
      <c r="AD1744" s="33"/>
      <c r="AE1744" s="33"/>
      <c r="AF1744" s="33"/>
      <c r="AG1744" s="33"/>
      <c r="AH1744" s="33"/>
      <c r="AI1744" s="33"/>
      <c r="AJ1744" s="33"/>
      <c r="AK1744" s="216"/>
      <c r="AL1744" s="33"/>
      <c r="AM1744" s="33"/>
      <c r="AN1744" s="33"/>
      <c r="AO1744" s="33"/>
      <c r="AP1744" s="33"/>
    </row>
    <row r="1745" spans="1:42" ht="15.75" customHeight="1">
      <c r="A1745" s="33"/>
      <c r="B1745" s="33"/>
      <c r="C1745" s="33"/>
      <c r="D1745" s="33"/>
      <c r="E1745" s="33"/>
      <c r="F1745" s="199"/>
      <c r="G1745" s="33"/>
      <c r="H1745" s="33"/>
      <c r="I1745" s="33"/>
      <c r="J1745" s="33"/>
      <c r="K1745" s="33"/>
      <c r="L1745" s="33"/>
      <c r="M1745" s="33"/>
      <c r="N1745" s="33"/>
      <c r="O1745" s="33"/>
      <c r="P1745" s="33"/>
      <c r="Q1745" s="33"/>
      <c r="R1745" s="33"/>
      <c r="S1745" s="33"/>
      <c r="T1745" s="33"/>
      <c r="U1745" s="33"/>
      <c r="V1745" s="33"/>
      <c r="W1745" s="33"/>
      <c r="X1745" s="33"/>
      <c r="Y1745" s="33"/>
      <c r="Z1745" s="33"/>
      <c r="AA1745" s="33"/>
      <c r="AB1745" s="33"/>
      <c r="AC1745" s="33"/>
      <c r="AD1745" s="33"/>
      <c r="AE1745" s="33"/>
      <c r="AF1745" s="33"/>
      <c r="AG1745" s="33"/>
      <c r="AH1745" s="33"/>
      <c r="AI1745" s="33"/>
      <c r="AJ1745" s="33"/>
      <c r="AK1745" s="216"/>
      <c r="AL1745" s="33"/>
      <c r="AM1745" s="33"/>
      <c r="AN1745" s="33"/>
      <c r="AO1745" s="33"/>
      <c r="AP1745" s="33"/>
    </row>
    <row r="1746" spans="1:42" ht="15.75" customHeight="1">
      <c r="A1746" s="33"/>
      <c r="B1746" s="33"/>
      <c r="C1746" s="33"/>
      <c r="D1746" s="33"/>
      <c r="E1746" s="33"/>
      <c r="F1746" s="199"/>
      <c r="G1746" s="33"/>
      <c r="H1746" s="33"/>
      <c r="I1746" s="33"/>
      <c r="J1746" s="33"/>
      <c r="K1746" s="33"/>
      <c r="L1746" s="33"/>
      <c r="M1746" s="33"/>
      <c r="N1746" s="33"/>
      <c r="O1746" s="33"/>
      <c r="P1746" s="33"/>
      <c r="Q1746" s="33"/>
      <c r="R1746" s="33"/>
      <c r="S1746" s="33"/>
      <c r="T1746" s="33"/>
      <c r="U1746" s="33"/>
      <c r="V1746" s="33"/>
      <c r="W1746" s="33"/>
      <c r="X1746" s="33"/>
      <c r="Y1746" s="33"/>
      <c r="Z1746" s="33"/>
      <c r="AA1746" s="33"/>
      <c r="AB1746" s="33"/>
      <c r="AC1746" s="33"/>
      <c r="AD1746" s="33"/>
      <c r="AE1746" s="33"/>
      <c r="AF1746" s="33"/>
      <c r="AG1746" s="33"/>
      <c r="AH1746" s="33"/>
      <c r="AI1746" s="33"/>
      <c r="AJ1746" s="33"/>
      <c r="AK1746" s="216"/>
      <c r="AL1746" s="33"/>
      <c r="AM1746" s="33"/>
      <c r="AN1746" s="33"/>
      <c r="AO1746" s="33"/>
      <c r="AP1746" s="33"/>
    </row>
    <row r="1747" spans="1:42" ht="15.75" customHeight="1">
      <c r="A1747" s="33"/>
      <c r="B1747" s="33"/>
      <c r="C1747" s="33"/>
      <c r="D1747" s="33"/>
      <c r="E1747" s="33"/>
      <c r="F1747" s="199"/>
      <c r="G1747" s="33"/>
      <c r="H1747" s="33"/>
      <c r="I1747" s="33"/>
      <c r="J1747" s="33"/>
      <c r="K1747" s="33"/>
      <c r="L1747" s="33"/>
      <c r="M1747" s="33"/>
      <c r="N1747" s="33"/>
      <c r="O1747" s="33"/>
      <c r="P1747" s="33"/>
      <c r="Q1747" s="33"/>
      <c r="R1747" s="33"/>
      <c r="S1747" s="33"/>
      <c r="T1747" s="33"/>
      <c r="U1747" s="33"/>
      <c r="V1747" s="33"/>
      <c r="W1747" s="33"/>
      <c r="X1747" s="33"/>
      <c r="Y1747" s="33"/>
      <c r="Z1747" s="33"/>
      <c r="AA1747" s="33"/>
      <c r="AB1747" s="33"/>
      <c r="AC1747" s="33"/>
      <c r="AD1747" s="33"/>
      <c r="AE1747" s="33"/>
      <c r="AF1747" s="33"/>
      <c r="AG1747" s="33"/>
      <c r="AH1747" s="33"/>
      <c r="AI1747" s="33"/>
      <c r="AJ1747" s="33"/>
      <c r="AK1747" s="216"/>
      <c r="AL1747" s="33"/>
      <c r="AM1747" s="33"/>
      <c r="AN1747" s="33"/>
      <c r="AO1747" s="33"/>
      <c r="AP1747" s="33"/>
    </row>
    <row r="1748" spans="1:42" ht="15.75" customHeight="1">
      <c r="A1748" s="33"/>
      <c r="B1748" s="33"/>
      <c r="C1748" s="33"/>
      <c r="D1748" s="33"/>
      <c r="E1748" s="33"/>
      <c r="F1748" s="199"/>
      <c r="G1748" s="33"/>
      <c r="H1748" s="33"/>
      <c r="I1748" s="33"/>
      <c r="J1748" s="33"/>
      <c r="K1748" s="33"/>
      <c r="L1748" s="33"/>
      <c r="M1748" s="33"/>
      <c r="N1748" s="33"/>
      <c r="O1748" s="33"/>
      <c r="P1748" s="33"/>
      <c r="Q1748" s="33"/>
      <c r="R1748" s="33"/>
      <c r="S1748" s="33"/>
      <c r="T1748" s="33"/>
      <c r="U1748" s="33"/>
      <c r="V1748" s="33"/>
      <c r="W1748" s="33"/>
      <c r="X1748" s="33"/>
      <c r="Y1748" s="33"/>
      <c r="Z1748" s="33"/>
      <c r="AA1748" s="33"/>
      <c r="AB1748" s="33"/>
      <c r="AC1748" s="33"/>
      <c r="AD1748" s="33"/>
      <c r="AE1748" s="33"/>
      <c r="AF1748" s="33"/>
      <c r="AG1748" s="33"/>
      <c r="AH1748" s="33"/>
      <c r="AI1748" s="33"/>
      <c r="AJ1748" s="33"/>
      <c r="AK1748" s="216"/>
      <c r="AL1748" s="33"/>
      <c r="AM1748" s="33"/>
      <c r="AN1748" s="33"/>
      <c r="AO1748" s="33"/>
      <c r="AP1748" s="33"/>
    </row>
    <row r="1749" spans="1:42" ht="15.75" customHeight="1">
      <c r="A1749" s="33"/>
      <c r="B1749" s="33"/>
      <c r="C1749" s="33"/>
      <c r="D1749" s="33"/>
      <c r="E1749" s="33"/>
      <c r="F1749" s="199"/>
      <c r="G1749" s="33"/>
      <c r="H1749" s="33"/>
      <c r="I1749" s="33"/>
      <c r="J1749" s="33"/>
      <c r="K1749" s="33"/>
      <c r="L1749" s="33"/>
      <c r="M1749" s="33"/>
      <c r="N1749" s="33"/>
      <c r="O1749" s="33"/>
      <c r="P1749" s="33"/>
      <c r="Q1749" s="33"/>
      <c r="R1749" s="33"/>
      <c r="S1749" s="33"/>
      <c r="T1749" s="33"/>
      <c r="U1749" s="33"/>
      <c r="V1749" s="33"/>
      <c r="W1749" s="33"/>
      <c r="X1749" s="33"/>
      <c r="Y1749" s="33"/>
      <c r="Z1749" s="33"/>
      <c r="AA1749" s="33"/>
      <c r="AB1749" s="33"/>
      <c r="AC1749" s="33"/>
      <c r="AD1749" s="33"/>
      <c r="AE1749" s="33"/>
      <c r="AF1749" s="33"/>
      <c r="AG1749" s="33"/>
      <c r="AH1749" s="33"/>
      <c r="AI1749" s="33"/>
      <c r="AJ1749" s="33"/>
      <c r="AK1749" s="216"/>
      <c r="AL1749" s="33"/>
      <c r="AM1749" s="33"/>
      <c r="AN1749" s="33"/>
      <c r="AO1749" s="33"/>
      <c r="AP1749" s="33"/>
    </row>
    <row r="1750" spans="1:42" ht="15.75" customHeight="1">
      <c r="A1750" s="33"/>
      <c r="B1750" s="33"/>
      <c r="C1750" s="33"/>
      <c r="D1750" s="33"/>
      <c r="E1750" s="33"/>
      <c r="F1750" s="199"/>
      <c r="G1750" s="33"/>
      <c r="H1750" s="33"/>
      <c r="I1750" s="33"/>
      <c r="J1750" s="33"/>
      <c r="K1750" s="33"/>
      <c r="L1750" s="33"/>
      <c r="M1750" s="33"/>
      <c r="N1750" s="33"/>
      <c r="O1750" s="33"/>
      <c r="P1750" s="33"/>
      <c r="Q1750" s="33"/>
      <c r="R1750" s="33"/>
      <c r="S1750" s="33"/>
      <c r="T1750" s="33"/>
      <c r="U1750" s="33"/>
      <c r="V1750" s="33"/>
      <c r="W1750" s="33"/>
      <c r="X1750" s="33"/>
      <c r="Y1750" s="33"/>
      <c r="Z1750" s="33"/>
      <c r="AA1750" s="33"/>
      <c r="AB1750" s="33"/>
      <c r="AC1750" s="33"/>
      <c r="AD1750" s="33"/>
      <c r="AE1750" s="33"/>
      <c r="AF1750" s="33"/>
      <c r="AG1750" s="33"/>
      <c r="AH1750" s="33"/>
      <c r="AI1750" s="33"/>
      <c r="AJ1750" s="33"/>
      <c r="AK1750" s="216"/>
      <c r="AL1750" s="33"/>
      <c r="AM1750" s="33"/>
      <c r="AN1750" s="33"/>
      <c r="AO1750" s="33"/>
      <c r="AP1750" s="33"/>
    </row>
    <row r="1751" spans="1:42" ht="15.75" customHeight="1">
      <c r="A1751" s="33"/>
      <c r="B1751" s="33"/>
      <c r="C1751" s="33"/>
      <c r="D1751" s="33"/>
      <c r="E1751" s="33"/>
      <c r="F1751" s="199"/>
      <c r="G1751" s="33"/>
      <c r="H1751" s="33"/>
      <c r="I1751" s="33"/>
      <c r="J1751" s="33"/>
      <c r="K1751" s="33"/>
      <c r="L1751" s="33"/>
      <c r="M1751" s="33"/>
      <c r="N1751" s="33"/>
      <c r="O1751" s="33"/>
      <c r="P1751" s="33"/>
      <c r="Q1751" s="33"/>
      <c r="R1751" s="33"/>
      <c r="S1751" s="33"/>
      <c r="T1751" s="33"/>
      <c r="U1751" s="33"/>
      <c r="V1751" s="33"/>
      <c r="W1751" s="33"/>
      <c r="X1751" s="33"/>
      <c r="Y1751" s="33"/>
      <c r="Z1751" s="33"/>
      <c r="AA1751" s="33"/>
      <c r="AB1751" s="33"/>
      <c r="AC1751" s="33"/>
      <c r="AD1751" s="33"/>
      <c r="AE1751" s="33"/>
      <c r="AF1751" s="33"/>
      <c r="AG1751" s="33"/>
      <c r="AH1751" s="33"/>
      <c r="AI1751" s="33"/>
      <c r="AJ1751" s="33"/>
      <c r="AK1751" s="216"/>
      <c r="AL1751" s="33"/>
      <c r="AM1751" s="33"/>
      <c r="AN1751" s="33"/>
      <c r="AO1751" s="33"/>
      <c r="AP1751" s="33"/>
    </row>
    <row r="1752" spans="1:42" ht="15.75" customHeight="1">
      <c r="A1752" s="33"/>
      <c r="B1752" s="33"/>
      <c r="C1752" s="33"/>
      <c r="D1752" s="33"/>
      <c r="E1752" s="33"/>
      <c r="F1752" s="199"/>
      <c r="G1752" s="33"/>
      <c r="H1752" s="33"/>
      <c r="I1752" s="33"/>
      <c r="J1752" s="33"/>
      <c r="K1752" s="33"/>
      <c r="L1752" s="33"/>
      <c r="M1752" s="33"/>
      <c r="N1752" s="33"/>
      <c r="O1752" s="33"/>
      <c r="P1752" s="33"/>
      <c r="Q1752" s="33"/>
      <c r="R1752" s="33"/>
      <c r="S1752" s="33"/>
      <c r="T1752" s="33"/>
      <c r="U1752" s="33"/>
      <c r="V1752" s="33"/>
      <c r="W1752" s="33"/>
      <c r="X1752" s="33"/>
      <c r="Y1752" s="33"/>
      <c r="Z1752" s="33"/>
      <c r="AA1752" s="33"/>
      <c r="AB1752" s="33"/>
      <c r="AC1752" s="33"/>
      <c r="AD1752" s="33"/>
      <c r="AE1752" s="33"/>
      <c r="AF1752" s="33"/>
      <c r="AG1752" s="33"/>
      <c r="AH1752" s="33"/>
      <c r="AI1752" s="33"/>
      <c r="AJ1752" s="33"/>
      <c r="AK1752" s="216"/>
      <c r="AL1752" s="33"/>
      <c r="AM1752" s="33"/>
      <c r="AN1752" s="33"/>
      <c r="AO1752" s="33"/>
      <c r="AP1752" s="33"/>
    </row>
    <row r="1753" spans="1:42" ht="15.75" customHeight="1">
      <c r="A1753" s="33"/>
      <c r="B1753" s="33"/>
      <c r="C1753" s="33"/>
      <c r="D1753" s="33"/>
      <c r="E1753" s="33"/>
      <c r="F1753" s="199"/>
      <c r="G1753" s="33"/>
      <c r="H1753" s="33"/>
      <c r="I1753" s="33"/>
      <c r="J1753" s="33"/>
      <c r="K1753" s="33"/>
      <c r="L1753" s="33"/>
      <c r="M1753" s="33"/>
      <c r="N1753" s="33"/>
      <c r="O1753" s="33"/>
      <c r="P1753" s="33"/>
      <c r="Q1753" s="33"/>
      <c r="R1753" s="33"/>
      <c r="S1753" s="33"/>
      <c r="T1753" s="33"/>
      <c r="U1753" s="33"/>
      <c r="V1753" s="33"/>
      <c r="W1753" s="33"/>
      <c r="X1753" s="33"/>
      <c r="Y1753" s="33"/>
      <c r="Z1753" s="33"/>
      <c r="AA1753" s="33"/>
      <c r="AB1753" s="33"/>
      <c r="AC1753" s="33"/>
      <c r="AD1753" s="33"/>
      <c r="AE1753" s="33"/>
      <c r="AF1753" s="33"/>
      <c r="AG1753" s="33"/>
      <c r="AH1753" s="33"/>
      <c r="AI1753" s="33"/>
      <c r="AJ1753" s="33"/>
      <c r="AK1753" s="216"/>
      <c r="AL1753" s="33"/>
      <c r="AM1753" s="33"/>
      <c r="AN1753" s="33"/>
      <c r="AO1753" s="33"/>
      <c r="AP1753" s="33"/>
    </row>
    <row r="1754" spans="1:42" ht="15.75" customHeight="1">
      <c r="A1754" s="33"/>
      <c r="B1754" s="33"/>
      <c r="C1754" s="33"/>
      <c r="D1754" s="33"/>
      <c r="E1754" s="33"/>
      <c r="F1754" s="199"/>
      <c r="G1754" s="33"/>
      <c r="H1754" s="33"/>
      <c r="I1754" s="33"/>
      <c r="J1754" s="33"/>
      <c r="K1754" s="33"/>
      <c r="L1754" s="33"/>
      <c r="M1754" s="33"/>
      <c r="N1754" s="33"/>
      <c r="O1754" s="33"/>
      <c r="P1754" s="33"/>
      <c r="Q1754" s="33"/>
      <c r="R1754" s="33"/>
      <c r="S1754" s="33"/>
      <c r="T1754" s="33"/>
      <c r="U1754" s="33"/>
      <c r="V1754" s="33"/>
      <c r="W1754" s="33"/>
      <c r="X1754" s="33"/>
      <c r="Y1754" s="33"/>
      <c r="Z1754" s="33"/>
      <c r="AA1754" s="33"/>
      <c r="AB1754" s="33"/>
      <c r="AC1754" s="33"/>
      <c r="AD1754" s="33"/>
      <c r="AE1754" s="33"/>
      <c r="AF1754" s="33"/>
      <c r="AG1754" s="33"/>
      <c r="AH1754" s="33"/>
      <c r="AI1754" s="33"/>
      <c r="AJ1754" s="33"/>
      <c r="AK1754" s="216"/>
      <c r="AL1754" s="33"/>
      <c r="AM1754" s="33"/>
      <c r="AN1754" s="33"/>
      <c r="AO1754" s="33"/>
      <c r="AP1754" s="33"/>
    </row>
    <row r="1755" spans="1:42" ht="15.75" customHeight="1">
      <c r="A1755" s="33"/>
      <c r="B1755" s="33"/>
      <c r="C1755" s="33"/>
      <c r="D1755" s="33"/>
      <c r="E1755" s="33"/>
      <c r="F1755" s="199"/>
      <c r="G1755" s="33"/>
      <c r="H1755" s="33"/>
      <c r="I1755" s="33"/>
      <c r="J1755" s="33"/>
      <c r="K1755" s="33"/>
      <c r="L1755" s="33"/>
      <c r="M1755" s="33"/>
      <c r="N1755" s="33"/>
      <c r="O1755" s="33"/>
      <c r="P1755" s="33"/>
      <c r="Q1755" s="33"/>
      <c r="R1755" s="33"/>
      <c r="S1755" s="33"/>
      <c r="T1755" s="33"/>
      <c r="U1755" s="33"/>
      <c r="V1755" s="33"/>
      <c r="W1755" s="33"/>
      <c r="X1755" s="33"/>
      <c r="Y1755" s="33"/>
      <c r="Z1755" s="33"/>
      <c r="AA1755" s="33"/>
      <c r="AB1755" s="33"/>
      <c r="AC1755" s="33"/>
      <c r="AD1755" s="33"/>
      <c r="AE1755" s="33"/>
      <c r="AF1755" s="33"/>
      <c r="AG1755" s="33"/>
      <c r="AH1755" s="33"/>
      <c r="AI1755" s="33"/>
      <c r="AJ1755" s="33"/>
      <c r="AK1755" s="216"/>
      <c r="AL1755" s="33"/>
      <c r="AM1755" s="33"/>
      <c r="AN1755" s="33"/>
      <c r="AO1755" s="33"/>
      <c r="AP1755" s="33"/>
    </row>
    <row r="1756" spans="1:42" ht="15.75" customHeight="1">
      <c r="A1756" s="33"/>
      <c r="B1756" s="33"/>
      <c r="C1756" s="33"/>
      <c r="D1756" s="33"/>
      <c r="E1756" s="33"/>
      <c r="F1756" s="199"/>
      <c r="G1756" s="33"/>
      <c r="H1756" s="33"/>
      <c r="I1756" s="33"/>
      <c r="J1756" s="33"/>
      <c r="K1756" s="33"/>
      <c r="L1756" s="33"/>
      <c r="M1756" s="33"/>
      <c r="N1756" s="33"/>
      <c r="O1756" s="33"/>
      <c r="P1756" s="33"/>
      <c r="Q1756" s="33"/>
      <c r="R1756" s="33"/>
      <c r="S1756" s="33"/>
      <c r="T1756" s="33"/>
      <c r="U1756" s="33"/>
      <c r="V1756" s="33"/>
      <c r="W1756" s="33"/>
      <c r="X1756" s="33"/>
      <c r="Y1756" s="33"/>
      <c r="Z1756" s="33"/>
      <c r="AA1756" s="33"/>
      <c r="AB1756" s="33"/>
      <c r="AC1756" s="33"/>
      <c r="AD1756" s="33"/>
      <c r="AE1756" s="33"/>
      <c r="AF1756" s="33"/>
      <c r="AG1756" s="33"/>
      <c r="AH1756" s="33"/>
      <c r="AI1756" s="33"/>
      <c r="AJ1756" s="33"/>
      <c r="AK1756" s="216"/>
      <c r="AL1756" s="33"/>
      <c r="AM1756" s="33"/>
      <c r="AN1756" s="33"/>
      <c r="AO1756" s="33"/>
      <c r="AP1756" s="33"/>
    </row>
    <row r="1757" spans="1:42" ht="15.75" customHeight="1">
      <c r="A1757" s="33"/>
      <c r="B1757" s="33"/>
      <c r="C1757" s="33"/>
      <c r="D1757" s="33"/>
      <c r="E1757" s="33"/>
      <c r="F1757" s="199"/>
      <c r="G1757" s="33"/>
      <c r="H1757" s="33"/>
      <c r="I1757" s="33"/>
      <c r="J1757" s="33"/>
      <c r="K1757" s="33"/>
      <c r="L1757" s="33"/>
      <c r="M1757" s="33"/>
      <c r="N1757" s="33"/>
      <c r="O1757" s="33"/>
      <c r="P1757" s="33"/>
      <c r="Q1757" s="33"/>
      <c r="R1757" s="33"/>
      <c r="S1757" s="33"/>
      <c r="T1757" s="33"/>
      <c r="U1757" s="33"/>
      <c r="V1757" s="33"/>
      <c r="W1757" s="33"/>
      <c r="X1757" s="33"/>
      <c r="Y1757" s="33"/>
      <c r="Z1757" s="33"/>
      <c r="AA1757" s="33"/>
      <c r="AB1757" s="33"/>
      <c r="AC1757" s="33"/>
      <c r="AD1757" s="33"/>
      <c r="AE1757" s="33"/>
      <c r="AF1757" s="33"/>
      <c r="AG1757" s="33"/>
      <c r="AH1757" s="33"/>
      <c r="AI1757" s="33"/>
      <c r="AJ1757" s="33"/>
      <c r="AK1757" s="216"/>
      <c r="AL1757" s="33"/>
      <c r="AM1757" s="33"/>
      <c r="AN1757" s="33"/>
      <c r="AO1757" s="33"/>
      <c r="AP1757" s="33"/>
    </row>
    <row r="1758" spans="1:42" ht="15.75" customHeight="1">
      <c r="A1758" s="33"/>
      <c r="B1758" s="33"/>
      <c r="C1758" s="33"/>
      <c r="D1758" s="33"/>
      <c r="E1758" s="33"/>
      <c r="F1758" s="199"/>
      <c r="G1758" s="33"/>
      <c r="H1758" s="33"/>
      <c r="I1758" s="33"/>
      <c r="J1758" s="33"/>
      <c r="K1758" s="33"/>
      <c r="L1758" s="33"/>
      <c r="M1758" s="33"/>
      <c r="N1758" s="33"/>
      <c r="O1758" s="33"/>
      <c r="P1758" s="33"/>
      <c r="Q1758" s="33"/>
      <c r="R1758" s="33"/>
      <c r="S1758" s="33"/>
      <c r="T1758" s="33"/>
      <c r="U1758" s="33"/>
      <c r="V1758" s="33"/>
      <c r="W1758" s="33"/>
      <c r="X1758" s="33"/>
      <c r="Y1758" s="33"/>
      <c r="Z1758" s="33"/>
      <c r="AA1758" s="33"/>
      <c r="AB1758" s="33"/>
      <c r="AC1758" s="33"/>
      <c r="AD1758" s="33"/>
      <c r="AE1758" s="33"/>
      <c r="AF1758" s="33"/>
      <c r="AG1758" s="33"/>
      <c r="AH1758" s="33"/>
      <c r="AI1758" s="33"/>
      <c r="AJ1758" s="33"/>
      <c r="AK1758" s="216"/>
      <c r="AL1758" s="33"/>
      <c r="AM1758" s="33"/>
      <c r="AN1758" s="33"/>
      <c r="AO1758" s="33"/>
      <c r="AP1758" s="33"/>
    </row>
    <row r="1759" spans="1:42" ht="15.75" customHeight="1">
      <c r="A1759" s="33"/>
      <c r="B1759" s="33"/>
      <c r="C1759" s="33"/>
      <c r="D1759" s="33"/>
      <c r="E1759" s="33"/>
      <c r="F1759" s="199"/>
      <c r="G1759" s="33"/>
      <c r="H1759" s="33"/>
      <c r="I1759" s="33"/>
      <c r="J1759" s="33"/>
      <c r="K1759" s="33"/>
      <c r="L1759" s="33"/>
      <c r="M1759" s="33"/>
      <c r="N1759" s="33"/>
      <c r="O1759" s="33"/>
      <c r="P1759" s="33"/>
      <c r="Q1759" s="33"/>
      <c r="R1759" s="33"/>
      <c r="S1759" s="33"/>
      <c r="T1759" s="33"/>
      <c r="U1759" s="33"/>
      <c r="V1759" s="33"/>
      <c r="W1759" s="33"/>
      <c r="X1759" s="33"/>
      <c r="Y1759" s="33"/>
      <c r="Z1759" s="33"/>
      <c r="AA1759" s="33"/>
      <c r="AB1759" s="33"/>
      <c r="AC1759" s="33"/>
      <c r="AD1759" s="33"/>
      <c r="AE1759" s="33"/>
      <c r="AF1759" s="33"/>
      <c r="AG1759" s="33"/>
      <c r="AH1759" s="33"/>
      <c r="AI1759" s="33"/>
      <c r="AJ1759" s="33"/>
      <c r="AK1759" s="216"/>
      <c r="AL1759" s="33"/>
      <c r="AM1759" s="33"/>
      <c r="AN1759" s="33"/>
      <c r="AO1759" s="33"/>
      <c r="AP1759" s="33"/>
    </row>
    <row r="1760" spans="1:42" ht="15.75" customHeight="1">
      <c r="A1760" s="33"/>
      <c r="B1760" s="33"/>
      <c r="C1760" s="33"/>
      <c r="D1760" s="33"/>
      <c r="E1760" s="33"/>
      <c r="F1760" s="199"/>
      <c r="G1760" s="33"/>
      <c r="H1760" s="33"/>
      <c r="I1760" s="33"/>
      <c r="J1760" s="33"/>
      <c r="K1760" s="33"/>
      <c r="L1760" s="33"/>
      <c r="M1760" s="33"/>
      <c r="N1760" s="33"/>
      <c r="O1760" s="33"/>
      <c r="P1760" s="33"/>
      <c r="Q1760" s="33"/>
      <c r="R1760" s="33"/>
      <c r="S1760" s="33"/>
      <c r="T1760" s="33"/>
      <c r="U1760" s="33"/>
      <c r="V1760" s="33"/>
      <c r="W1760" s="33"/>
      <c r="X1760" s="33"/>
      <c r="Y1760" s="33"/>
      <c r="Z1760" s="33"/>
      <c r="AA1760" s="33"/>
      <c r="AB1760" s="33"/>
      <c r="AC1760" s="33"/>
      <c r="AD1760" s="33"/>
      <c r="AE1760" s="33"/>
      <c r="AF1760" s="33"/>
      <c r="AG1760" s="33"/>
      <c r="AH1760" s="33"/>
      <c r="AI1760" s="33"/>
      <c r="AJ1760" s="33"/>
      <c r="AK1760" s="216"/>
      <c r="AL1760" s="33"/>
      <c r="AM1760" s="33"/>
      <c r="AN1760" s="33"/>
      <c r="AO1760" s="33"/>
      <c r="AP1760" s="33"/>
    </row>
    <row r="1761" spans="1:42" ht="15.75" customHeight="1">
      <c r="A1761" s="33"/>
      <c r="B1761" s="33"/>
      <c r="C1761" s="33"/>
      <c r="D1761" s="33"/>
      <c r="E1761" s="33"/>
      <c r="F1761" s="199"/>
      <c r="G1761" s="33"/>
      <c r="H1761" s="33"/>
      <c r="I1761" s="33"/>
      <c r="J1761" s="33"/>
      <c r="K1761" s="33"/>
      <c r="L1761" s="33"/>
      <c r="M1761" s="33"/>
      <c r="N1761" s="33"/>
      <c r="O1761" s="33"/>
      <c r="P1761" s="33"/>
      <c r="Q1761" s="33"/>
      <c r="R1761" s="33"/>
      <c r="S1761" s="33"/>
      <c r="T1761" s="33"/>
      <c r="U1761" s="33"/>
      <c r="V1761" s="33"/>
      <c r="W1761" s="33"/>
      <c r="X1761" s="33"/>
      <c r="Y1761" s="33"/>
      <c r="Z1761" s="33"/>
      <c r="AA1761" s="33"/>
      <c r="AB1761" s="33"/>
      <c r="AC1761" s="33"/>
      <c r="AD1761" s="33"/>
      <c r="AE1761" s="33"/>
      <c r="AF1761" s="33"/>
      <c r="AG1761" s="33"/>
      <c r="AH1761" s="33"/>
      <c r="AI1761" s="33"/>
      <c r="AJ1761" s="33"/>
      <c r="AK1761" s="216"/>
      <c r="AL1761" s="33"/>
      <c r="AM1761" s="33"/>
      <c r="AN1761" s="33"/>
      <c r="AO1761" s="33"/>
      <c r="AP1761" s="33"/>
    </row>
    <row r="1762" spans="1:42" ht="15.75" customHeight="1">
      <c r="A1762" s="33"/>
      <c r="B1762" s="33"/>
      <c r="C1762" s="33"/>
      <c r="D1762" s="33"/>
      <c r="E1762" s="33"/>
      <c r="F1762" s="199"/>
      <c r="G1762" s="33"/>
      <c r="H1762" s="33"/>
      <c r="I1762" s="33"/>
      <c r="J1762" s="33"/>
      <c r="K1762" s="33"/>
      <c r="L1762" s="33"/>
      <c r="M1762" s="33"/>
      <c r="N1762" s="33"/>
      <c r="O1762" s="33"/>
      <c r="P1762" s="33"/>
      <c r="Q1762" s="33"/>
      <c r="R1762" s="33"/>
      <c r="S1762" s="33"/>
      <c r="T1762" s="33"/>
      <c r="U1762" s="33"/>
      <c r="V1762" s="33"/>
      <c r="W1762" s="33"/>
      <c r="X1762" s="33"/>
      <c r="Y1762" s="33"/>
      <c r="Z1762" s="33"/>
      <c r="AA1762" s="33"/>
      <c r="AB1762" s="33"/>
      <c r="AC1762" s="33"/>
      <c r="AD1762" s="33"/>
      <c r="AE1762" s="33"/>
      <c r="AF1762" s="33"/>
      <c r="AG1762" s="33"/>
      <c r="AH1762" s="33"/>
      <c r="AI1762" s="33"/>
      <c r="AJ1762" s="33"/>
      <c r="AK1762" s="216"/>
      <c r="AL1762" s="33"/>
      <c r="AM1762" s="33"/>
      <c r="AN1762" s="33"/>
      <c r="AO1762" s="33"/>
      <c r="AP1762" s="33"/>
    </row>
    <row r="1763" spans="1:42" ht="15.75" customHeight="1">
      <c r="A1763" s="33"/>
      <c r="B1763" s="33"/>
      <c r="C1763" s="33"/>
      <c r="D1763" s="33"/>
      <c r="E1763" s="33"/>
      <c r="F1763" s="199"/>
      <c r="G1763" s="33"/>
      <c r="H1763" s="33"/>
      <c r="I1763" s="33"/>
      <c r="J1763" s="33"/>
      <c r="K1763" s="33"/>
      <c r="L1763" s="33"/>
      <c r="M1763" s="33"/>
      <c r="N1763" s="33"/>
      <c r="O1763" s="33"/>
      <c r="P1763" s="33"/>
      <c r="Q1763" s="33"/>
      <c r="R1763" s="33"/>
      <c r="S1763" s="33"/>
      <c r="T1763" s="33"/>
      <c r="U1763" s="33"/>
      <c r="V1763" s="33"/>
      <c r="W1763" s="33"/>
      <c r="X1763" s="33"/>
      <c r="Y1763" s="33"/>
      <c r="Z1763" s="33"/>
      <c r="AA1763" s="33"/>
      <c r="AB1763" s="33"/>
      <c r="AC1763" s="33"/>
      <c r="AD1763" s="33"/>
      <c r="AE1763" s="33"/>
      <c r="AF1763" s="33"/>
      <c r="AG1763" s="33"/>
      <c r="AH1763" s="33"/>
      <c r="AI1763" s="33"/>
      <c r="AJ1763" s="33"/>
      <c r="AK1763" s="216"/>
      <c r="AL1763" s="33"/>
      <c r="AM1763" s="33"/>
      <c r="AN1763" s="33"/>
      <c r="AO1763" s="33"/>
      <c r="AP1763" s="33"/>
    </row>
    <row r="1764" spans="1:42" ht="15.75" customHeight="1">
      <c r="A1764" s="33"/>
      <c r="B1764" s="33"/>
      <c r="C1764" s="33"/>
      <c r="D1764" s="33"/>
      <c r="E1764" s="33"/>
      <c r="F1764" s="199"/>
      <c r="G1764" s="33"/>
      <c r="H1764" s="33"/>
      <c r="I1764" s="33"/>
      <c r="J1764" s="33"/>
      <c r="K1764" s="33"/>
      <c r="L1764" s="33"/>
      <c r="M1764" s="33"/>
      <c r="N1764" s="33"/>
      <c r="O1764" s="33"/>
      <c r="P1764" s="33"/>
      <c r="Q1764" s="33"/>
      <c r="R1764" s="33"/>
      <c r="S1764" s="33"/>
      <c r="T1764" s="33"/>
      <c r="U1764" s="33"/>
      <c r="V1764" s="33"/>
      <c r="W1764" s="33"/>
      <c r="X1764" s="33"/>
      <c r="Y1764" s="33"/>
      <c r="Z1764" s="33"/>
      <c r="AA1764" s="33"/>
      <c r="AB1764" s="33"/>
      <c r="AC1764" s="33"/>
      <c r="AD1764" s="33"/>
      <c r="AE1764" s="33"/>
      <c r="AF1764" s="33"/>
      <c r="AG1764" s="33"/>
      <c r="AH1764" s="33"/>
      <c r="AI1764" s="33"/>
      <c r="AJ1764" s="33"/>
      <c r="AK1764" s="216"/>
      <c r="AL1764" s="33"/>
      <c r="AM1764" s="33"/>
      <c r="AN1764" s="33"/>
      <c r="AO1764" s="33"/>
      <c r="AP1764" s="33"/>
    </row>
    <row r="1765" spans="1:42" ht="15.75" customHeight="1">
      <c r="A1765" s="33"/>
      <c r="B1765" s="33"/>
      <c r="C1765" s="33"/>
      <c r="D1765" s="33"/>
      <c r="E1765" s="33"/>
      <c r="F1765" s="199"/>
      <c r="G1765" s="33"/>
      <c r="H1765" s="33"/>
      <c r="I1765" s="33"/>
      <c r="J1765" s="33"/>
      <c r="K1765" s="33"/>
      <c r="L1765" s="33"/>
      <c r="M1765" s="33"/>
      <c r="N1765" s="33"/>
      <c r="O1765" s="33"/>
      <c r="P1765" s="33"/>
      <c r="Q1765" s="33"/>
      <c r="R1765" s="33"/>
      <c r="S1765" s="33"/>
      <c r="T1765" s="33"/>
      <c r="U1765" s="33"/>
      <c r="V1765" s="33"/>
      <c r="W1765" s="33"/>
      <c r="X1765" s="33"/>
      <c r="Y1765" s="33"/>
      <c r="Z1765" s="33"/>
      <c r="AA1765" s="33"/>
      <c r="AB1765" s="33"/>
      <c r="AC1765" s="33"/>
      <c r="AD1765" s="33"/>
      <c r="AE1765" s="33"/>
      <c r="AF1765" s="33"/>
      <c r="AG1765" s="33"/>
      <c r="AH1765" s="33"/>
      <c r="AI1765" s="33"/>
      <c r="AJ1765" s="33"/>
      <c r="AK1765" s="216"/>
      <c r="AL1765" s="33"/>
      <c r="AM1765" s="33"/>
      <c r="AN1765" s="33"/>
      <c r="AO1765" s="33"/>
      <c r="AP1765" s="33"/>
    </row>
    <row r="1766" spans="1:42" ht="15.75" customHeight="1">
      <c r="A1766" s="33"/>
      <c r="B1766" s="33"/>
      <c r="C1766" s="33"/>
      <c r="D1766" s="33"/>
      <c r="E1766" s="33"/>
      <c r="F1766" s="199"/>
      <c r="G1766" s="33"/>
      <c r="H1766" s="33"/>
      <c r="I1766" s="33"/>
      <c r="J1766" s="33"/>
      <c r="K1766" s="33"/>
      <c r="L1766" s="33"/>
      <c r="M1766" s="33"/>
      <c r="N1766" s="33"/>
      <c r="O1766" s="33"/>
      <c r="P1766" s="33"/>
      <c r="Q1766" s="33"/>
      <c r="R1766" s="33"/>
      <c r="S1766" s="33"/>
      <c r="T1766" s="33"/>
      <c r="U1766" s="33"/>
      <c r="V1766" s="33"/>
      <c r="W1766" s="33"/>
      <c r="X1766" s="33"/>
      <c r="Y1766" s="33"/>
      <c r="Z1766" s="33"/>
      <c r="AA1766" s="33"/>
      <c r="AB1766" s="33"/>
      <c r="AC1766" s="33"/>
      <c r="AD1766" s="33"/>
      <c r="AE1766" s="33"/>
      <c r="AF1766" s="33"/>
      <c r="AG1766" s="33"/>
      <c r="AH1766" s="33"/>
      <c r="AI1766" s="33"/>
      <c r="AJ1766" s="33"/>
      <c r="AK1766" s="216"/>
      <c r="AL1766" s="33"/>
      <c r="AM1766" s="33"/>
      <c r="AN1766" s="33"/>
      <c r="AO1766" s="33"/>
      <c r="AP1766" s="33"/>
    </row>
    <row r="1767" spans="1:42" ht="15.75" customHeight="1">
      <c r="A1767" s="33"/>
      <c r="B1767" s="33"/>
      <c r="C1767" s="33"/>
      <c r="D1767" s="33"/>
      <c r="E1767" s="33"/>
      <c r="F1767" s="199"/>
      <c r="G1767" s="33"/>
      <c r="H1767" s="33"/>
      <c r="I1767" s="33"/>
      <c r="J1767" s="33"/>
      <c r="K1767" s="33"/>
      <c r="L1767" s="33"/>
      <c r="M1767" s="33"/>
      <c r="N1767" s="33"/>
      <c r="O1767" s="33"/>
      <c r="P1767" s="33"/>
      <c r="Q1767" s="33"/>
      <c r="R1767" s="33"/>
      <c r="S1767" s="33"/>
      <c r="T1767" s="33"/>
      <c r="U1767" s="33"/>
      <c r="V1767" s="33"/>
      <c r="W1767" s="33"/>
      <c r="X1767" s="33"/>
      <c r="Y1767" s="33"/>
      <c r="Z1767" s="33"/>
      <c r="AA1767" s="33"/>
      <c r="AB1767" s="33"/>
      <c r="AC1767" s="33"/>
      <c r="AD1767" s="33"/>
      <c r="AE1767" s="33"/>
      <c r="AF1767" s="33"/>
      <c r="AG1767" s="33"/>
      <c r="AH1767" s="33"/>
      <c r="AI1767" s="33"/>
      <c r="AJ1767" s="33"/>
      <c r="AK1767" s="216"/>
      <c r="AL1767" s="33"/>
      <c r="AM1767" s="33"/>
      <c r="AN1767" s="33"/>
      <c r="AO1767" s="33"/>
      <c r="AP1767" s="33"/>
    </row>
  </sheetData>
  <autoFilter ref="A1:AN1767" xr:uid="{00000000-0009-0000-0000-000000000000}"/>
  <customSheetViews>
    <customSheetView guid="{FEDE0A13-B064-4211-845C-9CCFDF3719ED}" filter="1" showAutoFilter="1">
      <pageMargins left="0.7" right="0.7" top="0.75" bottom="0.75" header="0.3" footer="0.3"/>
      <autoFilter ref="A1:AK179" xr:uid="{98B9C82D-8B43-4F75-A555-7395336AC092}"/>
      <extLst>
        <ext uri="GoogleSheetsCustomDataVersion1">
          <go:sheetsCustomData xmlns:go="http://customooxmlschemas.google.com/" filterViewId="1013943690"/>
        </ext>
      </extLst>
    </customSheetView>
    <customSheetView guid="{24D4D396-21AC-4EB4-AF6A-EAB2B85EFD7D}" filter="1" showAutoFilter="1">
      <pageMargins left="0.7" right="0.7" top="0.75" bottom="0.75" header="0.3" footer="0.3"/>
      <autoFilter ref="B1:AK127" xr:uid="{1CD1FE28-0D35-42AF-8BD6-FF0BEEAE72C9}"/>
      <extLst>
        <ext uri="GoogleSheetsCustomDataVersion1">
          <go:sheetsCustomData xmlns:go="http://customooxmlschemas.google.com/" filterViewId="1083098553"/>
        </ext>
      </extLst>
    </customSheetView>
    <customSheetView guid="{6A3B0D89-6415-4EC3-A852-B0FF309BCA7E}" filter="1" showAutoFilter="1">
      <pageMargins left="0.7" right="0.7" top="0.75" bottom="0.75" header="0.3" footer="0.3"/>
      <autoFilter ref="A1:AK127" xr:uid="{A89C0F9E-506C-4234-8F32-72F4E5F5F132}"/>
      <extLst>
        <ext uri="GoogleSheetsCustomDataVersion1">
          <go:sheetsCustomData xmlns:go="http://customooxmlschemas.google.com/" filterViewId="2142151159"/>
        </ext>
      </extLst>
    </customSheetView>
  </customSheetViews>
  <conditionalFormatting sqref="AM1 AN1:AN1767 AM228:AM1767 AL969:AL1767">
    <cfRule type="containsBlanks" dxfId="7" priority="4">
      <formula>LEN(TRIM(#REF!))=0</formula>
    </cfRule>
    <cfRule type="expression" dxfId="6" priority="5">
      <formula>"ยังไม่่หมด"</formula>
    </cfRule>
  </conditionalFormatting>
  <conditionalFormatting sqref="AO1 AO80 AO161:AO174 AO195:AO196 AO198:AO1767">
    <cfRule type="containsBlanks" dxfId="5" priority="6">
      <formula>LEN(TRIM(AP1))=0</formula>
    </cfRule>
    <cfRule type="expression" dxfId="4" priority="7">
      <formula>"ยังไม่่หมด"</formula>
    </cfRule>
  </conditionalFormatting>
  <conditionalFormatting sqref="AO1:AP1 AN1:AN1767 AM1 AO80:AP80 AO161:AP174 AO195:AP196 AO198:AP1767 AM228:AM1767 AL969:AL1767 AK1004:AK1767">
    <cfRule type="colorScale" priority="28">
      <colorScale>
        <cfvo type="min"/>
        <cfvo type="max"/>
        <color rgb="FFFFFFFF"/>
        <color rgb="FF57BB8A"/>
      </colorScale>
    </cfRule>
  </conditionalFormatting>
  <conditionalFormatting sqref="AP1 AP80 AP161:AP174 AP195:AP196 AP198:AP1767 AK1004:AK1767">
    <cfRule type="containsBlanks" dxfId="3" priority="2">
      <formula>LEN(TRIM(AM1))=0</formula>
    </cfRule>
    <cfRule type="expression" dxfId="2" priority="3">
      <formula>"ยังไม่่หมด"</formula>
    </cfRule>
  </conditionalFormatting>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Choice_Data!$C$1:$C$18</xm:f>
          </x14:formula1>
          <xm:sqref>J2:J22 J24:J102 J104:J139 J141:J388</xm:sqref>
        </x14:dataValidation>
        <x14:dataValidation type="list" allowBlank="1" showErrorMessage="1" xr:uid="{00000000-0002-0000-0000-000001000000}">
          <x14:formula1>
            <xm:f>Choice_Data!$D$1:$D$3</xm:f>
          </x14:formula1>
          <xm:sqref>AF15 AF24:AF27 AF32 AF35 AF43 AF55:AF65 AF79 AF85 AF88 AF92:AF93 AF102 AF105 AF107 AF115 AF122:AF128 AF133 AF143 AF148 AF150:AF152 AF154:AF156 AF158:AF159 R2:R388 Z2:Z388 AB2:AB388 AD2:AD388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999"/>
  <sheetViews>
    <sheetView workbookViewId="0">
      <pane xSplit="11" ySplit="1" topLeftCell="AJ2" activePane="bottomRight" state="frozen"/>
      <selection pane="topRight" activeCell="L1" sqref="L1"/>
      <selection pane="bottomLeft" activeCell="A2" sqref="A2"/>
      <selection pane="bottomRight" activeCell="AN14" sqref="AN14"/>
    </sheetView>
  </sheetViews>
  <sheetFormatPr defaultColWidth="12.59765625" defaultRowHeight="15" customHeight="1"/>
  <cols>
    <col min="1" max="1" width="19.59765625" customWidth="1"/>
    <col min="2" max="2" width="11.59765625" customWidth="1"/>
    <col min="3" max="3" width="17.69921875" hidden="1" customWidth="1"/>
    <col min="4" max="4" width="16.69921875" hidden="1" customWidth="1"/>
    <col min="5" max="5" width="14.19921875" hidden="1" customWidth="1"/>
    <col min="6" max="6" width="19.19921875" hidden="1" customWidth="1"/>
    <col min="7" max="7" width="20" customWidth="1"/>
    <col min="8" max="8" width="14.3984375" hidden="1" customWidth="1"/>
    <col min="9" max="9" width="7.59765625" customWidth="1"/>
    <col min="10" max="10" width="18.3984375" customWidth="1"/>
    <col min="11" max="11" width="15" customWidth="1"/>
    <col min="12" max="17" width="11.69921875" customWidth="1"/>
    <col min="18" max="18" width="18.19921875" customWidth="1"/>
    <col min="19" max="19" width="28.69921875" customWidth="1"/>
    <col min="20" max="20" width="9.19921875" customWidth="1"/>
    <col min="21" max="21" width="9.59765625" customWidth="1"/>
    <col min="22" max="22" width="10.19921875" customWidth="1"/>
    <col min="23" max="23" width="10.3984375" customWidth="1"/>
    <col min="24" max="24" width="10.8984375" customWidth="1"/>
    <col min="25" max="25" width="9.3984375" customWidth="1"/>
    <col min="26" max="26" width="18.59765625" customWidth="1"/>
    <col min="27" max="27" width="33.8984375" customWidth="1"/>
    <col min="28" max="28" width="18.59765625" customWidth="1"/>
    <col min="29" max="29" width="31.59765625" customWidth="1"/>
    <col min="30" max="30" width="22.69921875" customWidth="1"/>
    <col min="31" max="31" width="40.3984375" customWidth="1"/>
    <col min="32" max="32" width="16.19921875" customWidth="1"/>
    <col min="33" max="33" width="21.59765625" customWidth="1"/>
    <col min="34" max="34" width="54.3984375" customWidth="1"/>
    <col min="35" max="35" width="23.09765625" customWidth="1"/>
    <col min="36" max="36" width="68.09765625" customWidth="1"/>
    <col min="37" max="38" width="18.3984375" customWidth="1"/>
    <col min="39" max="39" width="9.3984375" customWidth="1"/>
    <col min="40" max="40" width="18.3984375" customWidth="1"/>
    <col min="41" max="43" width="8.69921875" customWidth="1"/>
  </cols>
  <sheetData>
    <row r="1" spans="1:43" ht="79.5" customHeight="1">
      <c r="A1" s="2" t="s">
        <v>2</v>
      </c>
      <c r="B1" s="2" t="s">
        <v>10</v>
      </c>
      <c r="C1" s="2" t="s">
        <v>13</v>
      </c>
      <c r="D1" s="2" t="s">
        <v>15</v>
      </c>
      <c r="E1" s="2" t="s">
        <v>18</v>
      </c>
      <c r="F1" s="2" t="s">
        <v>20</v>
      </c>
      <c r="G1" s="2" t="s">
        <v>22</v>
      </c>
      <c r="H1" s="2" t="s">
        <v>25</v>
      </c>
      <c r="I1" s="2" t="s">
        <v>28</v>
      </c>
      <c r="J1" s="2" t="s">
        <v>31</v>
      </c>
      <c r="K1" s="2" t="s">
        <v>34</v>
      </c>
      <c r="L1" s="2" t="s">
        <v>36</v>
      </c>
      <c r="M1" s="2" t="s">
        <v>37</v>
      </c>
      <c r="N1" s="2" t="s">
        <v>38</v>
      </c>
      <c r="O1" s="2" t="s">
        <v>40</v>
      </c>
      <c r="P1" s="2" t="s">
        <v>42</v>
      </c>
      <c r="Q1" s="2" t="s">
        <v>45</v>
      </c>
      <c r="R1" s="2" t="s">
        <v>47</v>
      </c>
      <c r="S1" s="2" t="s">
        <v>49</v>
      </c>
      <c r="T1" s="2" t="s">
        <v>51</v>
      </c>
      <c r="U1" s="2" t="s">
        <v>53</v>
      </c>
      <c r="V1" s="2" t="s">
        <v>56</v>
      </c>
      <c r="W1" s="2" t="s">
        <v>58</v>
      </c>
      <c r="X1" s="2" t="s">
        <v>60</v>
      </c>
      <c r="Y1" s="2" t="s">
        <v>63</v>
      </c>
      <c r="Z1" s="2" t="s">
        <v>66</v>
      </c>
      <c r="AA1" s="2" t="s">
        <v>68</v>
      </c>
      <c r="AB1" s="2" t="s">
        <v>70</v>
      </c>
      <c r="AC1" s="2" t="s">
        <v>73</v>
      </c>
      <c r="AD1" s="2" t="s">
        <v>76</v>
      </c>
      <c r="AE1" s="2" t="s">
        <v>79</v>
      </c>
      <c r="AF1" s="2" t="s">
        <v>82</v>
      </c>
      <c r="AG1" s="2" t="s">
        <v>84</v>
      </c>
      <c r="AH1" s="2" t="s">
        <v>85</v>
      </c>
      <c r="AI1" s="2" t="s">
        <v>87</v>
      </c>
      <c r="AJ1" s="2" t="s">
        <v>89</v>
      </c>
      <c r="AK1" s="2" t="s">
        <v>91</v>
      </c>
      <c r="AL1" s="2" t="s">
        <v>93</v>
      </c>
      <c r="AM1" s="2" t="s">
        <v>96</v>
      </c>
      <c r="AN1" s="2" t="s">
        <v>98</v>
      </c>
      <c r="AO1" s="3" t="s">
        <v>101</v>
      </c>
      <c r="AP1" s="2"/>
      <c r="AQ1" s="2"/>
    </row>
    <row r="2" spans="1:43">
      <c r="A2" s="6" t="s">
        <v>111</v>
      </c>
      <c r="B2" s="6" t="s">
        <v>121</v>
      </c>
      <c r="C2" s="6" t="s">
        <v>123</v>
      </c>
      <c r="D2" s="6" t="s">
        <v>64</v>
      </c>
      <c r="E2" s="6" t="s">
        <v>23</v>
      </c>
      <c r="F2" s="11" t="s">
        <v>129</v>
      </c>
      <c r="G2" s="11" t="s">
        <v>134</v>
      </c>
      <c r="H2" s="13">
        <v>25509</v>
      </c>
      <c r="I2" s="11">
        <f t="shared" ref="I2:I10" ca="1" si="0">YEAR(NOW())-YEAR(H2)</f>
        <v>57</v>
      </c>
      <c r="J2" s="11" t="s">
        <v>7</v>
      </c>
      <c r="K2" s="13">
        <v>45929</v>
      </c>
      <c r="L2" s="6">
        <v>167</v>
      </c>
      <c r="M2" s="6">
        <v>79</v>
      </c>
      <c r="N2" s="20">
        <f t="shared" ref="N2:N10" si="1">M2/(L2*0.01)^2</f>
        <v>28.326580372189753</v>
      </c>
      <c r="O2" s="21">
        <v>137</v>
      </c>
      <c r="P2" s="21">
        <v>82</v>
      </c>
      <c r="Q2" s="6">
        <v>41</v>
      </c>
      <c r="R2" s="6" t="s">
        <v>4</v>
      </c>
      <c r="S2" s="6"/>
      <c r="T2" s="6">
        <v>119</v>
      </c>
      <c r="U2" s="6">
        <v>82</v>
      </c>
      <c r="V2" s="6">
        <v>89</v>
      </c>
      <c r="W2" s="6">
        <v>19</v>
      </c>
      <c r="X2" s="6">
        <v>20</v>
      </c>
      <c r="Y2" s="6">
        <v>6.6</v>
      </c>
      <c r="Z2" s="6" t="s">
        <v>8</v>
      </c>
      <c r="AA2" s="6" t="s">
        <v>135</v>
      </c>
      <c r="AB2" s="6" t="s">
        <v>4</v>
      </c>
      <c r="AC2" s="6"/>
      <c r="AD2" s="6" t="s">
        <v>4</v>
      </c>
      <c r="AE2" s="6"/>
      <c r="AF2" s="6" t="s">
        <v>4</v>
      </c>
      <c r="AG2" s="6"/>
      <c r="AH2" s="6" t="s">
        <v>136</v>
      </c>
      <c r="AI2" s="6" t="s">
        <v>137</v>
      </c>
      <c r="AJ2" s="6" t="s">
        <v>139</v>
      </c>
      <c r="AK2" s="24">
        <v>46000</v>
      </c>
      <c r="AL2" s="25"/>
      <c r="AM2" s="27"/>
      <c r="AN2" s="30" t="str">
        <f t="shared" ref="AN2:AN11" ca="1" si="2">IF(K2+365&lt;TODAY(),
 "หมดอายุ",
 IF(K2+365-TODAY()&lt;=30,
  "ใกล้หมดอายุ 1 เดือน",
  IF(K2+365-TODAY()&lt;=90,
   "ใกล้หมด 3 เดือน",
   "ยังไม่หมด"
  )
 )
)</f>
        <v>ใกล้หมด 3 เดือน</v>
      </c>
      <c r="AO2" s="32">
        <f t="shared" ref="AO2:AO25" ca="1" si="3">MAX(0, (K2+364) - TODAY())</f>
        <v>42</v>
      </c>
      <c r="AP2" s="33"/>
    </row>
    <row r="3" spans="1:43">
      <c r="A3" s="34" t="s">
        <v>142</v>
      </c>
      <c r="B3" s="34" t="s">
        <v>143</v>
      </c>
      <c r="C3" s="34" t="s">
        <v>144</v>
      </c>
      <c r="D3" s="34" t="s">
        <v>64</v>
      </c>
      <c r="E3" s="34" t="s">
        <v>23</v>
      </c>
      <c r="F3" s="35" t="s">
        <v>129</v>
      </c>
      <c r="G3" s="35" t="s">
        <v>134</v>
      </c>
      <c r="H3" s="39">
        <v>25229</v>
      </c>
      <c r="I3" s="35">
        <f t="shared" ca="1" si="0"/>
        <v>57</v>
      </c>
      <c r="J3" s="35" t="s">
        <v>3</v>
      </c>
      <c r="K3" s="39">
        <v>46198</v>
      </c>
      <c r="L3" s="34">
        <v>160.9</v>
      </c>
      <c r="M3" s="34">
        <v>63.75</v>
      </c>
      <c r="N3" s="45">
        <f t="shared" si="1"/>
        <v>24.624538555460838</v>
      </c>
      <c r="O3" s="34">
        <v>114</v>
      </c>
      <c r="P3" s="34">
        <v>81</v>
      </c>
      <c r="Q3" s="34">
        <v>46.6</v>
      </c>
      <c r="R3" s="34" t="s">
        <v>4</v>
      </c>
      <c r="S3" s="34"/>
      <c r="T3" s="34">
        <v>108</v>
      </c>
      <c r="U3" s="34">
        <v>221</v>
      </c>
      <c r="V3" s="34">
        <v>120</v>
      </c>
      <c r="W3" s="34">
        <v>33</v>
      </c>
      <c r="X3" s="34">
        <v>53</v>
      </c>
      <c r="Y3" s="34">
        <v>6.3</v>
      </c>
      <c r="Z3" s="34" t="s">
        <v>4</v>
      </c>
      <c r="AA3" s="34"/>
      <c r="AB3" s="34" t="s">
        <v>4</v>
      </c>
      <c r="AC3" s="34"/>
      <c r="AD3" s="34" t="s">
        <v>8</v>
      </c>
      <c r="AE3" s="34" t="s">
        <v>170</v>
      </c>
      <c r="AF3" s="34" t="s">
        <v>4</v>
      </c>
      <c r="AG3" s="34"/>
      <c r="AH3" s="34" t="s">
        <v>172</v>
      </c>
      <c r="AI3" s="34" t="s">
        <v>154</v>
      </c>
      <c r="AJ3" s="34" t="s">
        <v>175</v>
      </c>
      <c r="AK3" s="49">
        <v>46204</v>
      </c>
      <c r="AL3" s="46" t="str">
        <f t="shared" ref="AL3:AL4" ca="1" si="4">IF((AK3+90)&lt;TODAY(),"เลยกำหนด",IF((AK3+90)-TODAY()&lt;=30,"ใกล้ถึง","ยังไม่ถึง"))</f>
        <v>ยังไม่ถึง</v>
      </c>
      <c r="AM3" s="32">
        <f t="shared" ref="AM3:AM4" ca="1" si="5">MAX(0, (AK3+90) - TODAY())</f>
        <v>43</v>
      </c>
      <c r="AN3" s="30" t="str">
        <f t="shared" ca="1" si="2"/>
        <v>ยังไม่หมด</v>
      </c>
      <c r="AO3" s="32">
        <f t="shared" ca="1" si="3"/>
        <v>311</v>
      </c>
      <c r="AP3" s="33"/>
    </row>
    <row r="4" spans="1:43">
      <c r="A4" s="34" t="s">
        <v>192</v>
      </c>
      <c r="B4" s="34" t="s">
        <v>194</v>
      </c>
      <c r="C4" s="34" t="s">
        <v>195</v>
      </c>
      <c r="D4" s="34" t="s">
        <v>64</v>
      </c>
      <c r="E4" s="34" t="s">
        <v>23</v>
      </c>
      <c r="F4" s="35" t="s">
        <v>197</v>
      </c>
      <c r="G4" s="35" t="s">
        <v>134</v>
      </c>
      <c r="H4" s="39">
        <v>23379</v>
      </c>
      <c r="I4" s="35">
        <f t="shared" ca="1" si="0"/>
        <v>62</v>
      </c>
      <c r="J4" s="35" t="s">
        <v>3</v>
      </c>
      <c r="K4" s="39">
        <v>46149</v>
      </c>
      <c r="L4" s="34">
        <v>169.7</v>
      </c>
      <c r="M4" s="34">
        <v>80</v>
      </c>
      <c r="N4" s="45">
        <f t="shared" si="1"/>
        <v>27.779620106750141</v>
      </c>
      <c r="O4" s="34">
        <v>139</v>
      </c>
      <c r="P4" s="34">
        <v>87</v>
      </c>
      <c r="Q4" s="34">
        <v>42.5</v>
      </c>
      <c r="R4" s="34" t="s">
        <v>4</v>
      </c>
      <c r="S4" s="34"/>
      <c r="T4" s="34">
        <v>97</v>
      </c>
      <c r="U4" s="34">
        <v>99</v>
      </c>
      <c r="V4" s="34">
        <v>123</v>
      </c>
      <c r="W4" s="34">
        <v>23</v>
      </c>
      <c r="X4" s="34">
        <v>21</v>
      </c>
      <c r="Y4" s="34">
        <v>5.4</v>
      </c>
      <c r="Z4" s="34" t="s">
        <v>4</v>
      </c>
      <c r="AA4" s="34"/>
      <c r="AB4" s="34" t="s">
        <v>4</v>
      </c>
      <c r="AC4" s="34"/>
      <c r="AD4" s="34" t="s">
        <v>4</v>
      </c>
      <c r="AE4" s="34"/>
      <c r="AF4" s="34" t="s">
        <v>4</v>
      </c>
      <c r="AG4" s="34"/>
      <c r="AH4" s="34" t="s">
        <v>217</v>
      </c>
      <c r="AI4" s="56" t="s">
        <v>218</v>
      </c>
      <c r="AJ4" s="56" t="s">
        <v>220</v>
      </c>
      <c r="AK4" s="57">
        <v>46240</v>
      </c>
      <c r="AL4" s="46" t="str">
        <f t="shared" ca="1" si="4"/>
        <v>ยังไม่ถึง</v>
      </c>
      <c r="AM4" s="32">
        <f t="shared" ca="1" si="5"/>
        <v>79</v>
      </c>
      <c r="AN4" s="30" t="str">
        <f t="shared" ca="1" si="2"/>
        <v>ยังไม่หมด</v>
      </c>
      <c r="AO4" s="32">
        <f t="shared" ca="1" si="3"/>
        <v>262</v>
      </c>
      <c r="AP4" s="23"/>
      <c r="AQ4" s="1"/>
    </row>
    <row r="5" spans="1:43">
      <c r="A5" s="6" t="s">
        <v>222</v>
      </c>
      <c r="B5" s="6" t="s">
        <v>223</v>
      </c>
      <c r="C5" s="6" t="s">
        <v>224</v>
      </c>
      <c r="D5" s="6" t="s">
        <v>64</v>
      </c>
      <c r="E5" s="6" t="s">
        <v>23</v>
      </c>
      <c r="F5" s="60" t="s">
        <v>225</v>
      </c>
      <c r="G5" s="11" t="s">
        <v>134</v>
      </c>
      <c r="H5" s="13">
        <v>25023</v>
      </c>
      <c r="I5" s="11">
        <f t="shared" ca="1" si="0"/>
        <v>58</v>
      </c>
      <c r="J5" s="11" t="s">
        <v>3</v>
      </c>
      <c r="K5" s="13">
        <v>46224</v>
      </c>
      <c r="L5" s="6">
        <v>159.9</v>
      </c>
      <c r="M5" s="6">
        <v>48</v>
      </c>
      <c r="N5" s="20">
        <f t="shared" si="1"/>
        <v>18.773459490981107</v>
      </c>
      <c r="O5" s="6">
        <v>125</v>
      </c>
      <c r="P5" s="6">
        <v>72</v>
      </c>
      <c r="Q5" s="6">
        <v>43.5</v>
      </c>
      <c r="R5" s="6" t="s">
        <v>4</v>
      </c>
      <c r="S5" s="6"/>
      <c r="T5" s="6">
        <v>100</v>
      </c>
      <c r="U5" s="6">
        <v>125</v>
      </c>
      <c r="V5" s="6">
        <v>142</v>
      </c>
      <c r="W5" s="6">
        <v>25</v>
      </c>
      <c r="X5" s="6">
        <v>31</v>
      </c>
      <c r="Y5" s="6">
        <v>6.2</v>
      </c>
      <c r="Z5" s="6" t="s">
        <v>4</v>
      </c>
      <c r="AA5" s="6"/>
      <c r="AB5" s="6" t="s">
        <v>4</v>
      </c>
      <c r="AC5" s="6"/>
      <c r="AD5" s="6" t="s">
        <v>8</v>
      </c>
      <c r="AE5" s="6" t="s">
        <v>230</v>
      </c>
      <c r="AF5" s="6" t="s">
        <v>4</v>
      </c>
      <c r="AG5" s="6"/>
      <c r="AH5" s="6"/>
      <c r="AI5" s="50" t="s">
        <v>137</v>
      </c>
      <c r="AJ5" s="6" t="s">
        <v>231</v>
      </c>
      <c r="AK5" s="24">
        <v>46230</v>
      </c>
      <c r="AL5" s="55"/>
      <c r="AM5" s="27"/>
      <c r="AN5" s="30" t="str">
        <f t="shared" ca="1" si="2"/>
        <v>ยังไม่หมด</v>
      </c>
      <c r="AO5" s="32">
        <f t="shared" ca="1" si="3"/>
        <v>337</v>
      </c>
      <c r="AP5" s="33"/>
    </row>
    <row r="6" spans="1:43">
      <c r="A6" s="50" t="s">
        <v>235</v>
      </c>
      <c r="B6" s="50" t="s">
        <v>236</v>
      </c>
      <c r="C6" s="50" t="s">
        <v>237</v>
      </c>
      <c r="D6" s="50" t="s">
        <v>64</v>
      </c>
      <c r="E6" s="50" t="s">
        <v>23</v>
      </c>
      <c r="F6" s="60" t="s">
        <v>238</v>
      </c>
      <c r="G6" s="60" t="s">
        <v>134</v>
      </c>
      <c r="H6" s="67">
        <v>23156</v>
      </c>
      <c r="I6" s="60">
        <f t="shared" ca="1" si="0"/>
        <v>63</v>
      </c>
      <c r="J6" s="60" t="s">
        <v>239</v>
      </c>
      <c r="K6" s="67">
        <v>45927</v>
      </c>
      <c r="L6" s="50">
        <v>171.5</v>
      </c>
      <c r="M6" s="50">
        <v>73.099999999999994</v>
      </c>
      <c r="N6" s="53">
        <f t="shared" si="1"/>
        <v>24.853589915766385</v>
      </c>
      <c r="O6" s="50">
        <v>126</v>
      </c>
      <c r="P6" s="50">
        <v>81</v>
      </c>
      <c r="Q6" s="50">
        <v>39</v>
      </c>
      <c r="R6" s="50" t="s">
        <v>8</v>
      </c>
      <c r="S6" s="50" t="s">
        <v>240</v>
      </c>
      <c r="T6" s="50">
        <v>97</v>
      </c>
      <c r="U6" s="50">
        <v>144</v>
      </c>
      <c r="V6" s="50">
        <v>69</v>
      </c>
      <c r="W6" s="50">
        <v>52</v>
      </c>
      <c r="X6" s="50">
        <v>23</v>
      </c>
      <c r="Y6" s="50">
        <v>7.6</v>
      </c>
      <c r="Z6" s="50" t="s">
        <v>4</v>
      </c>
      <c r="AA6" s="50"/>
      <c r="AB6" s="50" t="s">
        <v>4</v>
      </c>
      <c r="AC6" s="50"/>
      <c r="AD6" s="50" t="s">
        <v>4</v>
      </c>
      <c r="AE6" s="50"/>
      <c r="AF6" s="50" t="s">
        <v>4</v>
      </c>
      <c r="AG6" s="50"/>
      <c r="AH6" s="50"/>
      <c r="AI6" s="50" t="s">
        <v>137</v>
      </c>
      <c r="AJ6" s="50" t="s">
        <v>241</v>
      </c>
      <c r="AK6" s="25">
        <v>45978</v>
      </c>
      <c r="AL6" s="25"/>
      <c r="AM6" s="27"/>
      <c r="AN6" s="30" t="str">
        <f t="shared" ca="1" si="2"/>
        <v>ใกล้หมด 3 เดือน</v>
      </c>
      <c r="AO6" s="32">
        <f t="shared" ca="1" si="3"/>
        <v>40</v>
      </c>
      <c r="AP6" s="33"/>
    </row>
    <row r="7" spans="1:43" ht="15" customHeight="1">
      <c r="A7" s="6" t="s">
        <v>244</v>
      </c>
      <c r="B7" s="6" t="s">
        <v>245</v>
      </c>
      <c r="C7" s="6" t="s">
        <v>246</v>
      </c>
      <c r="D7" s="6" t="s">
        <v>64</v>
      </c>
      <c r="E7" s="6" t="s">
        <v>23</v>
      </c>
      <c r="F7" s="11" t="s">
        <v>238</v>
      </c>
      <c r="G7" s="11" t="s">
        <v>134</v>
      </c>
      <c r="H7" s="13">
        <v>24934</v>
      </c>
      <c r="I7" s="11">
        <f t="shared" ca="1" si="0"/>
        <v>58</v>
      </c>
      <c r="J7" s="11" t="s">
        <v>3</v>
      </c>
      <c r="K7" s="13">
        <v>46181</v>
      </c>
      <c r="L7" s="6">
        <v>168</v>
      </c>
      <c r="M7" s="6">
        <v>73.5</v>
      </c>
      <c r="N7" s="20">
        <f t="shared" si="1"/>
        <v>26.041666666666671</v>
      </c>
      <c r="O7" s="6">
        <v>132</v>
      </c>
      <c r="P7" s="6">
        <v>77</v>
      </c>
      <c r="Q7" s="6">
        <v>40</v>
      </c>
      <c r="R7" s="6" t="s">
        <v>4</v>
      </c>
      <c r="S7" s="6"/>
      <c r="T7" s="6">
        <v>97</v>
      </c>
      <c r="U7" s="6">
        <v>91</v>
      </c>
      <c r="V7" s="21">
        <v>121</v>
      </c>
      <c r="W7" s="6">
        <v>27</v>
      </c>
      <c r="X7" s="6">
        <v>29</v>
      </c>
      <c r="Y7" s="6">
        <v>5.4</v>
      </c>
      <c r="Z7" s="6" t="s">
        <v>8</v>
      </c>
      <c r="AA7" s="6" t="s">
        <v>135</v>
      </c>
      <c r="AB7" s="6" t="s">
        <v>4</v>
      </c>
      <c r="AC7" s="6"/>
      <c r="AD7" s="6" t="s">
        <v>4</v>
      </c>
      <c r="AE7" s="6"/>
      <c r="AF7" s="6" t="s">
        <v>4</v>
      </c>
      <c r="AG7" s="6"/>
      <c r="AH7" s="6"/>
      <c r="AI7" s="6" t="s">
        <v>137</v>
      </c>
      <c r="AJ7" s="72" t="s">
        <v>254</v>
      </c>
      <c r="AK7" s="24">
        <v>46186</v>
      </c>
      <c r="AL7" s="55"/>
      <c r="AM7" s="27"/>
      <c r="AN7" s="30" t="str">
        <f t="shared" ca="1" si="2"/>
        <v>ยังไม่หมด</v>
      </c>
      <c r="AO7" s="32">
        <f t="shared" ca="1" si="3"/>
        <v>294</v>
      </c>
      <c r="AP7" s="33"/>
    </row>
    <row r="8" spans="1:43" ht="15.75" customHeight="1">
      <c r="A8" s="34" t="s">
        <v>257</v>
      </c>
      <c r="B8" s="34" t="s">
        <v>258</v>
      </c>
      <c r="C8" s="34" t="s">
        <v>259</v>
      </c>
      <c r="D8" s="34" t="s">
        <v>64</v>
      </c>
      <c r="E8" s="34" t="s">
        <v>23</v>
      </c>
      <c r="F8" s="35" t="s">
        <v>260</v>
      </c>
      <c r="G8" s="35" t="s">
        <v>134</v>
      </c>
      <c r="H8" s="39">
        <v>24065</v>
      </c>
      <c r="I8" s="35">
        <f t="shared" ca="1" si="0"/>
        <v>61</v>
      </c>
      <c r="J8" s="35" t="s">
        <v>3</v>
      </c>
      <c r="K8" s="39">
        <v>46065</v>
      </c>
      <c r="L8" s="34">
        <v>159</v>
      </c>
      <c r="M8" s="34">
        <v>67.7</v>
      </c>
      <c r="N8" s="45">
        <f t="shared" si="1"/>
        <v>26.779003995095131</v>
      </c>
      <c r="O8" s="34">
        <v>124</v>
      </c>
      <c r="P8" s="34">
        <v>86</v>
      </c>
      <c r="Q8" s="34">
        <v>45.1</v>
      </c>
      <c r="R8" s="34" t="s">
        <v>8</v>
      </c>
      <c r="S8" s="34" t="s">
        <v>262</v>
      </c>
      <c r="T8" s="34">
        <v>112</v>
      </c>
      <c r="U8" s="34">
        <v>106</v>
      </c>
      <c r="V8" s="34">
        <v>95</v>
      </c>
      <c r="W8" s="34">
        <v>35</v>
      </c>
      <c r="X8" s="34">
        <v>25</v>
      </c>
      <c r="Y8" s="34">
        <v>5.4</v>
      </c>
      <c r="Z8" s="34" t="s">
        <v>8</v>
      </c>
      <c r="AA8" s="34" t="s">
        <v>263</v>
      </c>
      <c r="AB8" s="34" t="s">
        <v>8</v>
      </c>
      <c r="AC8" s="34" t="s">
        <v>267</v>
      </c>
      <c r="AD8" s="34" t="s">
        <v>8</v>
      </c>
      <c r="AE8" s="34" t="s">
        <v>268</v>
      </c>
      <c r="AF8" s="34" t="s">
        <v>4</v>
      </c>
      <c r="AG8" s="34"/>
      <c r="AH8" s="34" t="s">
        <v>269</v>
      </c>
      <c r="AI8" s="56" t="s">
        <v>270</v>
      </c>
      <c r="AJ8" s="56" t="s">
        <v>271</v>
      </c>
      <c r="AK8" s="57">
        <v>46190</v>
      </c>
      <c r="AL8" s="77" t="str">
        <f ca="1">IF((AK8+90)&lt;TODAY(),"เลยกำหนด",IF((AK8+90)-TODAY()&lt;=30,"ใกล้ถึง","ยังไม่ถึง"))</f>
        <v>ใกล้ถึง</v>
      </c>
      <c r="AM8" s="32">
        <f ca="1">MAX(0, (AK8+90) - TODAY())</f>
        <v>29</v>
      </c>
      <c r="AN8" s="30" t="str">
        <f t="shared" ca="1" si="2"/>
        <v>ยังไม่หมด</v>
      </c>
      <c r="AO8" s="32">
        <f t="shared" ca="1" si="3"/>
        <v>178</v>
      </c>
      <c r="AP8" s="33"/>
    </row>
    <row r="9" spans="1:43">
      <c r="A9" s="23" t="s">
        <v>275</v>
      </c>
      <c r="B9" s="23" t="s">
        <v>276</v>
      </c>
      <c r="C9" s="23" t="s">
        <v>278</v>
      </c>
      <c r="D9" s="23" t="s">
        <v>64</v>
      </c>
      <c r="E9" s="23" t="s">
        <v>23</v>
      </c>
      <c r="F9" s="35" t="s">
        <v>260</v>
      </c>
      <c r="G9" s="27" t="s">
        <v>134</v>
      </c>
      <c r="H9" s="79">
        <v>22274</v>
      </c>
      <c r="I9" s="27">
        <f t="shared" ca="1" si="0"/>
        <v>66</v>
      </c>
      <c r="J9" s="27" t="s">
        <v>7</v>
      </c>
      <c r="K9" s="79">
        <v>45964</v>
      </c>
      <c r="L9" s="23">
        <v>166</v>
      </c>
      <c r="M9" s="23">
        <v>82</v>
      </c>
      <c r="N9" s="31">
        <f t="shared" si="1"/>
        <v>29.757584555087817</v>
      </c>
      <c r="O9" s="23">
        <v>134</v>
      </c>
      <c r="P9" s="23">
        <v>64</v>
      </c>
      <c r="Q9" s="23">
        <v>42.1</v>
      </c>
      <c r="R9" s="23" t="s">
        <v>4</v>
      </c>
      <c r="S9" s="23"/>
      <c r="T9" s="23">
        <v>104</v>
      </c>
      <c r="U9" s="23">
        <v>129</v>
      </c>
      <c r="V9" s="23">
        <v>127</v>
      </c>
      <c r="W9" s="23">
        <v>25</v>
      </c>
      <c r="X9" s="23">
        <v>16</v>
      </c>
      <c r="Y9" s="23">
        <v>6.1</v>
      </c>
      <c r="Z9" s="23" t="s">
        <v>4</v>
      </c>
      <c r="AA9" s="23"/>
      <c r="AB9" s="23" t="s">
        <v>8</v>
      </c>
      <c r="AC9" s="23" t="s">
        <v>283</v>
      </c>
      <c r="AD9" s="23" t="s">
        <v>8</v>
      </c>
      <c r="AE9" s="23" t="s">
        <v>284</v>
      </c>
      <c r="AF9" s="23" t="s">
        <v>4</v>
      </c>
      <c r="AG9" s="23"/>
      <c r="AH9" s="23" t="s">
        <v>286</v>
      </c>
      <c r="AI9" s="80" t="s">
        <v>154</v>
      </c>
      <c r="AJ9" s="23" t="s">
        <v>287</v>
      </c>
      <c r="AK9" s="58">
        <v>46234</v>
      </c>
      <c r="AL9" s="46" t="str">
        <f ca="1">IF((AK9+180)&lt;TODAY(),"เลยกำหนด",IF((AK9+180)-TODAY()&lt;=30,"ใกล้ถึง","ยังไม่ถึง"))</f>
        <v>ยังไม่ถึง</v>
      </c>
      <c r="AM9" s="32">
        <f ca="1">MAX(0, (AK9+180) - TODAY())</f>
        <v>163</v>
      </c>
      <c r="AN9" s="30" t="str">
        <f t="shared" ca="1" si="2"/>
        <v>ใกล้หมด 3 เดือน</v>
      </c>
      <c r="AO9" s="32">
        <f t="shared" ca="1" si="3"/>
        <v>77</v>
      </c>
      <c r="AP9" s="33"/>
    </row>
    <row r="10" spans="1:43">
      <c r="A10" s="23" t="s">
        <v>291</v>
      </c>
      <c r="B10" s="23" t="s">
        <v>292</v>
      </c>
      <c r="C10" s="23" t="s">
        <v>293</v>
      </c>
      <c r="D10" s="23" t="s">
        <v>64</v>
      </c>
      <c r="E10" s="23" t="s">
        <v>23</v>
      </c>
      <c r="F10" s="35" t="s">
        <v>260</v>
      </c>
      <c r="G10" s="27" t="s">
        <v>134</v>
      </c>
      <c r="H10" s="79">
        <v>21289</v>
      </c>
      <c r="I10" s="27">
        <f t="shared" ca="1" si="0"/>
        <v>68</v>
      </c>
      <c r="J10" s="27" t="s">
        <v>3</v>
      </c>
      <c r="K10" s="79">
        <v>45933</v>
      </c>
      <c r="L10" s="23">
        <v>154.1</v>
      </c>
      <c r="M10" s="23">
        <v>52.15</v>
      </c>
      <c r="N10" s="31">
        <f t="shared" si="1"/>
        <v>21.960844424998559</v>
      </c>
      <c r="O10" s="23">
        <v>126</v>
      </c>
      <c r="P10" s="23">
        <v>86</v>
      </c>
      <c r="Q10" s="23">
        <v>47.7</v>
      </c>
      <c r="R10" s="23" t="s">
        <v>4</v>
      </c>
      <c r="S10" s="23" t="s">
        <v>294</v>
      </c>
      <c r="T10" s="59">
        <v>90</v>
      </c>
      <c r="U10" s="59">
        <v>153</v>
      </c>
      <c r="V10" s="59">
        <v>234</v>
      </c>
      <c r="W10" s="23">
        <v>18</v>
      </c>
      <c r="X10" s="23">
        <v>18</v>
      </c>
      <c r="Y10" s="23">
        <v>5.7</v>
      </c>
      <c r="Z10" s="23" t="s">
        <v>8</v>
      </c>
      <c r="AA10" s="23" t="s">
        <v>135</v>
      </c>
      <c r="AB10" s="23" t="s">
        <v>4</v>
      </c>
      <c r="AC10" s="23"/>
      <c r="AD10" s="23" t="s">
        <v>8</v>
      </c>
      <c r="AE10" s="23" t="s">
        <v>297</v>
      </c>
      <c r="AF10" s="23" t="s">
        <v>4</v>
      </c>
      <c r="AG10" s="23"/>
      <c r="AH10" s="23" t="s">
        <v>298</v>
      </c>
      <c r="AI10" s="23" t="s">
        <v>154</v>
      </c>
      <c r="AJ10" s="23" t="s">
        <v>299</v>
      </c>
      <c r="AK10" s="58">
        <v>46240</v>
      </c>
      <c r="AL10" s="46" t="str">
        <f t="shared" ref="AL10:AL11" ca="1" si="6">IF((AK10+90)&lt;TODAY(),"เลยกำหนด",IF((AK10+90)-TODAY()&lt;=30,"ใกล้ถึง","ยังไม่ถึง"))</f>
        <v>ยังไม่ถึง</v>
      </c>
      <c r="AM10" s="32">
        <f t="shared" ref="AM10:AM11" ca="1" si="7">MAX(0, (AK10+90) - TODAY())</f>
        <v>79</v>
      </c>
      <c r="AN10" s="30" t="str">
        <f t="shared" ca="1" si="2"/>
        <v>ใกล้หมด 3 เดือน</v>
      </c>
      <c r="AO10" s="32">
        <f t="shared" ca="1" si="3"/>
        <v>46</v>
      </c>
      <c r="AP10" s="33"/>
    </row>
    <row r="11" spans="1:43">
      <c r="A11" s="23" t="s">
        <v>303</v>
      </c>
      <c r="B11" s="23" t="s">
        <v>304</v>
      </c>
      <c r="C11" s="23" t="s">
        <v>305</v>
      </c>
      <c r="D11" s="23" t="s">
        <v>64</v>
      </c>
      <c r="E11" s="23" t="s">
        <v>23</v>
      </c>
      <c r="F11" s="27" t="s">
        <v>225</v>
      </c>
      <c r="G11" s="27" t="s">
        <v>134</v>
      </c>
      <c r="H11" s="28">
        <v>26260</v>
      </c>
      <c r="I11" s="27">
        <v>55</v>
      </c>
      <c r="J11" s="27" t="s">
        <v>3</v>
      </c>
      <c r="K11" s="28">
        <v>46178</v>
      </c>
      <c r="L11" s="31">
        <v>162</v>
      </c>
      <c r="M11" s="31">
        <v>69.5</v>
      </c>
      <c r="N11" s="31">
        <v>25.363608722025543</v>
      </c>
      <c r="O11" s="23">
        <v>122</v>
      </c>
      <c r="P11" s="23">
        <v>90</v>
      </c>
      <c r="Q11" s="31">
        <v>45.2</v>
      </c>
      <c r="R11" s="23" t="s">
        <v>4</v>
      </c>
      <c r="S11" s="23"/>
      <c r="T11" s="23">
        <v>102</v>
      </c>
      <c r="U11" s="59">
        <v>168</v>
      </c>
      <c r="V11" s="59">
        <v>252</v>
      </c>
      <c r="W11" s="23">
        <v>28</v>
      </c>
      <c r="X11" s="23">
        <v>57</v>
      </c>
      <c r="Y11" s="37">
        <v>7.8</v>
      </c>
      <c r="Z11" s="23" t="s">
        <v>4</v>
      </c>
      <c r="AA11" s="23"/>
      <c r="AB11" s="23" t="s">
        <v>4</v>
      </c>
      <c r="AC11" s="23"/>
      <c r="AD11" s="23" t="s">
        <v>4</v>
      </c>
      <c r="AE11" s="23"/>
      <c r="AF11" s="23"/>
      <c r="AG11" s="23"/>
      <c r="AH11" s="23" t="s">
        <v>306</v>
      </c>
      <c r="AI11" s="23" t="s">
        <v>154</v>
      </c>
      <c r="AJ11" s="23" t="s">
        <v>307</v>
      </c>
      <c r="AK11" s="58">
        <v>46233</v>
      </c>
      <c r="AL11" s="46" t="str">
        <f t="shared" ca="1" si="6"/>
        <v>ยังไม่ถึง</v>
      </c>
      <c r="AM11" s="32">
        <f t="shared" ca="1" si="7"/>
        <v>72</v>
      </c>
      <c r="AN11" s="30" t="str">
        <f t="shared" ca="1" si="2"/>
        <v>ยังไม่หมด</v>
      </c>
      <c r="AO11" s="32">
        <f t="shared" ca="1" si="3"/>
        <v>291</v>
      </c>
      <c r="AP11" s="33"/>
    </row>
    <row r="12" spans="1:43" ht="15.75" customHeight="1">
      <c r="A12" s="50" t="s">
        <v>311</v>
      </c>
      <c r="B12" s="50" t="s">
        <v>312</v>
      </c>
      <c r="C12" s="50" t="s">
        <v>313</v>
      </c>
      <c r="D12" s="50" t="s">
        <v>64</v>
      </c>
      <c r="E12" s="50" t="s">
        <v>23</v>
      </c>
      <c r="F12" s="60" t="s">
        <v>225</v>
      </c>
      <c r="G12" s="60" t="s">
        <v>134</v>
      </c>
      <c r="H12" s="81">
        <v>26089</v>
      </c>
      <c r="I12" s="60">
        <f t="shared" ref="I12:I25" ca="1" si="8">YEAR(NOW())-YEAR(H12)</f>
        <v>55</v>
      </c>
      <c r="J12" s="60" t="s">
        <v>3</v>
      </c>
      <c r="K12" s="52">
        <v>46134</v>
      </c>
      <c r="L12" s="53">
        <v>157</v>
      </c>
      <c r="M12" s="53">
        <v>52.5</v>
      </c>
      <c r="N12" s="53">
        <f t="shared" ref="N12:N25" si="9">M12/(L12*0.01)^2</f>
        <v>21.299038500547688</v>
      </c>
      <c r="O12" s="50">
        <v>138</v>
      </c>
      <c r="P12" s="50">
        <v>85</v>
      </c>
      <c r="Q12" s="53">
        <v>40</v>
      </c>
      <c r="R12" s="50" t="s">
        <v>4</v>
      </c>
      <c r="S12" s="50"/>
      <c r="T12" s="50">
        <v>96</v>
      </c>
      <c r="U12" s="50">
        <v>109</v>
      </c>
      <c r="V12" s="50">
        <v>174</v>
      </c>
      <c r="W12" s="50">
        <v>23</v>
      </c>
      <c r="X12" s="50">
        <v>18</v>
      </c>
      <c r="Y12" s="54">
        <v>6</v>
      </c>
      <c r="Z12" s="50" t="s">
        <v>8</v>
      </c>
      <c r="AA12" s="50" t="s">
        <v>135</v>
      </c>
      <c r="AB12" s="50" t="s">
        <v>4</v>
      </c>
      <c r="AC12" s="50"/>
      <c r="AD12" s="50" t="s">
        <v>4</v>
      </c>
      <c r="AE12" s="50"/>
      <c r="AF12" s="50" t="s">
        <v>4</v>
      </c>
      <c r="AG12" s="50"/>
      <c r="AH12" s="50"/>
      <c r="AI12" s="50" t="s">
        <v>137</v>
      </c>
      <c r="AJ12" s="50" t="s">
        <v>231</v>
      </c>
      <c r="AK12" s="25">
        <v>46141</v>
      </c>
      <c r="AL12" s="25"/>
      <c r="AM12" s="27"/>
      <c r="AN12" s="30" t="str">
        <f ca="1">IF(K12+364&lt;TODAY(),
 "หมดอายุ",
 IF(K12+365-TODAY()&lt;=30,
  "ใกล้หมดอายุ 1 เดือน",
  IF(K12+365-TODAY()&lt;=90,
   "ใกล้หมด 3 เดือน",
   "ยังไม่หมด"
  )
 )
)</f>
        <v>ยังไม่หมด</v>
      </c>
      <c r="AO12" s="32">
        <f t="shared" ca="1" si="3"/>
        <v>247</v>
      </c>
      <c r="AP12" s="33"/>
    </row>
    <row r="13" spans="1:43">
      <c r="A13" s="6" t="s">
        <v>322</v>
      </c>
      <c r="B13" s="6" t="s">
        <v>323</v>
      </c>
      <c r="C13" s="6" t="s">
        <v>324</v>
      </c>
      <c r="D13" s="6" t="s">
        <v>64</v>
      </c>
      <c r="E13" s="6" t="s">
        <v>23</v>
      </c>
      <c r="F13" s="11" t="s">
        <v>325</v>
      </c>
      <c r="G13" s="11" t="s">
        <v>328</v>
      </c>
      <c r="H13" s="13">
        <v>23763</v>
      </c>
      <c r="I13" s="11">
        <f t="shared" ca="1" si="8"/>
        <v>61</v>
      </c>
      <c r="J13" s="11" t="s">
        <v>3</v>
      </c>
      <c r="K13" s="13">
        <v>46100</v>
      </c>
      <c r="L13" s="6">
        <v>172.1</v>
      </c>
      <c r="M13" s="6">
        <v>85.2</v>
      </c>
      <c r="N13" s="20">
        <f t="shared" si="9"/>
        <v>28.765892564793315</v>
      </c>
      <c r="O13" s="6">
        <v>153</v>
      </c>
      <c r="P13" s="6">
        <v>78</v>
      </c>
      <c r="Q13" s="6">
        <v>35.5</v>
      </c>
      <c r="R13" s="6" t="s">
        <v>4</v>
      </c>
      <c r="S13" s="6"/>
      <c r="T13" s="6">
        <v>101</v>
      </c>
      <c r="U13" s="6">
        <v>132</v>
      </c>
      <c r="V13" s="6">
        <v>103</v>
      </c>
      <c r="W13" s="6">
        <v>21</v>
      </c>
      <c r="X13" s="6">
        <v>29</v>
      </c>
      <c r="Y13" s="6">
        <v>6.3</v>
      </c>
      <c r="Z13" s="6" t="s">
        <v>4</v>
      </c>
      <c r="AA13" s="6"/>
      <c r="AB13" s="6" t="s">
        <v>4</v>
      </c>
      <c r="AC13" s="6"/>
      <c r="AD13" s="6" t="s">
        <v>8</v>
      </c>
      <c r="AE13" s="6" t="s">
        <v>332</v>
      </c>
      <c r="AF13" s="6" t="s">
        <v>4</v>
      </c>
      <c r="AG13" s="6"/>
      <c r="AH13" s="6" t="s">
        <v>334</v>
      </c>
      <c r="AI13" s="50" t="s">
        <v>137</v>
      </c>
      <c r="AJ13" s="88" t="s">
        <v>335</v>
      </c>
      <c r="AK13" s="24">
        <v>46104</v>
      </c>
      <c r="AL13" s="25"/>
      <c r="AM13" s="27"/>
      <c r="AN13" s="30" t="str">
        <f t="shared" ref="AN13:AN23" ca="1" si="10">IF(K13+365&lt;TODAY(),
 "หมดอายุ",
 IF(K13+365-TODAY()&lt;=30,
  "ใกล้หมดอายุ 1 เดือน",
  IF(K13+365-TODAY()&lt;=90,
   "ใกล้หมด 3 เดือน",
   "ยังไม่หมด"
  )
 )
)</f>
        <v>ยังไม่หมด</v>
      </c>
      <c r="AO13" s="32">
        <f t="shared" ca="1" si="3"/>
        <v>213</v>
      </c>
      <c r="AP13" s="33"/>
    </row>
    <row r="14" spans="1:43">
      <c r="A14" s="23" t="s">
        <v>339</v>
      </c>
      <c r="B14" s="23" t="s">
        <v>340</v>
      </c>
      <c r="C14" s="23" t="s">
        <v>341</v>
      </c>
      <c r="D14" s="23" t="s">
        <v>64</v>
      </c>
      <c r="E14" s="23" t="s">
        <v>23</v>
      </c>
      <c r="F14" s="27" t="s">
        <v>260</v>
      </c>
      <c r="G14" s="27" t="s">
        <v>328</v>
      </c>
      <c r="H14" s="79">
        <v>25472</v>
      </c>
      <c r="I14" s="27">
        <f t="shared" ca="1" si="8"/>
        <v>57</v>
      </c>
      <c r="J14" s="27" t="s">
        <v>7</v>
      </c>
      <c r="K14" s="79">
        <v>46055</v>
      </c>
      <c r="L14" s="23">
        <v>174</v>
      </c>
      <c r="M14" s="23">
        <v>97</v>
      </c>
      <c r="N14" s="31">
        <f t="shared" si="9"/>
        <v>32.038578411943455</v>
      </c>
      <c r="O14" s="23">
        <v>128</v>
      </c>
      <c r="P14" s="23">
        <v>85</v>
      </c>
      <c r="Q14" s="23">
        <v>45.3</v>
      </c>
      <c r="R14" s="23" t="s">
        <v>4</v>
      </c>
      <c r="S14" s="23"/>
      <c r="T14" s="23">
        <v>110</v>
      </c>
      <c r="U14" s="23">
        <v>148</v>
      </c>
      <c r="V14" s="23">
        <v>49</v>
      </c>
      <c r="W14" s="23">
        <v>27</v>
      </c>
      <c r="X14" s="23">
        <v>23</v>
      </c>
      <c r="Y14" s="23">
        <v>6.4</v>
      </c>
      <c r="Z14" s="23" t="s">
        <v>4</v>
      </c>
      <c r="AA14" s="23"/>
      <c r="AB14" s="23" t="s">
        <v>8</v>
      </c>
      <c r="AC14" s="23" t="s">
        <v>342</v>
      </c>
      <c r="AD14" s="23" t="s">
        <v>4</v>
      </c>
      <c r="AE14" s="23"/>
      <c r="AF14" s="23" t="s">
        <v>4</v>
      </c>
      <c r="AG14" s="23"/>
      <c r="AH14" s="23" t="s">
        <v>343</v>
      </c>
      <c r="AI14" s="34" t="s">
        <v>154</v>
      </c>
      <c r="AJ14" s="23" t="s">
        <v>344</v>
      </c>
      <c r="AK14" s="58">
        <v>46233</v>
      </c>
      <c r="AL14" s="46" t="str">
        <f ca="1">IF((AK14+90)&lt;TODAY(),"เลยกำหนด",IF((AK14+90)-TODAY()&lt;=30,"ใกล้ถึง","ยังไม่ถึง"))</f>
        <v>ยังไม่ถึง</v>
      </c>
      <c r="AM14" s="32">
        <f ca="1">MAX(0, (AK14+90) - TODAY())</f>
        <v>72</v>
      </c>
      <c r="AN14" s="30" t="str">
        <f t="shared" ca="1" si="10"/>
        <v>ยังไม่หมด</v>
      </c>
      <c r="AO14" s="32">
        <f t="shared" ca="1" si="3"/>
        <v>168</v>
      </c>
      <c r="AP14" s="33"/>
    </row>
    <row r="15" spans="1:43" ht="18" customHeight="1">
      <c r="A15" s="50" t="s">
        <v>348</v>
      </c>
      <c r="B15" s="50" t="s">
        <v>340</v>
      </c>
      <c r="C15" s="50" t="s">
        <v>349</v>
      </c>
      <c r="D15" s="50" t="s">
        <v>64</v>
      </c>
      <c r="E15" s="50" t="s">
        <v>23</v>
      </c>
      <c r="F15" s="60" t="s">
        <v>325</v>
      </c>
      <c r="G15" s="60" t="s">
        <v>328</v>
      </c>
      <c r="H15" s="67">
        <v>24849</v>
      </c>
      <c r="I15" s="60">
        <f t="shared" ca="1" si="8"/>
        <v>58</v>
      </c>
      <c r="J15" s="60" t="s">
        <v>3</v>
      </c>
      <c r="K15" s="67">
        <v>46223</v>
      </c>
      <c r="L15" s="50">
        <v>165</v>
      </c>
      <c r="M15" s="50">
        <v>71.2</v>
      </c>
      <c r="N15" s="53">
        <f t="shared" si="9"/>
        <v>26.152433425160694</v>
      </c>
      <c r="O15" s="50">
        <v>111</v>
      </c>
      <c r="P15" s="50">
        <v>60</v>
      </c>
      <c r="Q15" s="50">
        <v>39.9</v>
      </c>
      <c r="R15" s="50" t="s">
        <v>4</v>
      </c>
      <c r="S15" s="50"/>
      <c r="T15" s="50">
        <v>105</v>
      </c>
      <c r="U15" s="50">
        <v>50</v>
      </c>
      <c r="V15" s="50">
        <v>82</v>
      </c>
      <c r="W15" s="50">
        <v>29</v>
      </c>
      <c r="X15" s="50">
        <v>29</v>
      </c>
      <c r="Y15" s="50">
        <v>5.3</v>
      </c>
      <c r="Z15" s="50" t="s">
        <v>8</v>
      </c>
      <c r="AA15" s="50" t="s">
        <v>352</v>
      </c>
      <c r="AB15" s="50" t="s">
        <v>4</v>
      </c>
      <c r="AC15" s="50"/>
      <c r="AD15" s="50" t="s">
        <v>8</v>
      </c>
      <c r="AE15" s="50" t="s">
        <v>353</v>
      </c>
      <c r="AF15" s="50" t="s">
        <v>4</v>
      </c>
      <c r="AG15" s="50"/>
      <c r="AH15" s="50" t="s">
        <v>354</v>
      </c>
      <c r="AI15" s="50" t="s">
        <v>137</v>
      </c>
      <c r="AJ15" s="50" t="s">
        <v>254</v>
      </c>
      <c r="AK15" s="25">
        <v>46233</v>
      </c>
      <c r="AL15" s="25"/>
      <c r="AM15" s="27"/>
      <c r="AN15" s="30" t="str">
        <f t="shared" ca="1" si="10"/>
        <v>ยังไม่หมด</v>
      </c>
      <c r="AO15" s="32">
        <f t="shared" ca="1" si="3"/>
        <v>336</v>
      </c>
      <c r="AP15" s="89"/>
      <c r="AQ15" s="89"/>
    </row>
    <row r="16" spans="1:43" ht="15.75" customHeight="1">
      <c r="A16" s="50" t="s">
        <v>358</v>
      </c>
      <c r="B16" s="50" t="s">
        <v>359</v>
      </c>
      <c r="C16" s="50" t="s">
        <v>360</v>
      </c>
      <c r="D16" s="50" t="s">
        <v>64</v>
      </c>
      <c r="E16" s="50" t="s">
        <v>23</v>
      </c>
      <c r="F16" s="60" t="s">
        <v>325</v>
      </c>
      <c r="G16" s="60" t="s">
        <v>328</v>
      </c>
      <c r="H16" s="67">
        <v>24128</v>
      </c>
      <c r="I16" s="60">
        <f t="shared" ca="1" si="8"/>
        <v>60</v>
      </c>
      <c r="J16" s="60" t="s">
        <v>3</v>
      </c>
      <c r="K16" s="67">
        <v>46129</v>
      </c>
      <c r="L16" s="50">
        <v>165.1</v>
      </c>
      <c r="M16" s="50">
        <v>61.55</v>
      </c>
      <c r="N16" s="53">
        <f t="shared" si="9"/>
        <v>22.580518533818129</v>
      </c>
      <c r="O16" s="50">
        <v>138</v>
      </c>
      <c r="P16" s="50">
        <v>68</v>
      </c>
      <c r="Q16" s="50">
        <v>39.9</v>
      </c>
      <c r="R16" s="50" t="s">
        <v>4</v>
      </c>
      <c r="S16" s="50"/>
      <c r="T16" s="50">
        <v>97</v>
      </c>
      <c r="U16" s="50">
        <v>129</v>
      </c>
      <c r="V16" s="50">
        <v>178</v>
      </c>
      <c r="W16" s="50">
        <v>22</v>
      </c>
      <c r="X16" s="50">
        <v>16</v>
      </c>
      <c r="Y16" s="50">
        <v>4.9000000000000004</v>
      </c>
      <c r="Z16" s="50" t="s">
        <v>4</v>
      </c>
      <c r="AA16" s="50"/>
      <c r="AB16" s="50" t="s">
        <v>4</v>
      </c>
      <c r="AC16" s="50"/>
      <c r="AD16" s="50" t="s">
        <v>8</v>
      </c>
      <c r="AE16" s="50" t="s">
        <v>361</v>
      </c>
      <c r="AF16" s="50" t="s">
        <v>4</v>
      </c>
      <c r="AG16" s="50"/>
      <c r="AH16" s="50" t="s">
        <v>362</v>
      </c>
      <c r="AI16" s="50" t="s">
        <v>137</v>
      </c>
      <c r="AJ16" s="50" t="s">
        <v>231</v>
      </c>
      <c r="AK16" s="25">
        <v>46141</v>
      </c>
      <c r="AL16" s="25"/>
      <c r="AM16" s="27"/>
      <c r="AN16" s="30" t="str">
        <f t="shared" ca="1" si="10"/>
        <v>ยังไม่หมด</v>
      </c>
      <c r="AO16" s="32">
        <f t="shared" ca="1" si="3"/>
        <v>242</v>
      </c>
      <c r="AP16" s="33"/>
    </row>
    <row r="17" spans="1:43" ht="15.75" customHeight="1">
      <c r="A17" s="23" t="s">
        <v>363</v>
      </c>
      <c r="B17" s="23" t="s">
        <v>340</v>
      </c>
      <c r="C17" s="23" t="s">
        <v>364</v>
      </c>
      <c r="D17" s="23" t="s">
        <v>64</v>
      </c>
      <c r="E17" s="23" t="s">
        <v>23</v>
      </c>
      <c r="F17" s="35" t="s">
        <v>366</v>
      </c>
      <c r="G17" s="27" t="s">
        <v>367</v>
      </c>
      <c r="H17" s="79">
        <v>25667</v>
      </c>
      <c r="I17" s="27">
        <f t="shared" ca="1" si="8"/>
        <v>56</v>
      </c>
      <c r="J17" s="27" t="s">
        <v>19</v>
      </c>
      <c r="K17" s="79">
        <v>46134</v>
      </c>
      <c r="L17" s="23">
        <v>170</v>
      </c>
      <c r="M17" s="23">
        <v>65</v>
      </c>
      <c r="N17" s="31">
        <f t="shared" si="9"/>
        <v>22.491349480968861</v>
      </c>
      <c r="O17" s="23">
        <v>98</v>
      </c>
      <c r="P17" s="23">
        <v>68</v>
      </c>
      <c r="Q17" s="23">
        <v>43</v>
      </c>
      <c r="R17" s="23" t="s">
        <v>4</v>
      </c>
      <c r="S17" s="23"/>
      <c r="T17" s="23">
        <v>159</v>
      </c>
      <c r="U17" s="23">
        <v>188</v>
      </c>
      <c r="V17" s="23">
        <v>94</v>
      </c>
      <c r="W17" s="23">
        <v>12</v>
      </c>
      <c r="X17" s="23">
        <v>12</v>
      </c>
      <c r="Y17" s="23">
        <v>4.9000000000000004</v>
      </c>
      <c r="Z17" s="23" t="s">
        <v>4</v>
      </c>
      <c r="AA17" s="23"/>
      <c r="AB17" s="23" t="s">
        <v>4</v>
      </c>
      <c r="AC17" s="23"/>
      <c r="AD17" s="23" t="s">
        <v>8</v>
      </c>
      <c r="AE17" s="23" t="s">
        <v>369</v>
      </c>
      <c r="AF17" s="23" t="s">
        <v>4</v>
      </c>
      <c r="AG17" s="23"/>
      <c r="AH17" s="23" t="s">
        <v>370</v>
      </c>
      <c r="AI17" s="34" t="s">
        <v>154</v>
      </c>
      <c r="AJ17" s="23" t="s">
        <v>371</v>
      </c>
      <c r="AK17" s="58">
        <v>46197</v>
      </c>
      <c r="AL17" s="89" t="s">
        <v>372</v>
      </c>
      <c r="AM17" s="32"/>
      <c r="AN17" s="30" t="str">
        <f t="shared" ca="1" si="10"/>
        <v>ยังไม่หมด</v>
      </c>
      <c r="AO17" s="94">
        <f t="shared" ca="1" si="3"/>
        <v>247</v>
      </c>
      <c r="AP17" s="23"/>
      <c r="AQ17" s="95"/>
    </row>
    <row r="18" spans="1:43" ht="15.75" customHeight="1">
      <c r="A18" s="50" t="s">
        <v>376</v>
      </c>
      <c r="B18" s="50" t="s">
        <v>377</v>
      </c>
      <c r="C18" s="50" t="s">
        <v>378</v>
      </c>
      <c r="D18" s="50" t="s">
        <v>64</v>
      </c>
      <c r="E18" s="50" t="s">
        <v>23</v>
      </c>
      <c r="F18" s="11" t="s">
        <v>366</v>
      </c>
      <c r="G18" s="60" t="s">
        <v>367</v>
      </c>
      <c r="H18" s="96">
        <v>25741</v>
      </c>
      <c r="I18" s="60">
        <f t="shared" ca="1" si="8"/>
        <v>56</v>
      </c>
      <c r="J18" s="60" t="s">
        <v>24</v>
      </c>
      <c r="K18" s="52">
        <v>46099</v>
      </c>
      <c r="L18" s="53">
        <v>161</v>
      </c>
      <c r="M18" s="53">
        <v>65</v>
      </c>
      <c r="N18" s="53">
        <f t="shared" si="9"/>
        <v>25.076193048107708</v>
      </c>
      <c r="O18" s="50">
        <v>133</v>
      </c>
      <c r="P18" s="50">
        <v>90</v>
      </c>
      <c r="Q18" s="53">
        <v>45</v>
      </c>
      <c r="R18" s="50" t="s">
        <v>4</v>
      </c>
      <c r="S18" s="50"/>
      <c r="T18" s="50">
        <v>92</v>
      </c>
      <c r="U18" s="50">
        <v>128</v>
      </c>
      <c r="V18" s="50">
        <v>95</v>
      </c>
      <c r="W18" s="50">
        <v>26</v>
      </c>
      <c r="X18" s="50">
        <v>28</v>
      </c>
      <c r="Y18" s="54">
        <v>6.3</v>
      </c>
      <c r="Z18" s="50" t="s">
        <v>4</v>
      </c>
      <c r="AA18" s="50"/>
      <c r="AB18" s="50" t="s">
        <v>4</v>
      </c>
      <c r="AC18" s="50"/>
      <c r="AD18" s="50" t="s">
        <v>8</v>
      </c>
      <c r="AE18" s="50" t="s">
        <v>381</v>
      </c>
      <c r="AF18" s="50" t="s">
        <v>4</v>
      </c>
      <c r="AG18" s="50"/>
      <c r="AH18" s="50" t="s">
        <v>382</v>
      </c>
      <c r="AI18" s="50" t="s">
        <v>137</v>
      </c>
      <c r="AJ18" s="50" t="s">
        <v>383</v>
      </c>
      <c r="AK18" s="25">
        <v>46147</v>
      </c>
      <c r="AL18" s="97"/>
      <c r="AM18" s="32"/>
      <c r="AN18" s="30" t="str">
        <f t="shared" ca="1" si="10"/>
        <v>ยังไม่หมด</v>
      </c>
      <c r="AO18" s="32">
        <f t="shared" ca="1" si="3"/>
        <v>212</v>
      </c>
      <c r="AP18" s="33"/>
    </row>
    <row r="19" spans="1:43" ht="15.75" customHeight="1">
      <c r="A19" s="34" t="s">
        <v>384</v>
      </c>
      <c r="B19" s="34" t="s">
        <v>385</v>
      </c>
      <c r="C19" s="34" t="s">
        <v>386</v>
      </c>
      <c r="D19" s="34" t="s">
        <v>64</v>
      </c>
      <c r="E19" s="34" t="s">
        <v>23</v>
      </c>
      <c r="F19" s="35" t="s">
        <v>366</v>
      </c>
      <c r="G19" s="35" t="s">
        <v>367</v>
      </c>
      <c r="H19" s="39">
        <v>24390</v>
      </c>
      <c r="I19" s="35">
        <f t="shared" ca="1" si="8"/>
        <v>60</v>
      </c>
      <c r="J19" s="35" t="s">
        <v>390</v>
      </c>
      <c r="K19" s="39">
        <v>46014</v>
      </c>
      <c r="L19" s="34">
        <v>158</v>
      </c>
      <c r="M19" s="34">
        <v>63.05</v>
      </c>
      <c r="N19" s="45">
        <f t="shared" si="9"/>
        <v>25.256369171607108</v>
      </c>
      <c r="O19" s="34">
        <v>118</v>
      </c>
      <c r="P19" s="34">
        <v>67</v>
      </c>
      <c r="Q19" s="34">
        <v>41.3</v>
      </c>
      <c r="R19" s="34" t="s">
        <v>8</v>
      </c>
      <c r="S19" s="34" t="s">
        <v>262</v>
      </c>
      <c r="T19" s="34">
        <v>97</v>
      </c>
      <c r="U19" s="98">
        <v>106</v>
      </c>
      <c r="V19" s="34">
        <v>92</v>
      </c>
      <c r="W19" s="34">
        <v>29</v>
      </c>
      <c r="X19" s="34">
        <v>21</v>
      </c>
      <c r="Y19" s="34">
        <v>6.5</v>
      </c>
      <c r="Z19" s="34" t="s">
        <v>4</v>
      </c>
      <c r="AA19" s="34"/>
      <c r="AB19" s="34" t="s">
        <v>8</v>
      </c>
      <c r="AC19" s="34" t="s">
        <v>393</v>
      </c>
      <c r="AD19" s="34" t="s">
        <v>8</v>
      </c>
      <c r="AE19" s="34" t="s">
        <v>394</v>
      </c>
      <c r="AF19" s="34" t="s">
        <v>4</v>
      </c>
      <c r="AG19" s="99"/>
      <c r="AH19" s="34" t="s">
        <v>395</v>
      </c>
      <c r="AI19" s="34" t="s">
        <v>390</v>
      </c>
      <c r="AJ19" s="99" t="s">
        <v>397</v>
      </c>
      <c r="AK19" s="49">
        <v>46204</v>
      </c>
      <c r="AL19" s="46" t="str">
        <f ca="1">IF((AK19+180)&lt;TODAY(),"เลยกำหนด",IF((AK19+180)-TODAY()&lt;=30,"ใกล้ถึง","ยังไม่ถึง"))</f>
        <v>ยังไม่ถึง</v>
      </c>
      <c r="AM19" s="32">
        <f ca="1">MAX(0, (AK19+180) - TODAY())</f>
        <v>133</v>
      </c>
      <c r="AN19" s="30" t="str">
        <f t="shared" ca="1" si="10"/>
        <v>ยังไม่หมด</v>
      </c>
      <c r="AO19" s="32">
        <f t="shared" ca="1" si="3"/>
        <v>127</v>
      </c>
      <c r="AP19" s="23"/>
      <c r="AQ19" s="1"/>
    </row>
    <row r="20" spans="1:43" ht="15.75" customHeight="1">
      <c r="A20" s="34" t="s">
        <v>400</v>
      </c>
      <c r="B20" s="34" t="s">
        <v>401</v>
      </c>
      <c r="C20" s="34" t="s">
        <v>402</v>
      </c>
      <c r="D20" s="34" t="s">
        <v>64</v>
      </c>
      <c r="E20" s="34" t="s">
        <v>23</v>
      </c>
      <c r="F20" s="35" t="s">
        <v>366</v>
      </c>
      <c r="G20" s="35" t="s">
        <v>367</v>
      </c>
      <c r="H20" s="39">
        <v>23841</v>
      </c>
      <c r="I20" s="35">
        <f t="shared" ca="1" si="8"/>
        <v>61</v>
      </c>
      <c r="J20" s="35" t="s">
        <v>24</v>
      </c>
      <c r="K20" s="39">
        <v>46133</v>
      </c>
      <c r="L20" s="34">
        <v>165</v>
      </c>
      <c r="M20" s="34">
        <v>71</v>
      </c>
      <c r="N20" s="45">
        <f t="shared" si="9"/>
        <v>26.078971533516981</v>
      </c>
      <c r="O20" s="34">
        <v>115</v>
      </c>
      <c r="P20" s="34">
        <v>74</v>
      </c>
      <c r="Q20" s="34">
        <v>46</v>
      </c>
      <c r="R20" s="34" t="s">
        <v>4</v>
      </c>
      <c r="S20" s="34"/>
      <c r="T20" s="34">
        <v>119</v>
      </c>
      <c r="U20" s="34">
        <v>107</v>
      </c>
      <c r="V20" s="34">
        <v>247</v>
      </c>
      <c r="W20" s="34">
        <v>36</v>
      </c>
      <c r="X20" s="34">
        <v>70</v>
      </c>
      <c r="Y20" s="34">
        <v>8.4</v>
      </c>
      <c r="Z20" s="34" t="s">
        <v>8</v>
      </c>
      <c r="AA20" s="23" t="s">
        <v>135</v>
      </c>
      <c r="AB20" s="34" t="s">
        <v>8</v>
      </c>
      <c r="AC20" s="34" t="s">
        <v>409</v>
      </c>
      <c r="AD20" s="34" t="s">
        <v>8</v>
      </c>
      <c r="AE20" s="34" t="s">
        <v>410</v>
      </c>
      <c r="AF20" s="34" t="s">
        <v>4</v>
      </c>
      <c r="AG20" s="34"/>
      <c r="AH20" s="34" t="s">
        <v>411</v>
      </c>
      <c r="AI20" s="34" t="s">
        <v>154</v>
      </c>
      <c r="AJ20" s="106" t="s">
        <v>412</v>
      </c>
      <c r="AK20" s="49">
        <v>46187</v>
      </c>
      <c r="AL20" s="46"/>
      <c r="AM20" s="32"/>
      <c r="AN20" s="30" t="str">
        <f t="shared" ca="1" si="10"/>
        <v>ยังไม่หมด</v>
      </c>
      <c r="AO20" s="32">
        <f t="shared" ca="1" si="3"/>
        <v>246</v>
      </c>
      <c r="AP20" s="33"/>
    </row>
    <row r="21" spans="1:43" ht="15.75" customHeight="1">
      <c r="A21" s="50" t="s">
        <v>413</v>
      </c>
      <c r="B21" s="50" t="s">
        <v>414</v>
      </c>
      <c r="C21" s="50" t="s">
        <v>415</v>
      </c>
      <c r="D21" s="50" t="s">
        <v>64</v>
      </c>
      <c r="E21" s="50" t="s">
        <v>23</v>
      </c>
      <c r="F21" s="11" t="s">
        <v>366</v>
      </c>
      <c r="G21" s="60" t="s">
        <v>367</v>
      </c>
      <c r="H21" s="67">
        <v>24725</v>
      </c>
      <c r="I21" s="60">
        <f t="shared" ca="1" si="8"/>
        <v>59</v>
      </c>
      <c r="J21" s="60" t="s">
        <v>3</v>
      </c>
      <c r="K21" s="67">
        <v>46154</v>
      </c>
      <c r="L21" s="50">
        <v>166</v>
      </c>
      <c r="M21" s="50">
        <v>73.5</v>
      </c>
      <c r="N21" s="53">
        <f t="shared" si="9"/>
        <v>26.672956887792129</v>
      </c>
      <c r="O21" s="50">
        <v>139</v>
      </c>
      <c r="P21" s="50">
        <v>87</v>
      </c>
      <c r="Q21" s="50">
        <v>45.2</v>
      </c>
      <c r="R21" s="50" t="s">
        <v>4</v>
      </c>
      <c r="S21" s="50"/>
      <c r="T21" s="50">
        <v>119</v>
      </c>
      <c r="U21" s="50">
        <v>131</v>
      </c>
      <c r="V21" s="50">
        <v>48</v>
      </c>
      <c r="W21" s="50">
        <v>24</v>
      </c>
      <c r="X21" s="50">
        <v>20</v>
      </c>
      <c r="Y21" s="50">
        <v>7.8</v>
      </c>
      <c r="Z21" s="50" t="s">
        <v>4</v>
      </c>
      <c r="AA21" s="50"/>
      <c r="AB21" s="50" t="s">
        <v>4</v>
      </c>
      <c r="AC21" s="50"/>
      <c r="AD21" s="50" t="s">
        <v>8</v>
      </c>
      <c r="AE21" s="50" t="s">
        <v>419</v>
      </c>
      <c r="AF21" s="50" t="s">
        <v>4</v>
      </c>
      <c r="AG21" s="50"/>
      <c r="AH21" s="50" t="s">
        <v>420</v>
      </c>
      <c r="AI21" s="50" t="s">
        <v>137</v>
      </c>
      <c r="AJ21" s="50" t="s">
        <v>421</v>
      </c>
      <c r="AK21" s="25">
        <v>46167</v>
      </c>
      <c r="AL21" s="25"/>
      <c r="AM21" s="27"/>
      <c r="AN21" s="30" t="str">
        <f t="shared" ca="1" si="10"/>
        <v>ยังไม่หมด</v>
      </c>
      <c r="AO21" s="32">
        <f t="shared" ca="1" si="3"/>
        <v>267</v>
      </c>
      <c r="AP21" s="23"/>
      <c r="AQ21" s="1"/>
    </row>
    <row r="22" spans="1:43" ht="15.75" customHeight="1">
      <c r="A22" s="107" t="s">
        <v>425</v>
      </c>
      <c r="B22" s="107" t="s">
        <v>426</v>
      </c>
      <c r="C22" s="107" t="s">
        <v>427</v>
      </c>
      <c r="D22" s="107" t="s">
        <v>64</v>
      </c>
      <c r="E22" s="107" t="s">
        <v>23</v>
      </c>
      <c r="F22" s="35" t="s">
        <v>366</v>
      </c>
      <c r="G22" s="108" t="s">
        <v>367</v>
      </c>
      <c r="H22" s="109">
        <v>25805</v>
      </c>
      <c r="I22" s="108">
        <f t="shared" ca="1" si="8"/>
        <v>56</v>
      </c>
      <c r="J22" s="108" t="s">
        <v>52</v>
      </c>
      <c r="K22" s="109">
        <v>46190</v>
      </c>
      <c r="L22" s="107">
        <v>165</v>
      </c>
      <c r="M22" s="107">
        <v>63.3</v>
      </c>
      <c r="N22" s="110">
        <f t="shared" si="9"/>
        <v>23.250688705234154</v>
      </c>
      <c r="O22" s="107">
        <v>106</v>
      </c>
      <c r="P22" s="107">
        <v>65</v>
      </c>
      <c r="Q22" s="107">
        <v>43</v>
      </c>
      <c r="R22" s="107" t="s">
        <v>4</v>
      </c>
      <c r="S22" s="107"/>
      <c r="T22" s="107">
        <v>98</v>
      </c>
      <c r="U22" s="107">
        <v>140</v>
      </c>
      <c r="V22" s="107">
        <v>113</v>
      </c>
      <c r="W22" s="107">
        <v>17</v>
      </c>
      <c r="X22" s="107">
        <v>16</v>
      </c>
      <c r="Y22" s="107">
        <v>5.0999999999999996</v>
      </c>
      <c r="Z22" s="107" t="s">
        <v>8</v>
      </c>
      <c r="AA22" s="107" t="s">
        <v>135</v>
      </c>
      <c r="AB22" s="107" t="s">
        <v>4</v>
      </c>
      <c r="AC22" s="107"/>
      <c r="AD22" s="107" t="s">
        <v>4</v>
      </c>
      <c r="AE22" s="107"/>
      <c r="AF22" s="107" t="s">
        <v>4</v>
      </c>
      <c r="AG22" s="107"/>
      <c r="AH22" s="107" t="s">
        <v>432</v>
      </c>
      <c r="AI22" s="111" t="s">
        <v>433</v>
      </c>
      <c r="AJ22" s="111" t="s">
        <v>434</v>
      </c>
      <c r="AK22" s="112">
        <v>46211</v>
      </c>
      <c r="AL22" s="23" t="s">
        <v>435</v>
      </c>
      <c r="AM22" s="32"/>
      <c r="AN22" s="30" t="str">
        <f t="shared" ca="1" si="10"/>
        <v>ยังไม่หมด</v>
      </c>
      <c r="AO22" s="32">
        <f t="shared" ca="1" si="3"/>
        <v>303</v>
      </c>
      <c r="AP22" s="23"/>
      <c r="AQ22" s="1"/>
    </row>
    <row r="23" spans="1:43" ht="15.75" customHeight="1">
      <c r="A23" s="50" t="s">
        <v>436</v>
      </c>
      <c r="B23" s="50" t="s">
        <v>437</v>
      </c>
      <c r="C23" s="50" t="s">
        <v>438</v>
      </c>
      <c r="D23" s="50" t="s">
        <v>64</v>
      </c>
      <c r="E23" s="50" t="s">
        <v>23</v>
      </c>
      <c r="F23" s="11" t="s">
        <v>366</v>
      </c>
      <c r="G23" s="60" t="s">
        <v>367</v>
      </c>
      <c r="H23" s="67">
        <v>25909</v>
      </c>
      <c r="I23" s="60">
        <f t="shared" ca="1" si="8"/>
        <v>56</v>
      </c>
      <c r="J23" s="60" t="s">
        <v>19</v>
      </c>
      <c r="K23" s="67">
        <v>45979</v>
      </c>
      <c r="L23" s="50">
        <v>169.3</v>
      </c>
      <c r="M23" s="76">
        <v>72.599999999999994</v>
      </c>
      <c r="N23" s="53">
        <f t="shared" si="9"/>
        <v>25.329271811346462</v>
      </c>
      <c r="O23" s="50">
        <v>137</v>
      </c>
      <c r="P23" s="50">
        <v>79</v>
      </c>
      <c r="Q23" s="50">
        <v>46</v>
      </c>
      <c r="R23" s="50" t="s">
        <v>4</v>
      </c>
      <c r="S23" s="50"/>
      <c r="T23" s="76">
        <v>140</v>
      </c>
      <c r="U23" s="50">
        <v>92</v>
      </c>
      <c r="V23" s="50">
        <v>110</v>
      </c>
      <c r="W23" s="50">
        <v>14</v>
      </c>
      <c r="X23" s="76">
        <v>3</v>
      </c>
      <c r="Y23" s="50">
        <v>4.7</v>
      </c>
      <c r="Z23" s="50" t="s">
        <v>4</v>
      </c>
      <c r="AA23" s="50"/>
      <c r="AB23" s="50" t="s">
        <v>4</v>
      </c>
      <c r="AC23" s="50"/>
      <c r="AD23" s="50" t="s">
        <v>4</v>
      </c>
      <c r="AE23" s="50"/>
      <c r="AF23" s="50" t="s">
        <v>4</v>
      </c>
      <c r="AG23" s="50"/>
      <c r="AH23" s="50" t="s">
        <v>445</v>
      </c>
      <c r="AI23" s="50" t="s">
        <v>137</v>
      </c>
      <c r="AJ23" s="50" t="s">
        <v>446</v>
      </c>
      <c r="AK23" s="25">
        <v>46218</v>
      </c>
      <c r="AL23" s="97"/>
      <c r="AM23" s="32"/>
      <c r="AN23" s="30" t="str">
        <f t="shared" ca="1" si="10"/>
        <v>ยังไม่หมด</v>
      </c>
      <c r="AO23" s="32">
        <f t="shared" ca="1" si="3"/>
        <v>92</v>
      </c>
      <c r="AP23" s="33"/>
    </row>
    <row r="24" spans="1:43" ht="15.75" customHeight="1">
      <c r="A24" s="23" t="s">
        <v>447</v>
      </c>
      <c r="B24" s="23" t="s">
        <v>448</v>
      </c>
      <c r="C24" s="23" t="s">
        <v>449</v>
      </c>
      <c r="D24" s="23" t="s">
        <v>64</v>
      </c>
      <c r="E24" s="23" t="s">
        <v>23</v>
      </c>
      <c r="F24" s="35" t="s">
        <v>366</v>
      </c>
      <c r="G24" s="27" t="s">
        <v>367</v>
      </c>
      <c r="H24" s="113">
        <v>26050</v>
      </c>
      <c r="I24" s="27">
        <f t="shared" ca="1" si="8"/>
        <v>55</v>
      </c>
      <c r="J24" s="29" t="s">
        <v>62</v>
      </c>
      <c r="K24" s="28">
        <v>46185</v>
      </c>
      <c r="L24" s="31">
        <v>174.9</v>
      </c>
      <c r="M24" s="31">
        <v>75.400000000000006</v>
      </c>
      <c r="N24" s="31">
        <f t="shared" si="9"/>
        <v>24.64856990893432</v>
      </c>
      <c r="O24" s="59">
        <v>141</v>
      </c>
      <c r="P24" s="23">
        <v>83</v>
      </c>
      <c r="Q24" s="31">
        <v>50</v>
      </c>
      <c r="R24" s="23" t="s">
        <v>4</v>
      </c>
      <c r="S24" s="23"/>
      <c r="T24" s="114">
        <v>109</v>
      </c>
      <c r="U24" s="59">
        <v>166</v>
      </c>
      <c r="V24" s="59">
        <v>164</v>
      </c>
      <c r="W24" s="23">
        <v>33</v>
      </c>
      <c r="X24" s="23">
        <v>46</v>
      </c>
      <c r="Y24" s="37">
        <v>6.6</v>
      </c>
      <c r="Z24" s="23" t="s">
        <v>4</v>
      </c>
      <c r="AA24" s="23"/>
      <c r="AB24" s="23" t="s">
        <v>4</v>
      </c>
      <c r="AC24" s="23"/>
      <c r="AD24" s="23" t="s">
        <v>8</v>
      </c>
      <c r="AE24" s="23" t="s">
        <v>230</v>
      </c>
      <c r="AF24" s="23"/>
      <c r="AG24" s="23"/>
      <c r="AH24" s="29" t="s">
        <v>453</v>
      </c>
      <c r="AI24" s="62" t="s">
        <v>218</v>
      </c>
      <c r="AJ24" s="62" t="s">
        <v>456</v>
      </c>
      <c r="AK24" s="63">
        <v>46197</v>
      </c>
      <c r="AL24" s="58"/>
      <c r="AM24" s="27"/>
      <c r="AN24" s="30" t="str">
        <f t="shared" ref="AN24:AN25" ca="1" si="11">IF(K24+364&lt;TODAY(),
 "หมดอายุ",
 IF(K24+365-TODAY()&lt;=30,
  "ใกล้หมดอายุ 1 เดือน",
  IF(K24+365-TODAY()&lt;=90,
   "ใกล้หมด 3 เดือน",
   "ยังไม่หมด"
  )
 )
)</f>
        <v>ยังไม่หมด</v>
      </c>
      <c r="AO24" s="32">
        <f t="shared" ca="1" si="3"/>
        <v>298</v>
      </c>
      <c r="AP24" s="33"/>
    </row>
    <row r="25" spans="1:43" ht="15.75" customHeight="1">
      <c r="A25" s="23" t="s">
        <v>458</v>
      </c>
      <c r="B25" s="23" t="s">
        <v>459</v>
      </c>
      <c r="C25" s="23" t="s">
        <v>460</v>
      </c>
      <c r="D25" s="23" t="s">
        <v>64</v>
      </c>
      <c r="E25" s="23" t="s">
        <v>23</v>
      </c>
      <c r="F25" s="115" t="s">
        <v>366</v>
      </c>
      <c r="G25" s="27" t="s">
        <v>367</v>
      </c>
      <c r="H25" s="113">
        <v>26102</v>
      </c>
      <c r="I25" s="27">
        <f t="shared" ca="1" si="8"/>
        <v>55</v>
      </c>
      <c r="J25" s="23" t="s">
        <v>24</v>
      </c>
      <c r="K25" s="28">
        <v>46132</v>
      </c>
      <c r="L25" s="31">
        <v>165</v>
      </c>
      <c r="M25" s="31">
        <v>75</v>
      </c>
      <c r="N25" s="31">
        <f t="shared" si="9"/>
        <v>27.548209366391177</v>
      </c>
      <c r="O25" s="23">
        <v>112</v>
      </c>
      <c r="P25" s="23">
        <v>72</v>
      </c>
      <c r="Q25" s="31">
        <v>45</v>
      </c>
      <c r="R25" s="23" t="s">
        <v>4</v>
      </c>
      <c r="S25" s="23"/>
      <c r="T25" s="23">
        <v>90</v>
      </c>
      <c r="U25" s="23">
        <v>109</v>
      </c>
      <c r="V25" s="23">
        <v>292</v>
      </c>
      <c r="W25" s="23">
        <v>29</v>
      </c>
      <c r="X25" s="23">
        <v>45</v>
      </c>
      <c r="Y25" s="37">
        <v>5.2</v>
      </c>
      <c r="Z25" s="23" t="s">
        <v>4</v>
      </c>
      <c r="AA25" s="23"/>
      <c r="AB25" s="23" t="s">
        <v>4</v>
      </c>
      <c r="AC25" s="23"/>
      <c r="AD25" s="23" t="s">
        <v>4</v>
      </c>
      <c r="AE25" s="23"/>
      <c r="AF25" s="23" t="s">
        <v>4</v>
      </c>
      <c r="AG25" s="23"/>
      <c r="AH25" s="23" t="s">
        <v>465</v>
      </c>
      <c r="AI25" s="23" t="s">
        <v>154</v>
      </c>
      <c r="AJ25" s="23" t="s">
        <v>466</v>
      </c>
      <c r="AK25" s="58">
        <v>46224</v>
      </c>
      <c r="AL25" s="46" t="str">
        <f ca="1">IF((AK25+90)&lt;TODAY(),"เลยกำหนด",IF((AK25+90)-TODAY()&lt;=30,"ใกล้ถึง","ยังไม่ถึง"))</f>
        <v>ยังไม่ถึง</v>
      </c>
      <c r="AM25" s="32">
        <f ca="1">MAX(0, (AK25+90) - TODAY())</f>
        <v>63</v>
      </c>
      <c r="AN25" s="30" t="str">
        <f t="shared" ca="1" si="11"/>
        <v>ยังไม่หมด</v>
      </c>
      <c r="AO25" s="32">
        <f t="shared" ca="1" si="3"/>
        <v>245</v>
      </c>
      <c r="AP25" s="33"/>
    </row>
    <row r="26" spans="1:43" ht="15.75" customHeight="1">
      <c r="A26" s="1"/>
      <c r="B26" s="1"/>
      <c r="C26" s="1"/>
      <c r="D26" s="1"/>
      <c r="E26" s="1"/>
      <c r="F26" s="117"/>
      <c r="G26" s="117"/>
      <c r="H26" s="1"/>
      <c r="I26" s="117"/>
      <c r="J26" s="117"/>
      <c r="K26" s="1"/>
      <c r="L26" s="31"/>
      <c r="M26" s="31"/>
      <c r="N26" s="3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spans="1:43" ht="15.75" customHeight="1">
      <c r="A27" s="1"/>
      <c r="B27" s="1"/>
      <c r="C27" s="1"/>
      <c r="D27" s="1"/>
      <c r="E27" s="1"/>
      <c r="F27" s="117"/>
      <c r="G27" s="117"/>
      <c r="H27" s="1"/>
      <c r="I27" s="117"/>
      <c r="J27" s="117"/>
      <c r="K27" s="1"/>
      <c r="L27" s="1"/>
      <c r="M27" s="1"/>
      <c r="N27" s="19"/>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spans="1:43" ht="15.75" customHeight="1">
      <c r="A28" s="1"/>
      <c r="B28" s="1"/>
      <c r="C28" s="1"/>
      <c r="D28" s="1"/>
      <c r="E28" s="1"/>
      <c r="F28" s="117"/>
      <c r="G28" s="117"/>
      <c r="H28" s="1"/>
      <c r="I28" s="117"/>
      <c r="J28" s="117"/>
      <c r="K28" s="1"/>
      <c r="L28" s="1"/>
      <c r="M28" s="1"/>
      <c r="N28" s="19"/>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spans="1:43" ht="15.75" customHeight="1">
      <c r="A29" s="1"/>
      <c r="B29" s="1"/>
      <c r="C29" s="1"/>
      <c r="D29" s="1"/>
      <c r="E29" s="1"/>
      <c r="F29" s="117"/>
      <c r="G29" s="117"/>
      <c r="H29" s="1"/>
      <c r="I29" s="117"/>
      <c r="J29" s="117"/>
      <c r="K29" s="1"/>
      <c r="L29" s="1"/>
      <c r="M29" s="1"/>
      <c r="N29" s="19"/>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spans="1:43" ht="15.75" customHeight="1">
      <c r="F30" s="117"/>
      <c r="G30" s="117"/>
      <c r="I30" s="117"/>
      <c r="J30" s="117"/>
      <c r="R30" s="1"/>
      <c r="Z30" s="1"/>
      <c r="AB30" s="1"/>
      <c r="AD30" s="1"/>
      <c r="AF30" s="1"/>
    </row>
    <row r="31" spans="1:43" ht="15.75" customHeight="1">
      <c r="F31" s="117"/>
      <c r="G31" s="117"/>
      <c r="I31" s="117"/>
      <c r="J31" s="117"/>
      <c r="R31" s="1"/>
      <c r="Z31" s="1"/>
      <c r="AB31" s="1"/>
      <c r="AD31" s="1"/>
      <c r="AF31" s="1"/>
    </row>
    <row r="32" spans="1:43" ht="15.75" customHeight="1">
      <c r="F32" s="117"/>
      <c r="G32" s="117"/>
      <c r="I32" s="117"/>
      <c r="J32" s="117"/>
      <c r="R32" s="1"/>
      <c r="Z32" s="1"/>
      <c r="AB32" s="1"/>
      <c r="AD32" s="1"/>
      <c r="AF32" s="1"/>
    </row>
    <row r="33" spans="4:32" ht="15.75" customHeight="1">
      <c r="F33" s="117"/>
      <c r="G33" s="117"/>
      <c r="I33" s="117"/>
      <c r="J33" s="117"/>
      <c r="R33" s="1"/>
      <c r="Z33" s="1"/>
      <c r="AB33" s="1"/>
      <c r="AD33" s="1"/>
      <c r="AF33" s="1"/>
    </row>
    <row r="34" spans="4:32" ht="15.75" customHeight="1">
      <c r="D34" s="117"/>
      <c r="F34" s="117"/>
      <c r="I34" s="117"/>
      <c r="J34" s="117"/>
      <c r="R34" s="1"/>
      <c r="Z34" s="1"/>
      <c r="AB34" s="1"/>
      <c r="AD34" s="1"/>
      <c r="AF34" s="1"/>
    </row>
    <row r="35" spans="4:32" ht="15.75" customHeight="1">
      <c r="F35" s="117"/>
      <c r="G35" s="117"/>
      <c r="I35" s="117"/>
      <c r="J35" s="117"/>
      <c r="R35" s="1"/>
      <c r="Z35" s="1"/>
      <c r="AB35" s="1"/>
      <c r="AD35" s="1"/>
      <c r="AF35" s="1"/>
    </row>
    <row r="36" spans="4:32" ht="15.75" customHeight="1">
      <c r="F36" s="117"/>
      <c r="G36" s="117"/>
      <c r="I36" s="117"/>
      <c r="J36" s="117"/>
      <c r="R36" s="1"/>
      <c r="Z36" s="1"/>
      <c r="AB36" s="1"/>
      <c r="AD36" s="1"/>
      <c r="AF36" s="1"/>
    </row>
    <row r="37" spans="4:32" ht="15.75" customHeight="1">
      <c r="F37" s="117"/>
      <c r="G37" s="117"/>
      <c r="I37" s="117"/>
      <c r="J37" s="117"/>
      <c r="R37" s="1"/>
      <c r="Z37" s="1"/>
      <c r="AB37" s="1"/>
      <c r="AD37" s="1"/>
      <c r="AF37" s="1"/>
    </row>
    <row r="38" spans="4:32" ht="15.75" customHeight="1">
      <c r="F38" s="117"/>
      <c r="G38" s="117"/>
      <c r="I38" s="117"/>
      <c r="J38" s="117"/>
      <c r="R38" s="1"/>
      <c r="Z38" s="1"/>
      <c r="AB38" s="1"/>
      <c r="AD38" s="1"/>
      <c r="AF38" s="1"/>
    </row>
    <row r="39" spans="4:32" ht="15.75" customHeight="1">
      <c r="F39" s="117"/>
      <c r="G39" s="117"/>
      <c r="I39" s="117"/>
      <c r="J39" s="117"/>
      <c r="R39" s="1"/>
      <c r="Z39" s="1"/>
      <c r="AB39" s="1"/>
      <c r="AD39" s="1"/>
      <c r="AF39" s="1"/>
    </row>
    <row r="40" spans="4:32" ht="15.75" customHeight="1">
      <c r="F40" s="117"/>
      <c r="G40" s="117"/>
      <c r="I40" s="117"/>
      <c r="J40" s="117"/>
      <c r="R40" s="1"/>
      <c r="Z40" s="1"/>
      <c r="AB40" s="1"/>
      <c r="AD40" s="1"/>
      <c r="AF40" s="1"/>
    </row>
    <row r="41" spans="4:32" ht="15.75" customHeight="1">
      <c r="F41" s="117"/>
      <c r="G41" s="117"/>
      <c r="I41" s="117"/>
      <c r="J41" s="117"/>
      <c r="R41" s="1"/>
      <c r="Z41" s="1"/>
      <c r="AB41" s="1"/>
      <c r="AD41" s="1"/>
      <c r="AF41" s="1"/>
    </row>
    <row r="42" spans="4:32" ht="15.75" customHeight="1">
      <c r="F42" s="117"/>
      <c r="G42" s="117"/>
      <c r="I42" s="117"/>
      <c r="J42" s="117"/>
      <c r="R42" s="1"/>
      <c r="Z42" s="1"/>
      <c r="AB42" s="1"/>
      <c r="AD42" s="1"/>
      <c r="AF42" s="1"/>
    </row>
    <row r="43" spans="4:32" ht="15.75" customHeight="1">
      <c r="F43" s="117"/>
      <c r="G43" s="117"/>
      <c r="I43" s="117"/>
      <c r="J43" s="117"/>
      <c r="R43" s="1"/>
      <c r="Z43" s="1"/>
      <c r="AB43" s="1"/>
      <c r="AD43" s="1"/>
      <c r="AF43" s="1"/>
    </row>
    <row r="44" spans="4:32" ht="15.75" customHeight="1">
      <c r="F44" s="117"/>
      <c r="G44" s="117"/>
      <c r="I44" s="117"/>
      <c r="J44" s="117"/>
      <c r="R44" s="1"/>
      <c r="Z44" s="1"/>
      <c r="AB44" s="1"/>
      <c r="AD44" s="1"/>
      <c r="AF44" s="1"/>
    </row>
    <row r="45" spans="4:32" ht="15.75" customHeight="1">
      <c r="F45" s="117"/>
      <c r="G45" s="117"/>
      <c r="I45" s="117"/>
      <c r="J45" s="117"/>
      <c r="R45" s="1"/>
      <c r="Z45" s="1"/>
      <c r="AB45" s="1"/>
      <c r="AD45" s="1"/>
      <c r="AF45" s="1"/>
    </row>
    <row r="46" spans="4:32" ht="15.75" customHeight="1">
      <c r="F46" s="117"/>
      <c r="G46" s="117"/>
      <c r="I46" s="117"/>
      <c r="J46" s="117"/>
      <c r="R46" s="1"/>
      <c r="Z46" s="1"/>
      <c r="AB46" s="1"/>
      <c r="AD46" s="1"/>
      <c r="AF46" s="1"/>
    </row>
    <row r="47" spans="4:32" ht="15.75" customHeight="1">
      <c r="F47" s="117"/>
      <c r="G47" s="117"/>
      <c r="I47" s="117"/>
      <c r="J47" s="117"/>
      <c r="R47" s="1"/>
      <c r="Z47" s="1"/>
      <c r="AB47" s="1"/>
      <c r="AD47" s="1"/>
      <c r="AF47" s="1"/>
    </row>
    <row r="48" spans="4:32" ht="15.75" customHeight="1">
      <c r="F48" s="117"/>
      <c r="G48" s="117"/>
      <c r="I48" s="117"/>
      <c r="J48" s="117"/>
      <c r="R48" s="1"/>
      <c r="Z48" s="1"/>
      <c r="AB48" s="1"/>
      <c r="AD48" s="1"/>
      <c r="AF48" s="1"/>
    </row>
    <row r="49" spans="6:32" ht="15.75" customHeight="1">
      <c r="F49" s="117"/>
      <c r="G49" s="117"/>
      <c r="I49" s="117"/>
      <c r="J49" s="117"/>
      <c r="R49" s="1"/>
      <c r="Z49" s="1"/>
      <c r="AB49" s="1"/>
      <c r="AD49" s="1"/>
      <c r="AF49" s="1"/>
    </row>
    <row r="50" spans="6:32" ht="15.75" customHeight="1">
      <c r="F50" s="117"/>
      <c r="G50" s="117"/>
      <c r="I50" s="117"/>
      <c r="J50" s="117"/>
      <c r="R50" s="1"/>
      <c r="Z50" s="1"/>
      <c r="AB50" s="1"/>
      <c r="AD50" s="1"/>
      <c r="AF50" s="1"/>
    </row>
    <row r="51" spans="6:32" ht="15.75" customHeight="1">
      <c r="F51" s="117"/>
      <c r="G51" s="117"/>
      <c r="I51" s="117"/>
      <c r="J51" s="117"/>
      <c r="R51" s="1"/>
      <c r="Z51" s="1"/>
      <c r="AB51" s="1"/>
      <c r="AD51" s="1"/>
      <c r="AF51" s="1"/>
    </row>
    <row r="52" spans="6:32" ht="15.75" customHeight="1">
      <c r="F52" s="117"/>
      <c r="G52" s="117"/>
      <c r="I52" s="117"/>
      <c r="J52" s="117"/>
      <c r="R52" s="1"/>
      <c r="Z52" s="1"/>
      <c r="AB52" s="1"/>
      <c r="AD52" s="1"/>
      <c r="AF52" s="1"/>
    </row>
    <row r="53" spans="6:32" ht="15.75" customHeight="1">
      <c r="F53" s="117"/>
      <c r="G53" s="117"/>
      <c r="I53" s="117"/>
      <c r="J53" s="117"/>
      <c r="R53" s="1"/>
      <c r="Z53" s="1"/>
      <c r="AB53" s="1"/>
      <c r="AD53" s="1"/>
      <c r="AF53" s="1"/>
    </row>
    <row r="54" spans="6:32" ht="15.75" customHeight="1">
      <c r="F54" s="117"/>
      <c r="G54" s="117"/>
      <c r="I54" s="117"/>
      <c r="J54" s="117"/>
      <c r="R54" s="1"/>
      <c r="Z54" s="1"/>
      <c r="AB54" s="1"/>
      <c r="AD54" s="1"/>
      <c r="AF54" s="1"/>
    </row>
    <row r="55" spans="6:32" ht="15.75" customHeight="1">
      <c r="F55" s="117"/>
      <c r="G55" s="117"/>
      <c r="I55" s="117"/>
      <c r="J55" s="117"/>
      <c r="R55" s="1"/>
      <c r="Z55" s="1"/>
      <c r="AB55" s="1"/>
      <c r="AD55" s="1"/>
      <c r="AF55" s="1"/>
    </row>
    <row r="56" spans="6:32" ht="15.75" customHeight="1">
      <c r="F56" s="117"/>
      <c r="G56" s="117"/>
      <c r="I56" s="117"/>
      <c r="J56" s="117"/>
      <c r="R56" s="1"/>
      <c r="Z56" s="1"/>
      <c r="AB56" s="1"/>
      <c r="AD56" s="1"/>
      <c r="AF56" s="1"/>
    </row>
    <row r="57" spans="6:32" ht="15.75" customHeight="1">
      <c r="F57" s="117"/>
      <c r="G57" s="117"/>
      <c r="I57" s="117"/>
      <c r="J57" s="117"/>
      <c r="R57" s="1"/>
      <c r="Z57" s="1"/>
      <c r="AB57" s="1"/>
      <c r="AD57" s="1"/>
      <c r="AF57" s="1"/>
    </row>
    <row r="58" spans="6:32" ht="15.75" customHeight="1">
      <c r="F58" s="117"/>
      <c r="G58" s="117"/>
      <c r="I58" s="117"/>
      <c r="J58" s="117"/>
      <c r="R58" s="1"/>
      <c r="Z58" s="1"/>
      <c r="AB58" s="1"/>
      <c r="AD58" s="1"/>
      <c r="AF58" s="1"/>
    </row>
    <row r="59" spans="6:32" ht="15.75" customHeight="1">
      <c r="F59" s="117"/>
      <c r="G59" s="117"/>
      <c r="I59" s="117"/>
      <c r="J59" s="117"/>
      <c r="R59" s="1"/>
      <c r="Z59" s="1"/>
      <c r="AB59" s="1"/>
      <c r="AD59" s="1"/>
      <c r="AF59" s="1"/>
    </row>
    <row r="60" spans="6:32" ht="15.75" customHeight="1">
      <c r="F60" s="117"/>
      <c r="G60" s="117"/>
      <c r="I60" s="117"/>
      <c r="J60" s="117"/>
      <c r="R60" s="1"/>
      <c r="Z60" s="1"/>
      <c r="AB60" s="1"/>
      <c r="AD60" s="1"/>
      <c r="AF60" s="1"/>
    </row>
    <row r="61" spans="6:32" ht="15.75" customHeight="1">
      <c r="F61" s="117"/>
      <c r="G61" s="117"/>
      <c r="I61" s="117"/>
      <c r="J61" s="117"/>
      <c r="R61" s="1"/>
      <c r="Z61" s="1"/>
      <c r="AB61" s="1"/>
      <c r="AD61" s="1"/>
      <c r="AF61" s="1"/>
    </row>
    <row r="62" spans="6:32" ht="15.75" customHeight="1">
      <c r="F62" s="117"/>
      <c r="G62" s="117"/>
      <c r="I62" s="117"/>
      <c r="J62" s="117"/>
      <c r="R62" s="1"/>
      <c r="Z62" s="1"/>
      <c r="AB62" s="1"/>
      <c r="AD62" s="1"/>
      <c r="AF62" s="1"/>
    </row>
    <row r="63" spans="6:32" ht="15.75" customHeight="1">
      <c r="F63" s="117"/>
      <c r="G63" s="117"/>
      <c r="I63" s="117"/>
      <c r="J63" s="117"/>
      <c r="R63" s="1"/>
      <c r="Z63" s="1"/>
      <c r="AB63" s="1"/>
      <c r="AD63" s="1"/>
      <c r="AF63" s="1"/>
    </row>
    <row r="64" spans="6:32" ht="15.75" customHeight="1">
      <c r="F64" s="117"/>
      <c r="G64" s="117"/>
      <c r="I64" s="117"/>
      <c r="J64" s="117"/>
      <c r="R64" s="1"/>
      <c r="Z64" s="1"/>
      <c r="AB64" s="1"/>
      <c r="AD64" s="1"/>
      <c r="AF64" s="1"/>
    </row>
    <row r="65" spans="6:32" ht="15.75" customHeight="1">
      <c r="F65" s="117"/>
      <c r="G65" s="117"/>
      <c r="I65" s="117"/>
      <c r="J65" s="117"/>
      <c r="R65" s="1"/>
      <c r="Z65" s="1"/>
      <c r="AB65" s="1"/>
      <c r="AD65" s="1"/>
      <c r="AF65" s="1"/>
    </row>
    <row r="66" spans="6:32" ht="15.75" customHeight="1">
      <c r="F66" s="117"/>
      <c r="G66" s="117"/>
      <c r="I66" s="117"/>
      <c r="J66" s="117"/>
      <c r="R66" s="1"/>
      <c r="Z66" s="1"/>
      <c r="AB66" s="1"/>
      <c r="AD66" s="1"/>
      <c r="AF66" s="1"/>
    </row>
    <row r="67" spans="6:32" ht="15.75" customHeight="1">
      <c r="F67" s="117"/>
      <c r="G67" s="117"/>
      <c r="I67" s="117"/>
      <c r="J67" s="117"/>
      <c r="R67" s="1"/>
      <c r="Z67" s="1"/>
      <c r="AB67" s="1"/>
      <c r="AD67" s="1"/>
      <c r="AF67" s="1"/>
    </row>
    <row r="68" spans="6:32" ht="15.75" customHeight="1">
      <c r="F68" s="117"/>
      <c r="G68" s="117"/>
      <c r="I68" s="117"/>
      <c r="J68" s="117"/>
      <c r="R68" s="1"/>
      <c r="Z68" s="1"/>
      <c r="AB68" s="1"/>
      <c r="AD68" s="1"/>
      <c r="AF68" s="1"/>
    </row>
    <row r="69" spans="6:32" ht="15.75" customHeight="1">
      <c r="F69" s="117"/>
      <c r="G69" s="117"/>
      <c r="I69" s="117"/>
      <c r="J69" s="117"/>
      <c r="R69" s="1"/>
      <c r="Z69" s="1"/>
      <c r="AB69" s="1"/>
      <c r="AD69" s="1"/>
      <c r="AF69" s="1"/>
    </row>
    <row r="70" spans="6:32" ht="15.75" customHeight="1">
      <c r="F70" s="117"/>
      <c r="G70" s="117"/>
      <c r="I70" s="117"/>
      <c r="J70" s="117"/>
      <c r="R70" s="1"/>
      <c r="Z70" s="1"/>
      <c r="AB70" s="1"/>
      <c r="AD70" s="1"/>
      <c r="AF70" s="1"/>
    </row>
    <row r="71" spans="6:32" ht="15.75" customHeight="1">
      <c r="F71" s="117"/>
      <c r="G71" s="117"/>
      <c r="I71" s="117"/>
      <c r="J71" s="117"/>
      <c r="R71" s="1"/>
      <c r="Z71" s="1"/>
      <c r="AB71" s="1"/>
      <c r="AD71" s="1"/>
      <c r="AF71" s="1"/>
    </row>
    <row r="72" spans="6:32" ht="15.75" customHeight="1">
      <c r="F72" s="117"/>
      <c r="G72" s="117"/>
      <c r="I72" s="117"/>
      <c r="J72" s="117"/>
      <c r="R72" s="1"/>
      <c r="Z72" s="1"/>
      <c r="AB72" s="1"/>
      <c r="AD72" s="1"/>
      <c r="AF72" s="1"/>
    </row>
    <row r="73" spans="6:32" ht="15.75" customHeight="1">
      <c r="F73" s="117"/>
      <c r="G73" s="117"/>
      <c r="I73" s="117"/>
      <c r="J73" s="117"/>
      <c r="R73" s="1"/>
      <c r="Z73" s="1"/>
      <c r="AB73" s="1"/>
      <c r="AD73" s="1"/>
      <c r="AF73" s="1"/>
    </row>
    <row r="74" spans="6:32" ht="15.75" customHeight="1">
      <c r="F74" s="117"/>
      <c r="G74" s="117"/>
      <c r="I74" s="117"/>
      <c r="J74" s="117"/>
      <c r="R74" s="1"/>
      <c r="Z74" s="1"/>
      <c r="AB74" s="1"/>
      <c r="AD74" s="1"/>
      <c r="AF74" s="1"/>
    </row>
    <row r="75" spans="6:32" ht="15.75" customHeight="1">
      <c r="F75" s="117"/>
      <c r="G75" s="117"/>
      <c r="I75" s="117"/>
      <c r="J75" s="117"/>
      <c r="R75" s="1"/>
      <c r="Z75" s="1"/>
      <c r="AB75" s="1"/>
      <c r="AD75" s="1"/>
      <c r="AF75" s="1"/>
    </row>
    <row r="76" spans="6:32" ht="15.75" customHeight="1">
      <c r="F76" s="117"/>
      <c r="G76" s="117"/>
      <c r="I76" s="117"/>
      <c r="J76" s="117"/>
      <c r="R76" s="1"/>
      <c r="Z76" s="1"/>
      <c r="AB76" s="1"/>
      <c r="AD76" s="1"/>
      <c r="AF76" s="1"/>
    </row>
    <row r="77" spans="6:32" ht="15.75" customHeight="1">
      <c r="F77" s="117"/>
      <c r="G77" s="117"/>
      <c r="I77" s="117"/>
      <c r="J77" s="117"/>
      <c r="R77" s="1"/>
      <c r="Z77" s="1"/>
      <c r="AB77" s="1"/>
      <c r="AD77" s="1"/>
      <c r="AF77" s="1"/>
    </row>
    <row r="78" spans="6:32" ht="15.75" customHeight="1">
      <c r="F78" s="117"/>
      <c r="G78" s="117"/>
      <c r="I78" s="117"/>
      <c r="J78" s="117"/>
      <c r="R78" s="1"/>
      <c r="Z78" s="1"/>
      <c r="AB78" s="1"/>
      <c r="AD78" s="1"/>
      <c r="AF78" s="1"/>
    </row>
    <row r="79" spans="6:32" ht="15.75" customHeight="1">
      <c r="F79" s="117"/>
      <c r="G79" s="117"/>
      <c r="I79" s="117"/>
      <c r="J79" s="117"/>
      <c r="R79" s="1"/>
      <c r="Z79" s="1"/>
      <c r="AB79" s="1"/>
      <c r="AD79" s="1"/>
      <c r="AF79" s="1"/>
    </row>
    <row r="80" spans="6:32" ht="15.75" customHeight="1">
      <c r="F80" s="117"/>
      <c r="G80" s="117"/>
      <c r="I80" s="117"/>
      <c r="J80" s="117"/>
      <c r="R80" s="1"/>
      <c r="Z80" s="1"/>
      <c r="AB80" s="1"/>
      <c r="AD80" s="1"/>
      <c r="AF80" s="1"/>
    </row>
    <row r="81" spans="6:32" ht="15.75" customHeight="1">
      <c r="F81" s="117"/>
      <c r="G81" s="117"/>
      <c r="I81" s="117"/>
      <c r="J81" s="117"/>
      <c r="R81" s="1"/>
      <c r="Z81" s="1"/>
      <c r="AB81" s="1"/>
      <c r="AD81" s="1"/>
      <c r="AF81" s="1"/>
    </row>
    <row r="82" spans="6:32" ht="15.75" customHeight="1">
      <c r="F82" s="117"/>
      <c r="G82" s="117"/>
      <c r="I82" s="117"/>
      <c r="J82" s="117"/>
      <c r="R82" s="1"/>
      <c r="Z82" s="1"/>
      <c r="AB82" s="1"/>
      <c r="AD82" s="1"/>
      <c r="AF82" s="1"/>
    </row>
    <row r="83" spans="6:32" ht="15.75" customHeight="1">
      <c r="F83" s="117"/>
      <c r="G83" s="117"/>
      <c r="I83" s="117"/>
      <c r="J83" s="117"/>
      <c r="R83" s="1"/>
      <c r="Z83" s="1"/>
      <c r="AB83" s="1"/>
      <c r="AD83" s="1"/>
      <c r="AF83" s="1"/>
    </row>
    <row r="84" spans="6:32" ht="15.75" customHeight="1">
      <c r="F84" s="117"/>
      <c r="G84" s="117"/>
      <c r="I84" s="117"/>
      <c r="J84" s="117"/>
      <c r="R84" s="1"/>
      <c r="Z84" s="1"/>
      <c r="AB84" s="1"/>
      <c r="AD84" s="1"/>
      <c r="AF84" s="1"/>
    </row>
    <row r="85" spans="6:32" ht="15.75" customHeight="1">
      <c r="F85" s="117"/>
      <c r="G85" s="117"/>
      <c r="I85" s="117"/>
      <c r="J85" s="117"/>
      <c r="R85" s="1"/>
      <c r="Z85" s="1"/>
      <c r="AB85" s="1"/>
      <c r="AD85" s="1"/>
      <c r="AF85" s="1"/>
    </row>
    <row r="86" spans="6:32" ht="15.75" customHeight="1">
      <c r="F86" s="117"/>
      <c r="G86" s="117"/>
      <c r="I86" s="117"/>
      <c r="J86" s="117"/>
      <c r="R86" s="1"/>
      <c r="Z86" s="1"/>
      <c r="AB86" s="1"/>
      <c r="AD86" s="1"/>
      <c r="AF86" s="1"/>
    </row>
    <row r="87" spans="6:32" ht="15.75" customHeight="1">
      <c r="F87" s="117"/>
      <c r="G87" s="117"/>
      <c r="I87" s="117"/>
      <c r="J87" s="117"/>
      <c r="R87" s="1"/>
      <c r="Z87" s="1"/>
      <c r="AB87" s="1"/>
      <c r="AD87" s="1"/>
      <c r="AF87" s="1"/>
    </row>
    <row r="88" spans="6:32" ht="15.75" customHeight="1">
      <c r="F88" s="117"/>
      <c r="G88" s="117"/>
      <c r="I88" s="117"/>
      <c r="J88" s="117"/>
      <c r="R88" s="1"/>
      <c r="Z88" s="1"/>
      <c r="AB88" s="1"/>
      <c r="AD88" s="1"/>
      <c r="AF88" s="1"/>
    </row>
    <row r="89" spans="6:32" ht="15.75" customHeight="1">
      <c r="F89" s="117"/>
      <c r="G89" s="117"/>
      <c r="I89" s="117"/>
      <c r="J89" s="117"/>
      <c r="R89" s="1"/>
      <c r="Z89" s="1"/>
      <c r="AB89" s="1"/>
      <c r="AD89" s="1"/>
      <c r="AF89" s="1"/>
    </row>
    <row r="90" spans="6:32" ht="15.75" customHeight="1">
      <c r="F90" s="117"/>
      <c r="G90" s="117"/>
      <c r="I90" s="117"/>
      <c r="J90" s="117"/>
      <c r="R90" s="1"/>
      <c r="Z90" s="1"/>
      <c r="AB90" s="1"/>
      <c r="AD90" s="1"/>
      <c r="AF90" s="1"/>
    </row>
    <row r="91" spans="6:32" ht="15.75" customHeight="1">
      <c r="F91" s="117"/>
      <c r="G91" s="117"/>
      <c r="I91" s="117"/>
      <c r="J91" s="117"/>
      <c r="R91" s="1"/>
      <c r="Z91" s="1"/>
      <c r="AB91" s="1"/>
      <c r="AD91" s="1"/>
      <c r="AF91" s="1"/>
    </row>
    <row r="92" spans="6:32" ht="15.75" customHeight="1">
      <c r="F92" s="117"/>
      <c r="G92" s="117"/>
      <c r="I92" s="117"/>
      <c r="J92" s="117"/>
      <c r="R92" s="1"/>
      <c r="Z92" s="1"/>
      <c r="AB92" s="1"/>
      <c r="AD92" s="1"/>
      <c r="AF92" s="1"/>
    </row>
    <row r="93" spans="6:32" ht="15.75" customHeight="1">
      <c r="F93" s="117"/>
      <c r="G93" s="117"/>
      <c r="I93" s="117"/>
      <c r="J93" s="117"/>
      <c r="R93" s="1"/>
      <c r="Z93" s="1"/>
      <c r="AB93" s="1"/>
      <c r="AD93" s="1"/>
      <c r="AF93" s="1"/>
    </row>
    <row r="94" spans="6:32" ht="15.75" customHeight="1">
      <c r="F94" s="117"/>
      <c r="G94" s="117"/>
      <c r="I94" s="117"/>
      <c r="J94" s="117"/>
      <c r="R94" s="1"/>
      <c r="Z94" s="1"/>
      <c r="AB94" s="1"/>
      <c r="AD94" s="1"/>
      <c r="AF94" s="1"/>
    </row>
    <row r="95" spans="6:32" ht="15.75" customHeight="1">
      <c r="F95" s="117"/>
      <c r="G95" s="117"/>
      <c r="I95" s="117"/>
      <c r="J95" s="117"/>
      <c r="R95" s="1"/>
      <c r="Z95" s="1"/>
      <c r="AB95" s="1"/>
      <c r="AD95" s="1"/>
      <c r="AF95" s="1"/>
    </row>
    <row r="96" spans="6:32" ht="15.75" customHeight="1">
      <c r="F96" s="117"/>
      <c r="G96" s="117"/>
      <c r="I96" s="117"/>
      <c r="J96" s="117"/>
      <c r="R96" s="1"/>
      <c r="Z96" s="1"/>
      <c r="AB96" s="1"/>
      <c r="AD96" s="1"/>
      <c r="AF96" s="1"/>
    </row>
    <row r="97" spans="6:32" ht="15.75" customHeight="1">
      <c r="F97" s="117"/>
      <c r="G97" s="117"/>
      <c r="I97" s="117"/>
      <c r="J97" s="117"/>
      <c r="R97" s="1"/>
      <c r="Z97" s="1"/>
      <c r="AB97" s="1"/>
      <c r="AD97" s="1"/>
      <c r="AF97" s="1"/>
    </row>
    <row r="98" spans="6:32" ht="15.75" customHeight="1">
      <c r="F98" s="117"/>
      <c r="G98" s="117"/>
      <c r="I98" s="117"/>
      <c r="J98" s="117"/>
      <c r="R98" s="1"/>
      <c r="Z98" s="1"/>
      <c r="AB98" s="1"/>
      <c r="AD98" s="1"/>
      <c r="AF98" s="1"/>
    </row>
    <row r="99" spans="6:32" ht="15.75" customHeight="1">
      <c r="F99" s="117"/>
      <c r="G99" s="117"/>
      <c r="I99" s="117"/>
      <c r="J99" s="117"/>
      <c r="R99" s="1"/>
      <c r="Z99" s="1"/>
      <c r="AB99" s="1"/>
      <c r="AD99" s="1"/>
      <c r="AF99" s="1"/>
    </row>
    <row r="100" spans="6:32" ht="15.75" customHeight="1">
      <c r="F100" s="117"/>
      <c r="G100" s="117"/>
      <c r="I100" s="117"/>
      <c r="J100" s="117"/>
      <c r="R100" s="1"/>
      <c r="Z100" s="1"/>
      <c r="AB100" s="1"/>
      <c r="AD100" s="1"/>
      <c r="AF100" s="1"/>
    </row>
    <row r="101" spans="6:32" ht="15.75" customHeight="1">
      <c r="F101" s="117"/>
      <c r="G101" s="117"/>
      <c r="I101" s="117"/>
      <c r="J101" s="117"/>
      <c r="R101" s="1"/>
      <c r="Z101" s="1"/>
      <c r="AB101" s="1"/>
      <c r="AD101" s="1"/>
      <c r="AF101" s="1"/>
    </row>
    <row r="102" spans="6:32" ht="15.75" customHeight="1">
      <c r="F102" s="117"/>
      <c r="G102" s="117"/>
      <c r="I102" s="117"/>
      <c r="J102" s="117"/>
      <c r="R102" s="1"/>
      <c r="Z102" s="1"/>
      <c r="AB102" s="1"/>
      <c r="AD102" s="1"/>
      <c r="AF102" s="1"/>
    </row>
    <row r="103" spans="6:32" ht="15.75" customHeight="1">
      <c r="F103" s="117"/>
      <c r="G103" s="117"/>
      <c r="I103" s="117"/>
      <c r="J103" s="117"/>
      <c r="R103" s="1"/>
      <c r="Z103" s="1"/>
      <c r="AB103" s="1"/>
      <c r="AD103" s="1"/>
      <c r="AF103" s="1"/>
    </row>
    <row r="104" spans="6:32" ht="15.75" customHeight="1">
      <c r="F104" s="117"/>
      <c r="G104" s="117"/>
      <c r="I104" s="117"/>
      <c r="J104" s="117"/>
      <c r="R104" s="1"/>
      <c r="Z104" s="1"/>
      <c r="AB104" s="1"/>
      <c r="AD104" s="1"/>
      <c r="AF104" s="1"/>
    </row>
    <row r="105" spans="6:32" ht="15.75" customHeight="1">
      <c r="F105" s="117"/>
      <c r="G105" s="117"/>
      <c r="I105" s="117"/>
      <c r="J105" s="117"/>
      <c r="R105" s="1"/>
      <c r="Z105" s="1"/>
      <c r="AB105" s="1"/>
      <c r="AD105" s="1"/>
      <c r="AF105" s="1"/>
    </row>
    <row r="106" spans="6:32" ht="15.75" customHeight="1">
      <c r="F106" s="117"/>
      <c r="G106" s="117"/>
      <c r="I106" s="117"/>
      <c r="J106" s="117"/>
      <c r="R106" s="1"/>
      <c r="Z106" s="1"/>
      <c r="AB106" s="1"/>
      <c r="AD106" s="1"/>
      <c r="AF106" s="1"/>
    </row>
    <row r="107" spans="6:32" ht="15.75" customHeight="1">
      <c r="F107" s="117"/>
      <c r="G107" s="117"/>
      <c r="I107" s="117"/>
      <c r="J107" s="117"/>
      <c r="R107" s="1"/>
      <c r="Z107" s="1"/>
      <c r="AB107" s="1"/>
      <c r="AD107" s="1"/>
      <c r="AF107" s="1"/>
    </row>
    <row r="108" spans="6:32" ht="15.75" customHeight="1">
      <c r="F108" s="117"/>
      <c r="G108" s="117"/>
      <c r="I108" s="117"/>
      <c r="J108" s="117"/>
      <c r="R108" s="1"/>
      <c r="Z108" s="1"/>
      <c r="AB108" s="1"/>
      <c r="AD108" s="1"/>
      <c r="AF108" s="1"/>
    </row>
    <row r="109" spans="6:32" ht="15.75" customHeight="1">
      <c r="F109" s="117"/>
      <c r="G109" s="117"/>
      <c r="I109" s="117"/>
      <c r="J109" s="117"/>
      <c r="R109" s="1"/>
      <c r="Z109" s="1"/>
      <c r="AB109" s="1"/>
      <c r="AD109" s="1"/>
      <c r="AF109" s="1"/>
    </row>
    <row r="110" spans="6:32" ht="15.75" customHeight="1">
      <c r="F110" s="117"/>
      <c r="G110" s="117"/>
      <c r="I110" s="117"/>
      <c r="J110" s="117"/>
      <c r="R110" s="1"/>
      <c r="Z110" s="1"/>
      <c r="AB110" s="1"/>
      <c r="AD110" s="1"/>
      <c r="AF110" s="1"/>
    </row>
    <row r="111" spans="6:32" ht="15.75" customHeight="1">
      <c r="F111" s="117"/>
      <c r="G111" s="117"/>
      <c r="I111" s="117"/>
      <c r="J111" s="117"/>
      <c r="R111" s="1"/>
      <c r="Z111" s="1"/>
      <c r="AB111" s="1"/>
      <c r="AD111" s="1"/>
      <c r="AF111" s="1"/>
    </row>
    <row r="112" spans="6:32" ht="15.75" customHeight="1">
      <c r="F112" s="117"/>
      <c r="G112" s="117"/>
      <c r="I112" s="117"/>
      <c r="J112" s="117"/>
      <c r="R112" s="1"/>
      <c r="Z112" s="1"/>
      <c r="AB112" s="1"/>
      <c r="AD112" s="1"/>
      <c r="AF112" s="1"/>
    </row>
    <row r="113" spans="6:32" ht="15.75" customHeight="1">
      <c r="F113" s="117"/>
      <c r="G113" s="117"/>
      <c r="I113" s="117"/>
      <c r="J113" s="117"/>
      <c r="R113" s="1"/>
      <c r="Z113" s="1"/>
      <c r="AB113" s="1"/>
      <c r="AD113" s="1"/>
      <c r="AF113" s="1"/>
    </row>
    <row r="114" spans="6:32" ht="15.75" customHeight="1">
      <c r="F114" s="117"/>
      <c r="G114" s="117"/>
      <c r="I114" s="117"/>
      <c r="J114" s="117"/>
      <c r="R114" s="1"/>
      <c r="Z114" s="1"/>
      <c r="AB114" s="1"/>
      <c r="AD114" s="1"/>
      <c r="AF114" s="1"/>
    </row>
    <row r="115" spans="6:32" ht="15.75" customHeight="1">
      <c r="F115" s="117"/>
      <c r="G115" s="117"/>
      <c r="I115" s="117"/>
      <c r="J115" s="117"/>
      <c r="R115" s="1"/>
      <c r="Z115" s="1"/>
      <c r="AB115" s="1"/>
      <c r="AD115" s="1"/>
      <c r="AF115" s="1"/>
    </row>
    <row r="116" spans="6:32" ht="15.75" customHeight="1">
      <c r="F116" s="117"/>
      <c r="G116" s="117"/>
      <c r="I116" s="117"/>
      <c r="J116" s="117"/>
      <c r="R116" s="1"/>
      <c r="Z116" s="1"/>
      <c r="AB116" s="1"/>
      <c r="AD116" s="1"/>
      <c r="AF116" s="1"/>
    </row>
    <row r="117" spans="6:32" ht="15.75" customHeight="1">
      <c r="F117" s="117"/>
      <c r="G117" s="117"/>
      <c r="I117" s="117"/>
      <c r="J117" s="117"/>
      <c r="R117" s="1"/>
      <c r="Z117" s="1"/>
      <c r="AB117" s="1"/>
      <c r="AD117" s="1"/>
      <c r="AF117" s="1"/>
    </row>
    <row r="118" spans="6:32" ht="15.75" customHeight="1">
      <c r="F118" s="117"/>
      <c r="G118" s="117"/>
      <c r="I118" s="117"/>
      <c r="J118" s="117"/>
      <c r="R118" s="1"/>
      <c r="Z118" s="1"/>
      <c r="AB118" s="1"/>
      <c r="AD118" s="1"/>
      <c r="AF118" s="1"/>
    </row>
    <row r="119" spans="6:32" ht="15.75" customHeight="1">
      <c r="F119" s="117"/>
      <c r="G119" s="117"/>
      <c r="I119" s="117"/>
      <c r="J119" s="117"/>
      <c r="R119" s="1"/>
      <c r="Z119" s="1"/>
      <c r="AB119" s="1"/>
      <c r="AD119" s="1"/>
      <c r="AF119" s="1"/>
    </row>
    <row r="120" spans="6:32" ht="15.75" customHeight="1">
      <c r="F120" s="117"/>
      <c r="G120" s="117"/>
      <c r="I120" s="117"/>
      <c r="J120" s="117"/>
      <c r="R120" s="1"/>
      <c r="Z120" s="1"/>
      <c r="AB120" s="1"/>
      <c r="AD120" s="1"/>
      <c r="AF120" s="1"/>
    </row>
    <row r="121" spans="6:32" ht="15.75" customHeight="1">
      <c r="F121" s="117"/>
      <c r="G121" s="117"/>
      <c r="I121" s="117"/>
      <c r="J121" s="117"/>
      <c r="R121" s="1"/>
      <c r="Z121" s="1"/>
      <c r="AB121" s="1"/>
      <c r="AD121" s="1"/>
      <c r="AF121" s="1"/>
    </row>
    <row r="122" spans="6:32" ht="15.75" customHeight="1">
      <c r="F122" s="117"/>
      <c r="G122" s="117"/>
      <c r="I122" s="117"/>
      <c r="J122" s="117"/>
      <c r="R122" s="1"/>
      <c r="Z122" s="1"/>
      <c r="AB122" s="1"/>
      <c r="AD122" s="1"/>
      <c r="AF122" s="1"/>
    </row>
    <row r="123" spans="6:32" ht="15.75" customHeight="1">
      <c r="F123" s="117"/>
      <c r="G123" s="117"/>
      <c r="I123" s="117"/>
      <c r="J123" s="117"/>
      <c r="R123" s="1"/>
      <c r="Z123" s="1"/>
      <c r="AB123" s="1"/>
      <c r="AD123" s="1"/>
      <c r="AF123" s="1"/>
    </row>
    <row r="124" spans="6:32" ht="15.75" customHeight="1">
      <c r="F124" s="117"/>
      <c r="G124" s="117"/>
      <c r="I124" s="117"/>
      <c r="J124" s="117"/>
      <c r="R124" s="1"/>
      <c r="Z124" s="1"/>
      <c r="AB124" s="1"/>
      <c r="AD124" s="1"/>
      <c r="AF124" s="1"/>
    </row>
    <row r="125" spans="6:32" ht="15.75" customHeight="1">
      <c r="F125" s="117"/>
      <c r="G125" s="117"/>
      <c r="I125" s="117"/>
      <c r="J125" s="117"/>
      <c r="R125" s="1"/>
      <c r="Z125" s="1"/>
      <c r="AB125" s="1"/>
      <c r="AD125" s="1"/>
      <c r="AF125" s="1"/>
    </row>
    <row r="126" spans="6:32" ht="15.75" customHeight="1">
      <c r="F126" s="117"/>
      <c r="G126" s="117"/>
      <c r="I126" s="117"/>
      <c r="J126" s="117"/>
      <c r="R126" s="1"/>
      <c r="Z126" s="1"/>
      <c r="AB126" s="1"/>
      <c r="AD126" s="1"/>
      <c r="AF126" s="1"/>
    </row>
    <row r="127" spans="6:32" ht="15.75" customHeight="1">
      <c r="F127" s="117"/>
      <c r="G127" s="117"/>
      <c r="I127" s="117"/>
      <c r="J127" s="117"/>
      <c r="R127" s="1"/>
      <c r="Z127" s="1"/>
      <c r="AB127" s="1"/>
      <c r="AD127" s="1"/>
      <c r="AF127" s="1"/>
    </row>
    <row r="128" spans="6:32" ht="15.75" customHeight="1">
      <c r="F128" s="117"/>
      <c r="G128" s="117"/>
      <c r="I128" s="117"/>
      <c r="J128" s="117"/>
      <c r="R128" s="1"/>
      <c r="Z128" s="1"/>
      <c r="AB128" s="1"/>
      <c r="AD128" s="1"/>
      <c r="AF128" s="1"/>
    </row>
    <row r="129" spans="6:32" ht="15.75" customHeight="1">
      <c r="F129" s="117"/>
      <c r="G129" s="117"/>
      <c r="I129" s="117"/>
      <c r="J129" s="117"/>
      <c r="R129" s="1"/>
      <c r="Z129" s="1"/>
      <c r="AB129" s="1"/>
      <c r="AD129" s="1"/>
      <c r="AF129" s="1"/>
    </row>
    <row r="130" spans="6:32" ht="15.75" customHeight="1">
      <c r="F130" s="117"/>
      <c r="G130" s="117"/>
      <c r="I130" s="117"/>
      <c r="J130" s="117"/>
      <c r="R130" s="1"/>
      <c r="Z130" s="1"/>
      <c r="AB130" s="1"/>
      <c r="AD130" s="1"/>
      <c r="AF130" s="1"/>
    </row>
    <row r="131" spans="6:32" ht="15.75" customHeight="1">
      <c r="F131" s="117"/>
      <c r="G131" s="117"/>
      <c r="I131" s="117"/>
      <c r="J131" s="117"/>
      <c r="R131" s="1"/>
      <c r="Z131" s="1"/>
      <c r="AB131" s="1"/>
      <c r="AD131" s="1"/>
      <c r="AF131" s="1"/>
    </row>
    <row r="132" spans="6:32" ht="15.75" customHeight="1">
      <c r="F132" s="117"/>
      <c r="G132" s="117"/>
      <c r="I132" s="117"/>
      <c r="J132" s="117"/>
      <c r="R132" s="1"/>
      <c r="Z132" s="1"/>
      <c r="AB132" s="1"/>
      <c r="AD132" s="1"/>
      <c r="AF132" s="1"/>
    </row>
    <row r="133" spans="6:32" ht="15.75" customHeight="1">
      <c r="F133" s="117"/>
      <c r="G133" s="117"/>
      <c r="I133" s="117"/>
      <c r="J133" s="117"/>
      <c r="R133" s="1"/>
      <c r="Z133" s="1"/>
      <c r="AB133" s="1"/>
      <c r="AD133" s="1"/>
      <c r="AF133" s="1"/>
    </row>
    <row r="134" spans="6:32" ht="15.75" customHeight="1">
      <c r="F134" s="117"/>
      <c r="G134" s="117"/>
      <c r="I134" s="117"/>
      <c r="J134" s="117"/>
      <c r="R134" s="1"/>
      <c r="Z134" s="1"/>
      <c r="AB134" s="1"/>
      <c r="AD134" s="1"/>
      <c r="AF134" s="1"/>
    </row>
    <row r="135" spans="6:32" ht="15.75" customHeight="1">
      <c r="F135" s="117"/>
      <c r="G135" s="117"/>
      <c r="I135" s="117"/>
      <c r="J135" s="117"/>
      <c r="R135" s="1"/>
      <c r="Z135" s="1"/>
      <c r="AB135" s="1"/>
      <c r="AD135" s="1"/>
      <c r="AF135" s="1"/>
    </row>
    <row r="136" spans="6:32" ht="15.75" customHeight="1">
      <c r="F136" s="117"/>
      <c r="G136" s="117"/>
      <c r="I136" s="117"/>
      <c r="J136" s="117"/>
      <c r="R136" s="1"/>
      <c r="Z136" s="1"/>
      <c r="AB136" s="1"/>
      <c r="AD136" s="1"/>
      <c r="AF136" s="1"/>
    </row>
    <row r="137" spans="6:32" ht="15.75" customHeight="1">
      <c r="F137" s="117"/>
      <c r="G137" s="117"/>
      <c r="I137" s="117"/>
      <c r="J137" s="117"/>
      <c r="R137" s="1"/>
      <c r="Z137" s="1"/>
      <c r="AB137" s="1"/>
      <c r="AD137" s="1"/>
      <c r="AF137" s="1"/>
    </row>
    <row r="138" spans="6:32" ht="15.75" customHeight="1">
      <c r="F138" s="117"/>
      <c r="G138" s="117"/>
      <c r="I138" s="117"/>
      <c r="J138" s="117"/>
      <c r="R138" s="1"/>
      <c r="Z138" s="1"/>
      <c r="AB138" s="1"/>
      <c r="AD138" s="1"/>
      <c r="AF138" s="1"/>
    </row>
    <row r="139" spans="6:32" ht="15.75" customHeight="1">
      <c r="F139" s="117"/>
      <c r="G139" s="117"/>
      <c r="I139" s="117"/>
      <c r="J139" s="117"/>
      <c r="R139" s="1"/>
      <c r="Z139" s="1"/>
      <c r="AB139" s="1"/>
      <c r="AD139" s="1"/>
      <c r="AF139" s="1"/>
    </row>
    <row r="140" spans="6:32" ht="15.75" customHeight="1">
      <c r="F140" s="117"/>
      <c r="G140" s="117"/>
      <c r="I140" s="117"/>
      <c r="J140" s="117"/>
      <c r="R140" s="1"/>
      <c r="Z140" s="1"/>
      <c r="AB140" s="1"/>
      <c r="AD140" s="1"/>
      <c r="AF140" s="1"/>
    </row>
    <row r="141" spans="6:32" ht="15.75" customHeight="1">
      <c r="F141" s="117"/>
      <c r="G141" s="117"/>
      <c r="I141" s="117"/>
      <c r="J141" s="117"/>
      <c r="R141" s="1"/>
      <c r="Z141" s="1"/>
      <c r="AB141" s="1"/>
      <c r="AD141" s="1"/>
      <c r="AF141" s="1"/>
    </row>
    <row r="142" spans="6:32" ht="15.75" customHeight="1">
      <c r="F142" s="117"/>
      <c r="G142" s="117"/>
      <c r="I142" s="117"/>
      <c r="J142" s="117"/>
      <c r="R142" s="1"/>
      <c r="Z142" s="1"/>
      <c r="AB142" s="1"/>
      <c r="AD142" s="1"/>
      <c r="AF142" s="1"/>
    </row>
    <row r="143" spans="6:32" ht="15.75" customHeight="1">
      <c r="F143" s="117"/>
      <c r="G143" s="117"/>
      <c r="I143" s="117"/>
      <c r="J143" s="117"/>
      <c r="R143" s="1"/>
      <c r="Z143" s="1"/>
      <c r="AB143" s="1"/>
      <c r="AD143" s="1"/>
      <c r="AF143" s="1"/>
    </row>
    <row r="144" spans="6:32" ht="15.75" customHeight="1">
      <c r="F144" s="117"/>
      <c r="G144" s="117"/>
      <c r="I144" s="117"/>
      <c r="J144" s="117"/>
      <c r="R144" s="1"/>
      <c r="Z144" s="1"/>
      <c r="AB144" s="1"/>
      <c r="AD144" s="1"/>
      <c r="AF144" s="1"/>
    </row>
    <row r="145" spans="6:32" ht="15.75" customHeight="1">
      <c r="F145" s="117"/>
      <c r="G145" s="117"/>
      <c r="I145" s="117"/>
      <c r="J145" s="117"/>
      <c r="R145" s="1"/>
      <c r="Z145" s="1"/>
      <c r="AB145" s="1"/>
      <c r="AD145" s="1"/>
      <c r="AF145" s="1"/>
    </row>
    <row r="146" spans="6:32" ht="15.75" customHeight="1">
      <c r="F146" s="117"/>
      <c r="G146" s="117"/>
      <c r="I146" s="117"/>
      <c r="J146" s="117"/>
      <c r="R146" s="1"/>
      <c r="Z146" s="1"/>
      <c r="AB146" s="1"/>
      <c r="AD146" s="1"/>
      <c r="AF146" s="1"/>
    </row>
    <row r="147" spans="6:32" ht="15.75" customHeight="1">
      <c r="F147" s="117"/>
      <c r="G147" s="117"/>
      <c r="I147" s="117"/>
      <c r="J147" s="117"/>
      <c r="R147" s="1"/>
      <c r="Z147" s="1"/>
      <c r="AB147" s="1"/>
      <c r="AD147" s="1"/>
      <c r="AF147" s="1"/>
    </row>
    <row r="148" spans="6:32" ht="15.75" customHeight="1">
      <c r="F148" s="117"/>
      <c r="G148" s="117"/>
      <c r="I148" s="117"/>
      <c r="J148" s="117"/>
      <c r="R148" s="1"/>
      <c r="Z148" s="1"/>
      <c r="AB148" s="1"/>
      <c r="AD148" s="1"/>
      <c r="AF148" s="1"/>
    </row>
    <row r="149" spans="6:32" ht="15.75" customHeight="1">
      <c r="F149" s="117"/>
      <c r="G149" s="117"/>
      <c r="I149" s="117"/>
      <c r="J149" s="117"/>
      <c r="R149" s="1"/>
      <c r="Z149" s="1"/>
      <c r="AB149" s="1"/>
      <c r="AD149" s="1"/>
      <c r="AF149" s="1"/>
    </row>
    <row r="150" spans="6:32" ht="15.75" customHeight="1">
      <c r="F150" s="117"/>
      <c r="G150" s="117"/>
      <c r="I150" s="117"/>
      <c r="J150" s="117"/>
      <c r="R150" s="1"/>
      <c r="Z150" s="1"/>
      <c r="AB150" s="1"/>
      <c r="AD150" s="1"/>
      <c r="AF150" s="1"/>
    </row>
    <row r="151" spans="6:32" ht="15.75" customHeight="1">
      <c r="F151" s="117"/>
      <c r="G151" s="117"/>
      <c r="I151" s="117"/>
      <c r="J151" s="117"/>
      <c r="R151" s="1"/>
      <c r="Z151" s="1"/>
      <c r="AB151" s="1"/>
      <c r="AD151" s="1"/>
      <c r="AF151" s="1"/>
    </row>
    <row r="152" spans="6:32" ht="15.75" customHeight="1">
      <c r="F152" s="117"/>
      <c r="G152" s="117"/>
      <c r="I152" s="117"/>
      <c r="J152" s="117"/>
      <c r="R152" s="1"/>
      <c r="Z152" s="1"/>
      <c r="AB152" s="1"/>
      <c r="AD152" s="1"/>
      <c r="AF152" s="1"/>
    </row>
    <row r="153" spans="6:32" ht="15.75" customHeight="1">
      <c r="F153" s="117"/>
      <c r="G153" s="117"/>
      <c r="I153" s="117"/>
      <c r="J153" s="117"/>
      <c r="R153" s="1"/>
      <c r="Z153" s="1"/>
      <c r="AB153" s="1"/>
      <c r="AD153" s="1"/>
      <c r="AF153" s="1"/>
    </row>
    <row r="154" spans="6:32" ht="15.75" customHeight="1">
      <c r="F154" s="117"/>
      <c r="G154" s="117"/>
      <c r="I154" s="117"/>
      <c r="J154" s="117"/>
      <c r="R154" s="1"/>
      <c r="Z154" s="1"/>
      <c r="AB154" s="1"/>
      <c r="AD154" s="1"/>
      <c r="AF154" s="1"/>
    </row>
    <row r="155" spans="6:32" ht="15.75" customHeight="1">
      <c r="F155" s="117"/>
      <c r="G155" s="117"/>
      <c r="I155" s="117"/>
      <c r="J155" s="117"/>
      <c r="R155" s="1"/>
      <c r="Z155" s="1"/>
      <c r="AB155" s="1"/>
      <c r="AD155" s="1"/>
      <c r="AF155" s="1"/>
    </row>
    <row r="156" spans="6:32" ht="15.75" customHeight="1">
      <c r="F156" s="117"/>
      <c r="G156" s="117"/>
      <c r="I156" s="117"/>
      <c r="J156" s="117"/>
      <c r="R156" s="1"/>
      <c r="Z156" s="1"/>
      <c r="AB156" s="1"/>
      <c r="AD156" s="1"/>
      <c r="AF156" s="1"/>
    </row>
    <row r="157" spans="6:32" ht="15.75" customHeight="1">
      <c r="F157" s="117"/>
      <c r="G157" s="117"/>
      <c r="I157" s="117"/>
      <c r="J157" s="117"/>
      <c r="R157" s="1"/>
      <c r="Z157" s="1"/>
      <c r="AB157" s="1"/>
      <c r="AD157" s="1"/>
      <c r="AF157" s="1"/>
    </row>
    <row r="158" spans="6:32" ht="15.75" customHeight="1">
      <c r="F158" s="117"/>
      <c r="G158" s="117"/>
      <c r="I158" s="117"/>
      <c r="J158" s="117"/>
      <c r="R158" s="1"/>
      <c r="Z158" s="1"/>
      <c r="AB158" s="1"/>
      <c r="AD158" s="1"/>
      <c r="AF158" s="1"/>
    </row>
    <row r="159" spans="6:32" ht="15.75" customHeight="1">
      <c r="F159" s="117"/>
      <c r="G159" s="117"/>
      <c r="I159" s="117"/>
      <c r="J159" s="117"/>
      <c r="R159" s="1"/>
      <c r="Z159" s="1"/>
      <c r="AB159" s="1"/>
      <c r="AD159" s="1"/>
      <c r="AF159" s="1"/>
    </row>
    <row r="160" spans="6:32" ht="15.75" customHeight="1">
      <c r="F160" s="117"/>
      <c r="G160" s="117"/>
      <c r="I160" s="117"/>
      <c r="J160" s="117"/>
      <c r="R160" s="1"/>
      <c r="Z160" s="1"/>
      <c r="AB160" s="1"/>
      <c r="AD160" s="1"/>
      <c r="AF160" s="1"/>
    </row>
    <row r="161" spans="6:32" ht="15.75" customHeight="1">
      <c r="F161" s="117"/>
      <c r="G161" s="117"/>
      <c r="I161" s="117"/>
      <c r="J161" s="117"/>
      <c r="R161" s="1"/>
      <c r="Z161" s="1"/>
      <c r="AB161" s="1"/>
      <c r="AD161" s="1"/>
      <c r="AF161" s="1"/>
    </row>
    <row r="162" spans="6:32" ht="15.75" customHeight="1">
      <c r="F162" s="117"/>
      <c r="G162" s="117"/>
      <c r="I162" s="117"/>
      <c r="J162" s="117"/>
      <c r="R162" s="1"/>
      <c r="Z162" s="1"/>
      <c r="AB162" s="1"/>
      <c r="AD162" s="1"/>
      <c r="AF162" s="1"/>
    </row>
    <row r="163" spans="6:32" ht="15.75" customHeight="1">
      <c r="F163" s="117"/>
      <c r="G163" s="117"/>
      <c r="I163" s="117"/>
      <c r="J163" s="117"/>
      <c r="R163" s="1"/>
      <c r="Z163" s="1"/>
      <c r="AB163" s="1"/>
      <c r="AD163" s="1"/>
      <c r="AF163" s="1"/>
    </row>
    <row r="164" spans="6:32" ht="15.75" customHeight="1">
      <c r="F164" s="117"/>
      <c r="G164" s="117"/>
      <c r="I164" s="117"/>
      <c r="J164" s="117"/>
      <c r="R164" s="1"/>
      <c r="Z164" s="1"/>
      <c r="AB164" s="1"/>
      <c r="AD164" s="1"/>
      <c r="AF164" s="1"/>
    </row>
    <row r="165" spans="6:32" ht="15.75" customHeight="1">
      <c r="F165" s="117"/>
      <c r="G165" s="117"/>
      <c r="I165" s="117"/>
      <c r="J165" s="117"/>
      <c r="R165" s="1"/>
      <c r="Z165" s="1"/>
      <c r="AB165" s="1"/>
      <c r="AD165" s="1"/>
      <c r="AF165" s="1"/>
    </row>
    <row r="166" spans="6:32" ht="15.75" customHeight="1">
      <c r="F166" s="117"/>
      <c r="G166" s="117"/>
      <c r="I166" s="117"/>
      <c r="J166" s="117"/>
      <c r="R166" s="1"/>
      <c r="Z166" s="1"/>
      <c r="AB166" s="1"/>
      <c r="AD166" s="1"/>
      <c r="AF166" s="1"/>
    </row>
    <row r="167" spans="6:32" ht="15.75" customHeight="1">
      <c r="F167" s="117"/>
      <c r="G167" s="117"/>
      <c r="I167" s="117"/>
      <c r="J167" s="117"/>
      <c r="R167" s="1"/>
      <c r="Z167" s="1"/>
      <c r="AB167" s="1"/>
      <c r="AD167" s="1"/>
      <c r="AF167" s="1"/>
    </row>
    <row r="168" spans="6:32" ht="15.75" customHeight="1">
      <c r="F168" s="117"/>
      <c r="G168" s="117"/>
      <c r="I168" s="117"/>
      <c r="J168" s="117"/>
      <c r="R168" s="1"/>
      <c r="Z168" s="1"/>
      <c r="AB168" s="1"/>
      <c r="AD168" s="1"/>
      <c r="AF168" s="1"/>
    </row>
    <row r="169" spans="6:32" ht="15.75" customHeight="1">
      <c r="F169" s="117"/>
      <c r="G169" s="117"/>
      <c r="I169" s="117"/>
      <c r="J169" s="117"/>
      <c r="R169" s="1"/>
      <c r="Z169" s="1"/>
      <c r="AB169" s="1"/>
      <c r="AD169" s="1"/>
      <c r="AF169" s="1"/>
    </row>
    <row r="170" spans="6:32" ht="15.75" customHeight="1">
      <c r="F170" s="117"/>
      <c r="G170" s="117"/>
      <c r="I170" s="117"/>
      <c r="J170" s="117"/>
      <c r="R170" s="1"/>
      <c r="Z170" s="1"/>
      <c r="AB170" s="1"/>
      <c r="AD170" s="1"/>
      <c r="AF170" s="1"/>
    </row>
    <row r="171" spans="6:32" ht="15.75" customHeight="1">
      <c r="F171" s="117"/>
      <c r="G171" s="117"/>
      <c r="I171" s="117"/>
      <c r="J171" s="117"/>
      <c r="R171" s="1"/>
      <c r="Z171" s="1"/>
      <c r="AB171" s="1"/>
      <c r="AD171" s="1"/>
      <c r="AF171" s="1"/>
    </row>
    <row r="172" spans="6:32" ht="15.75" customHeight="1">
      <c r="F172" s="117"/>
      <c r="G172" s="117"/>
      <c r="I172" s="117"/>
      <c r="J172" s="117"/>
      <c r="R172" s="1"/>
      <c r="Z172" s="1"/>
      <c r="AB172" s="1"/>
      <c r="AD172" s="1"/>
      <c r="AF172" s="1"/>
    </row>
    <row r="173" spans="6:32" ht="15.75" customHeight="1">
      <c r="F173" s="117"/>
      <c r="G173" s="117"/>
      <c r="I173" s="117"/>
      <c r="J173" s="117"/>
      <c r="R173" s="1"/>
      <c r="Z173" s="1"/>
      <c r="AB173" s="1"/>
      <c r="AD173" s="1"/>
      <c r="AF173" s="1"/>
    </row>
    <row r="174" spans="6:32" ht="15.75" customHeight="1">
      <c r="F174" s="117"/>
      <c r="G174" s="117"/>
      <c r="I174" s="117"/>
      <c r="J174" s="117"/>
      <c r="R174" s="1"/>
      <c r="Z174" s="1"/>
      <c r="AB174" s="1"/>
      <c r="AD174" s="1"/>
      <c r="AF174" s="1"/>
    </row>
    <row r="175" spans="6:32" ht="15.75" customHeight="1">
      <c r="F175" s="117"/>
      <c r="G175" s="117"/>
      <c r="I175" s="117"/>
      <c r="J175" s="117"/>
      <c r="R175" s="1"/>
      <c r="Z175" s="1"/>
      <c r="AB175" s="1"/>
      <c r="AD175" s="1"/>
      <c r="AF175" s="1"/>
    </row>
    <row r="176" spans="6:32" ht="15.75" customHeight="1">
      <c r="F176" s="117"/>
      <c r="G176" s="117"/>
      <c r="I176" s="117"/>
      <c r="J176" s="117"/>
      <c r="R176" s="1"/>
      <c r="Z176" s="1"/>
      <c r="AB176" s="1"/>
      <c r="AD176" s="1"/>
      <c r="AF176" s="1"/>
    </row>
    <row r="177" spans="6:32" ht="15.75" customHeight="1">
      <c r="F177" s="117"/>
      <c r="G177" s="117"/>
      <c r="I177" s="117"/>
      <c r="J177" s="117"/>
      <c r="R177" s="1"/>
      <c r="Z177" s="1"/>
      <c r="AB177" s="1"/>
      <c r="AD177" s="1"/>
      <c r="AF177" s="1"/>
    </row>
    <row r="178" spans="6:32" ht="15.75" customHeight="1">
      <c r="F178" s="117"/>
      <c r="G178" s="117"/>
      <c r="I178" s="117"/>
      <c r="J178" s="117"/>
      <c r="R178" s="1"/>
      <c r="Z178" s="1"/>
      <c r="AB178" s="1"/>
      <c r="AD178" s="1"/>
      <c r="AF178" s="1"/>
    </row>
    <row r="179" spans="6:32" ht="15.75" customHeight="1">
      <c r="F179" s="117"/>
      <c r="G179" s="117"/>
      <c r="I179" s="117"/>
      <c r="J179" s="117"/>
      <c r="R179" s="1"/>
      <c r="Z179" s="1"/>
      <c r="AB179" s="1"/>
      <c r="AD179" s="1"/>
      <c r="AF179" s="1"/>
    </row>
    <row r="180" spans="6:32" ht="15.75" customHeight="1">
      <c r="F180" s="117"/>
      <c r="G180" s="117"/>
      <c r="I180" s="117"/>
      <c r="J180" s="117"/>
      <c r="R180" s="1"/>
      <c r="Z180" s="1"/>
      <c r="AB180" s="1"/>
      <c r="AD180" s="1"/>
      <c r="AF180" s="1"/>
    </row>
    <row r="181" spans="6:32" ht="15.75" customHeight="1">
      <c r="F181" s="117"/>
      <c r="G181" s="117"/>
      <c r="I181" s="117"/>
      <c r="J181" s="117"/>
      <c r="R181" s="1"/>
      <c r="Z181" s="1"/>
      <c r="AB181" s="1"/>
      <c r="AD181" s="1"/>
      <c r="AF181" s="1"/>
    </row>
    <row r="182" spans="6:32" ht="15.75" customHeight="1">
      <c r="F182" s="117"/>
      <c r="G182" s="117"/>
      <c r="I182" s="117"/>
      <c r="J182" s="117"/>
      <c r="R182" s="1"/>
      <c r="Z182" s="1"/>
      <c r="AB182" s="1"/>
      <c r="AD182" s="1"/>
      <c r="AF182" s="1"/>
    </row>
    <row r="183" spans="6:32" ht="15.75" customHeight="1">
      <c r="F183" s="117"/>
      <c r="G183" s="117"/>
      <c r="I183" s="117"/>
      <c r="J183" s="117"/>
      <c r="R183" s="1"/>
      <c r="Z183" s="1"/>
      <c r="AB183" s="1"/>
      <c r="AD183" s="1"/>
      <c r="AF183" s="1"/>
    </row>
    <row r="184" spans="6:32" ht="15.75" customHeight="1">
      <c r="F184" s="117"/>
      <c r="G184" s="117"/>
      <c r="I184" s="117"/>
      <c r="J184" s="117"/>
      <c r="R184" s="1"/>
      <c r="Z184" s="1"/>
      <c r="AB184" s="1"/>
      <c r="AD184" s="1"/>
      <c r="AF184" s="1"/>
    </row>
    <row r="185" spans="6:32" ht="15.75" customHeight="1">
      <c r="F185" s="117"/>
      <c r="G185" s="117"/>
      <c r="I185" s="117"/>
      <c r="J185" s="117"/>
      <c r="R185" s="1"/>
      <c r="Z185" s="1"/>
      <c r="AB185" s="1"/>
      <c r="AD185" s="1"/>
      <c r="AF185" s="1"/>
    </row>
    <row r="186" spans="6:32" ht="15.75" customHeight="1">
      <c r="F186" s="117"/>
      <c r="G186" s="117"/>
      <c r="I186" s="117"/>
      <c r="J186" s="117"/>
      <c r="R186" s="1"/>
      <c r="Z186" s="1"/>
      <c r="AB186" s="1"/>
      <c r="AD186" s="1"/>
      <c r="AF186" s="1"/>
    </row>
    <row r="187" spans="6:32" ht="15.75" customHeight="1">
      <c r="F187" s="117"/>
      <c r="G187" s="117"/>
      <c r="I187" s="117"/>
      <c r="J187" s="117"/>
      <c r="R187" s="1"/>
      <c r="Z187" s="1"/>
      <c r="AB187" s="1"/>
      <c r="AD187" s="1"/>
      <c r="AF187" s="1"/>
    </row>
    <row r="188" spans="6:32" ht="15.75" customHeight="1">
      <c r="F188" s="117"/>
      <c r="G188" s="117"/>
      <c r="I188" s="117"/>
      <c r="J188" s="117"/>
      <c r="R188" s="1"/>
      <c r="Z188" s="1"/>
      <c r="AB188" s="1"/>
      <c r="AD188" s="1"/>
      <c r="AF188" s="1"/>
    </row>
    <row r="189" spans="6:32" ht="15.75" customHeight="1">
      <c r="F189" s="117"/>
      <c r="G189" s="117"/>
      <c r="I189" s="117"/>
      <c r="J189" s="117"/>
      <c r="R189" s="1"/>
      <c r="Z189" s="1"/>
      <c r="AB189" s="1"/>
      <c r="AD189" s="1"/>
      <c r="AF189" s="1"/>
    </row>
    <row r="190" spans="6:32" ht="15.75" customHeight="1">
      <c r="F190" s="117"/>
      <c r="G190" s="117"/>
      <c r="I190" s="117"/>
      <c r="J190" s="117"/>
      <c r="R190" s="1"/>
      <c r="Z190" s="1"/>
      <c r="AB190" s="1"/>
      <c r="AD190" s="1"/>
      <c r="AF190" s="1"/>
    </row>
    <row r="191" spans="6:32" ht="15.75" customHeight="1">
      <c r="F191" s="117"/>
      <c r="G191" s="117"/>
      <c r="I191" s="117"/>
      <c r="J191" s="117"/>
      <c r="R191" s="1"/>
      <c r="Z191" s="1"/>
      <c r="AB191" s="1"/>
      <c r="AD191" s="1"/>
      <c r="AF191" s="1"/>
    </row>
    <row r="192" spans="6:32" ht="15.75" customHeight="1">
      <c r="F192" s="117"/>
      <c r="G192" s="117"/>
      <c r="I192" s="117"/>
      <c r="J192" s="117"/>
      <c r="R192" s="1"/>
      <c r="Z192" s="1"/>
      <c r="AB192" s="1"/>
      <c r="AD192" s="1"/>
      <c r="AF192" s="1"/>
    </row>
    <row r="193" spans="6:32" ht="15.75" customHeight="1">
      <c r="F193" s="117"/>
      <c r="G193" s="117"/>
      <c r="I193" s="117"/>
      <c r="J193" s="117"/>
      <c r="R193" s="1"/>
      <c r="Z193" s="1"/>
      <c r="AB193" s="1"/>
      <c r="AD193" s="1"/>
      <c r="AF193" s="1"/>
    </row>
    <row r="194" spans="6:32" ht="15.75" customHeight="1">
      <c r="F194" s="117"/>
      <c r="G194" s="117"/>
      <c r="I194" s="117"/>
      <c r="J194" s="117"/>
      <c r="R194" s="1"/>
      <c r="Z194" s="1"/>
      <c r="AB194" s="1"/>
      <c r="AD194" s="1"/>
      <c r="AF194" s="1"/>
    </row>
    <row r="195" spans="6:32" ht="15.75" customHeight="1">
      <c r="F195" s="117"/>
      <c r="G195" s="117"/>
      <c r="I195" s="117"/>
      <c r="J195" s="117"/>
      <c r="R195" s="1"/>
      <c r="Z195" s="1"/>
      <c r="AB195" s="1"/>
      <c r="AD195" s="1"/>
      <c r="AF195" s="1"/>
    </row>
    <row r="196" spans="6:32" ht="15.75" customHeight="1">
      <c r="F196" s="117"/>
      <c r="G196" s="117"/>
      <c r="I196" s="117"/>
      <c r="J196" s="117"/>
      <c r="R196" s="1"/>
      <c r="Z196" s="1"/>
      <c r="AB196" s="1"/>
      <c r="AD196" s="1"/>
      <c r="AF196" s="1"/>
    </row>
    <row r="197" spans="6:32" ht="15.75" customHeight="1">
      <c r="F197" s="117"/>
      <c r="G197" s="117"/>
      <c r="I197" s="117"/>
      <c r="J197" s="117"/>
      <c r="R197" s="1"/>
      <c r="Z197" s="1"/>
      <c r="AB197" s="1"/>
      <c r="AD197" s="1"/>
      <c r="AF197" s="1"/>
    </row>
    <row r="198" spans="6:32" ht="15.75" customHeight="1">
      <c r="F198" s="117"/>
      <c r="G198" s="117"/>
      <c r="I198" s="117"/>
      <c r="J198" s="117"/>
      <c r="R198" s="1"/>
      <c r="Z198" s="1"/>
      <c r="AB198" s="1"/>
      <c r="AD198" s="1"/>
      <c r="AF198" s="1"/>
    </row>
    <row r="199" spans="6:32" ht="15.75" customHeight="1">
      <c r="F199" s="117"/>
      <c r="G199" s="117"/>
      <c r="I199" s="117"/>
      <c r="J199" s="117"/>
      <c r="R199" s="1"/>
      <c r="Z199" s="1"/>
      <c r="AB199" s="1"/>
      <c r="AD199" s="1"/>
      <c r="AF199" s="1"/>
    </row>
    <row r="200" spans="6:32" ht="15.75" customHeight="1">
      <c r="F200" s="117"/>
      <c r="G200" s="117"/>
      <c r="I200" s="117"/>
      <c r="J200" s="117"/>
      <c r="R200" s="1"/>
      <c r="Z200" s="1"/>
      <c r="AB200" s="1"/>
      <c r="AD200" s="1"/>
      <c r="AF200" s="1"/>
    </row>
    <row r="201" spans="6:32" ht="15.75" customHeight="1">
      <c r="F201" s="117"/>
      <c r="G201" s="117"/>
      <c r="I201" s="117"/>
      <c r="J201" s="117"/>
      <c r="R201" s="1"/>
      <c r="Z201" s="1"/>
      <c r="AB201" s="1"/>
      <c r="AD201" s="1"/>
      <c r="AF201" s="1"/>
    </row>
    <row r="202" spans="6:32" ht="15.75" customHeight="1">
      <c r="F202" s="117"/>
      <c r="G202" s="117"/>
      <c r="I202" s="117"/>
      <c r="J202" s="117"/>
      <c r="R202" s="1"/>
      <c r="Z202" s="1"/>
      <c r="AB202" s="1"/>
      <c r="AD202" s="1"/>
      <c r="AF202" s="1"/>
    </row>
    <row r="203" spans="6:32" ht="15.75" customHeight="1">
      <c r="F203" s="117"/>
      <c r="G203" s="117"/>
      <c r="I203" s="117"/>
      <c r="J203" s="117"/>
      <c r="R203" s="1"/>
      <c r="Z203" s="1"/>
      <c r="AB203" s="1"/>
      <c r="AD203" s="1"/>
      <c r="AF203" s="1"/>
    </row>
    <row r="204" spans="6:32" ht="15.75" customHeight="1">
      <c r="F204" s="117"/>
      <c r="G204" s="117"/>
      <c r="I204" s="117"/>
      <c r="J204" s="117"/>
      <c r="R204" s="1"/>
      <c r="Z204" s="1"/>
      <c r="AB204" s="1"/>
      <c r="AD204" s="1"/>
      <c r="AF204" s="1"/>
    </row>
    <row r="205" spans="6:32" ht="15.75" customHeight="1">
      <c r="F205" s="117"/>
      <c r="G205" s="117"/>
      <c r="I205" s="117"/>
      <c r="J205" s="117"/>
      <c r="R205" s="1"/>
      <c r="Z205" s="1"/>
      <c r="AB205" s="1"/>
      <c r="AD205" s="1"/>
      <c r="AF205" s="1"/>
    </row>
    <row r="206" spans="6:32" ht="15.75" customHeight="1">
      <c r="F206" s="117"/>
      <c r="G206" s="117"/>
      <c r="I206" s="117"/>
      <c r="J206" s="117"/>
      <c r="R206" s="1"/>
      <c r="Z206" s="1"/>
      <c r="AB206" s="1"/>
      <c r="AD206" s="1"/>
      <c r="AF206" s="1"/>
    </row>
    <row r="207" spans="6:32" ht="15.75" customHeight="1">
      <c r="F207" s="117"/>
      <c r="G207" s="117"/>
      <c r="I207" s="117"/>
      <c r="J207" s="117"/>
      <c r="R207" s="1"/>
      <c r="Z207" s="1"/>
      <c r="AB207" s="1"/>
      <c r="AD207" s="1"/>
      <c r="AF207" s="1"/>
    </row>
    <row r="208" spans="6:32" ht="15.75" customHeight="1">
      <c r="F208" s="117"/>
      <c r="G208" s="117"/>
      <c r="I208" s="117"/>
      <c r="J208" s="117"/>
      <c r="R208" s="1"/>
      <c r="Z208" s="1"/>
      <c r="AB208" s="1"/>
      <c r="AD208" s="1"/>
      <c r="AF208" s="1"/>
    </row>
    <row r="209" spans="6:32" ht="15.75" customHeight="1">
      <c r="F209" s="117"/>
      <c r="G209" s="117"/>
      <c r="I209" s="117"/>
      <c r="J209" s="117"/>
      <c r="R209" s="1"/>
      <c r="Z209" s="1"/>
      <c r="AB209" s="1"/>
      <c r="AD209" s="1"/>
      <c r="AF209" s="1"/>
    </row>
    <row r="210" spans="6:32" ht="15.75" customHeight="1">
      <c r="F210" s="117"/>
      <c r="G210" s="117"/>
      <c r="I210" s="117"/>
      <c r="J210" s="117"/>
      <c r="R210" s="1"/>
      <c r="Z210" s="1"/>
      <c r="AB210" s="1"/>
      <c r="AD210" s="1"/>
      <c r="AF210" s="1"/>
    </row>
    <row r="211" spans="6:32" ht="15.75" customHeight="1">
      <c r="F211" s="117"/>
      <c r="G211" s="117"/>
      <c r="I211" s="117"/>
      <c r="J211" s="117"/>
      <c r="R211" s="1"/>
      <c r="Z211" s="1"/>
      <c r="AB211" s="1"/>
      <c r="AD211" s="1"/>
      <c r="AF211" s="1"/>
    </row>
    <row r="212" spans="6:32" ht="15.75" customHeight="1">
      <c r="F212" s="117"/>
      <c r="G212" s="117"/>
      <c r="I212" s="117"/>
      <c r="J212" s="117"/>
      <c r="R212" s="1"/>
      <c r="Z212" s="1"/>
      <c r="AB212" s="1"/>
      <c r="AD212" s="1"/>
      <c r="AF212" s="1"/>
    </row>
    <row r="213" spans="6:32" ht="15.75" customHeight="1">
      <c r="F213" s="117"/>
      <c r="G213" s="117"/>
      <c r="I213" s="117"/>
      <c r="J213" s="117"/>
      <c r="R213" s="1"/>
      <c r="Z213" s="1"/>
      <c r="AB213" s="1"/>
      <c r="AD213" s="1"/>
      <c r="AF213" s="1"/>
    </row>
    <row r="214" spans="6:32" ht="15.75" customHeight="1">
      <c r="F214" s="117"/>
      <c r="G214" s="117"/>
      <c r="I214" s="117"/>
      <c r="J214" s="117"/>
      <c r="R214" s="1"/>
      <c r="Z214" s="1"/>
      <c r="AB214" s="1"/>
      <c r="AD214" s="1"/>
      <c r="AF214" s="1"/>
    </row>
    <row r="215" spans="6:32" ht="15.75" customHeight="1">
      <c r="F215" s="117"/>
      <c r="G215" s="117"/>
      <c r="I215" s="117"/>
      <c r="J215" s="117"/>
      <c r="R215" s="1"/>
      <c r="Z215" s="1"/>
      <c r="AB215" s="1"/>
      <c r="AD215" s="1"/>
      <c r="AF215" s="1"/>
    </row>
    <row r="216" spans="6:32" ht="15.75" customHeight="1">
      <c r="F216" s="117"/>
      <c r="G216" s="117"/>
      <c r="I216" s="117"/>
      <c r="J216" s="117"/>
      <c r="R216" s="1"/>
      <c r="Z216" s="1"/>
      <c r="AB216" s="1"/>
      <c r="AD216" s="1"/>
      <c r="AF216" s="1"/>
    </row>
    <row r="217" spans="6:32" ht="15.75" customHeight="1">
      <c r="F217" s="117"/>
      <c r="G217" s="117"/>
      <c r="I217" s="117"/>
      <c r="J217" s="117"/>
      <c r="R217" s="1"/>
      <c r="Z217" s="1"/>
      <c r="AB217" s="1"/>
      <c r="AD217" s="1"/>
      <c r="AF217" s="1"/>
    </row>
    <row r="218" spans="6:32" ht="15.75" customHeight="1">
      <c r="F218" s="117"/>
      <c r="G218" s="117"/>
      <c r="I218" s="117"/>
      <c r="J218" s="117"/>
      <c r="R218" s="1"/>
      <c r="Z218" s="1"/>
      <c r="AB218" s="1"/>
      <c r="AD218" s="1"/>
      <c r="AF218" s="1"/>
    </row>
    <row r="219" spans="6:32" ht="15.75" customHeight="1">
      <c r="F219" s="117"/>
      <c r="G219" s="117"/>
      <c r="I219" s="117"/>
      <c r="J219" s="117"/>
      <c r="R219" s="1"/>
      <c r="Z219" s="1"/>
      <c r="AB219" s="1"/>
      <c r="AD219" s="1"/>
      <c r="AF219" s="1"/>
    </row>
    <row r="220" spans="6:32" ht="15.75" customHeight="1">
      <c r="F220" s="117"/>
      <c r="G220" s="117"/>
      <c r="I220" s="117"/>
      <c r="J220" s="117"/>
      <c r="R220" s="1"/>
      <c r="Z220" s="1"/>
      <c r="AB220" s="1"/>
      <c r="AD220" s="1"/>
      <c r="AF220" s="1"/>
    </row>
    <row r="221" spans="6:32" ht="15.75" customHeight="1">
      <c r="F221" s="117"/>
      <c r="G221" s="117"/>
      <c r="I221" s="117"/>
      <c r="J221" s="117"/>
      <c r="R221" s="1"/>
      <c r="Z221" s="1"/>
      <c r="AB221" s="1"/>
      <c r="AD221" s="1"/>
      <c r="AF221" s="1"/>
    </row>
    <row r="222" spans="6:32" ht="15.75" customHeight="1">
      <c r="F222" s="117"/>
      <c r="G222" s="117"/>
      <c r="I222" s="117"/>
      <c r="J222" s="117"/>
      <c r="R222" s="1"/>
      <c r="Z222" s="1"/>
      <c r="AB222" s="1"/>
      <c r="AD222" s="1"/>
      <c r="AF222" s="1"/>
    </row>
    <row r="223" spans="6:32" ht="15.75" customHeight="1">
      <c r="F223" s="117"/>
      <c r="G223" s="117"/>
      <c r="I223" s="117"/>
      <c r="J223" s="117"/>
      <c r="R223" s="1"/>
      <c r="Z223" s="1"/>
      <c r="AB223" s="1"/>
      <c r="AD223" s="1"/>
      <c r="AF223" s="1"/>
    </row>
    <row r="224" spans="6:32" ht="15.75" customHeight="1">
      <c r="F224" s="117"/>
      <c r="G224" s="117"/>
      <c r="I224" s="117"/>
      <c r="J224" s="117"/>
      <c r="R224" s="1"/>
      <c r="Z224" s="1"/>
      <c r="AB224" s="1"/>
      <c r="AD224" s="1"/>
      <c r="AF224" s="1"/>
    </row>
    <row r="225" spans="6:32" ht="15.75" customHeight="1">
      <c r="F225" s="117"/>
      <c r="G225" s="117"/>
      <c r="I225" s="117"/>
      <c r="J225" s="117"/>
      <c r="R225" s="1"/>
      <c r="Z225" s="1"/>
      <c r="AB225" s="1"/>
      <c r="AD225" s="1"/>
      <c r="AF225" s="1"/>
    </row>
    <row r="226" spans="6:32" ht="15.75" customHeight="1">
      <c r="F226" s="117"/>
      <c r="G226" s="117"/>
      <c r="I226" s="117"/>
      <c r="J226" s="117"/>
      <c r="R226" s="1"/>
      <c r="Z226" s="1"/>
      <c r="AB226" s="1"/>
      <c r="AD226" s="1"/>
      <c r="AF226" s="1"/>
    </row>
    <row r="227" spans="6:32" ht="15.75" customHeight="1">
      <c r="F227" s="117"/>
      <c r="G227" s="117"/>
      <c r="I227" s="117"/>
      <c r="J227" s="117"/>
      <c r="R227" s="1"/>
      <c r="Z227" s="1"/>
      <c r="AB227" s="1"/>
      <c r="AD227" s="1"/>
      <c r="AF227" s="1"/>
    </row>
    <row r="228" spans="6:32" ht="15.75" customHeight="1">
      <c r="F228" s="117"/>
      <c r="G228" s="117"/>
      <c r="I228" s="117"/>
      <c r="J228" s="117"/>
      <c r="R228" s="1"/>
      <c r="Z228" s="1"/>
      <c r="AB228" s="1"/>
      <c r="AD228" s="1"/>
      <c r="AF228" s="1"/>
    </row>
    <row r="229" spans="6:32" ht="15.75" customHeight="1">
      <c r="F229" s="117"/>
      <c r="G229" s="117"/>
      <c r="I229" s="117"/>
      <c r="J229" s="117"/>
      <c r="R229" s="1"/>
      <c r="Z229" s="1"/>
      <c r="AB229" s="1"/>
      <c r="AD229" s="1"/>
      <c r="AF229" s="1"/>
    </row>
    <row r="230" spans="6:32" ht="15.75" customHeight="1"/>
    <row r="231" spans="6:32" ht="15.75" customHeight="1"/>
    <row r="232" spans="6:32" ht="15.75" customHeight="1"/>
    <row r="233" spans="6:32" ht="15.75" customHeight="1"/>
    <row r="234" spans="6:32" ht="15.75" customHeight="1"/>
    <row r="235" spans="6:32" ht="15.75" customHeight="1"/>
    <row r="236" spans="6:32" ht="15.75" customHeight="1"/>
    <row r="237" spans="6:32" ht="15.75" customHeight="1"/>
    <row r="238" spans="6:32" ht="15.75" customHeight="1"/>
    <row r="239" spans="6:32" ht="15.75" customHeight="1"/>
    <row r="240" spans="6:3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N999" xr:uid="{00000000-0009-0000-0000-000001000000}"/>
  <customSheetViews>
    <customSheetView guid="{24D4D396-21AC-4EB4-AF6A-EAB2B85EFD7D}" filter="1" showAutoFilter="1">
      <pageMargins left="0.7" right="0.7" top="0.75" bottom="0.75" header="0.3" footer="0.3"/>
      <autoFilter ref="A1:AK29" xr:uid="{4CD959F1-2534-43E1-80A8-36565CFF9D49}"/>
      <extLst>
        <ext uri="GoogleSheetsCustomDataVersion1">
          <go:sheetsCustomData xmlns:go="http://customooxmlschemas.google.com/" filterViewId="1447031304"/>
        </ext>
      </extLst>
    </customSheetView>
    <customSheetView guid="{EEB4BCB7-F6B5-44EC-A240-E5AA117E3DF6}" filter="1" showAutoFilter="1">
      <pageMargins left="0.7" right="0.7" top="0.75" bottom="0.75" header="0.3" footer="0.3"/>
      <autoFilter ref="A1:AK29" xr:uid="{B52F2508-824D-4445-B57A-802CAF1FE807}"/>
      <extLst>
        <ext uri="GoogleSheetsCustomDataVersion1">
          <go:sheetsCustomData xmlns:go="http://customooxmlschemas.google.com/" filterViewId="2113516645"/>
        </ext>
      </extLst>
    </customSheetView>
  </customSheetViews>
  <conditionalFormatting sqref="AM1 AO1 AN12">
    <cfRule type="colorScale" priority="1">
      <colorScale>
        <cfvo type="min"/>
        <cfvo type="max"/>
        <color rgb="FFFFFFFF"/>
        <color rgb="FF57BB8A"/>
      </colorScale>
    </cfRule>
    <cfRule type="containsBlanks" dxfId="1" priority="2">
      <formula>LEN(TRIM(AM1))=0</formula>
    </cfRule>
    <cfRule type="expression" dxfId="0" priority="3">
      <formula>"ยังไม่่หมด"</formula>
    </cfRule>
  </conditionalFormatting>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Choice_Data!$C$1:$C$18</xm:f>
          </x14:formula1>
          <xm:sqref>J2:J5 J7:J18 J20:J229</xm:sqref>
        </x14:dataValidation>
        <x14:dataValidation type="list" allowBlank="1" showErrorMessage="1" xr:uid="{00000000-0002-0000-0100-000001000000}">
          <x14:formula1>
            <xm:f>Choice_Data!$D$1:$D$3</xm:f>
          </x14:formula1>
          <xm:sqref>AF2:AF11 AF13:AF23 R2:R229 Z2:Z229 AB2:AB229 AD2:AD229 AF25:AF229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sheetViews>
  <sheetFormatPr defaultColWidth="12.59765625" defaultRowHeight="15" customHeight="1"/>
  <cols>
    <col min="1" max="1" width="12.59765625" customWidth="1"/>
    <col min="2" max="2" width="11" customWidth="1"/>
    <col min="3" max="4" width="19.3984375" customWidth="1"/>
    <col min="5" max="5" width="18.09765625" customWidth="1"/>
    <col min="6" max="8" width="15.69921875" customWidth="1"/>
    <col min="9" max="9" width="12" customWidth="1"/>
    <col min="10" max="10" width="13.09765625" customWidth="1"/>
    <col min="11" max="11" width="13.8984375" customWidth="1"/>
    <col min="12" max="12" width="26.09765625" customWidth="1"/>
    <col min="13" max="13" width="15.3984375" customWidth="1"/>
    <col min="14" max="14" width="13.8984375" customWidth="1"/>
    <col min="15" max="15" width="12" customWidth="1"/>
    <col min="16" max="16" width="18.8984375" customWidth="1"/>
    <col min="17" max="19" width="12" customWidth="1"/>
    <col min="20" max="20" width="14.59765625" customWidth="1"/>
    <col min="21" max="21" width="12.3984375" customWidth="1"/>
    <col min="22" max="22" width="14.3984375" customWidth="1"/>
    <col min="23" max="23" width="12.3984375" customWidth="1"/>
    <col min="24" max="25" width="8.69921875" customWidth="1"/>
    <col min="26" max="26" width="14.3984375" customWidth="1"/>
  </cols>
  <sheetData>
    <row r="1" spans="1:25" ht="129.6">
      <c r="A1" s="5" t="s">
        <v>10</v>
      </c>
      <c r="B1" s="5" t="s">
        <v>13</v>
      </c>
      <c r="C1" s="5" t="s">
        <v>15</v>
      </c>
      <c r="D1" s="5" t="s">
        <v>18</v>
      </c>
      <c r="E1" s="8" t="s">
        <v>25</v>
      </c>
      <c r="F1" s="9" t="s">
        <v>28</v>
      </c>
      <c r="G1" s="5" t="s">
        <v>31</v>
      </c>
      <c r="H1" s="5" t="s">
        <v>34</v>
      </c>
      <c r="I1" s="9" t="s">
        <v>36</v>
      </c>
      <c r="J1" s="12" t="s">
        <v>37</v>
      </c>
      <c r="K1" s="14" t="s">
        <v>38</v>
      </c>
      <c r="L1" s="5" t="s">
        <v>40</v>
      </c>
      <c r="M1" s="5" t="s">
        <v>42</v>
      </c>
      <c r="N1" s="5" t="s">
        <v>45</v>
      </c>
      <c r="O1" s="5" t="s">
        <v>47</v>
      </c>
      <c r="P1" s="5" t="s">
        <v>51</v>
      </c>
      <c r="Q1" s="5" t="s">
        <v>53</v>
      </c>
      <c r="R1" s="5" t="s">
        <v>56</v>
      </c>
      <c r="S1" s="5" t="s">
        <v>58</v>
      </c>
      <c r="T1" s="5" t="s">
        <v>60</v>
      </c>
      <c r="U1" s="12" t="s">
        <v>63</v>
      </c>
      <c r="V1" s="5" t="s">
        <v>66</v>
      </c>
      <c r="W1" s="5" t="s">
        <v>70</v>
      </c>
      <c r="X1" s="5" t="s">
        <v>76</v>
      </c>
      <c r="Y1" s="5" t="s">
        <v>85</v>
      </c>
    </row>
    <row r="2" spans="1:25" ht="14.4">
      <c r="A2" s="1"/>
      <c r="B2" s="1"/>
      <c r="C2" s="1"/>
      <c r="D2" s="1"/>
      <c r="E2" s="16"/>
      <c r="F2" s="17"/>
      <c r="G2" s="1"/>
      <c r="H2" s="16"/>
      <c r="I2" s="17"/>
      <c r="J2" s="18"/>
      <c r="K2" s="19"/>
      <c r="L2" s="17"/>
      <c r="M2" s="17"/>
      <c r="N2" s="17"/>
      <c r="O2" s="1"/>
      <c r="P2" s="17"/>
      <c r="Q2" s="17"/>
      <c r="R2" s="17"/>
      <c r="S2" s="17"/>
      <c r="T2" s="17"/>
      <c r="U2" s="18"/>
      <c r="V2" s="1"/>
      <c r="W2" s="1"/>
      <c r="X2" s="1"/>
      <c r="Y2" s="1"/>
    </row>
    <row r="3" spans="1:25" ht="14.4">
      <c r="A3" s="1"/>
      <c r="B3" s="1"/>
      <c r="C3" s="1"/>
      <c r="D3" s="1"/>
      <c r="E3" s="16"/>
      <c r="F3" s="17"/>
      <c r="G3" s="1"/>
      <c r="H3" s="16"/>
      <c r="I3" s="17"/>
      <c r="J3" s="18"/>
      <c r="K3" s="19"/>
      <c r="L3" s="17"/>
      <c r="M3" s="17"/>
      <c r="N3" s="17"/>
      <c r="O3" s="1"/>
      <c r="P3" s="17"/>
      <c r="Q3" s="17"/>
      <c r="R3" s="17"/>
      <c r="S3" s="17"/>
      <c r="T3" s="17"/>
      <c r="U3" s="18"/>
      <c r="V3" s="1"/>
      <c r="W3" s="1"/>
      <c r="X3" s="1"/>
      <c r="Y3" s="1"/>
    </row>
    <row r="4" spans="1:25" ht="14.4">
      <c r="A4" s="1"/>
      <c r="B4" s="1"/>
      <c r="C4" s="1"/>
      <c r="D4" s="1"/>
      <c r="E4" s="16"/>
      <c r="F4" s="17"/>
      <c r="G4" s="1"/>
      <c r="H4" s="16"/>
      <c r="I4" s="17"/>
      <c r="J4" s="18"/>
      <c r="K4" s="19"/>
      <c r="L4" s="17"/>
      <c r="M4" s="17"/>
      <c r="N4" s="17"/>
      <c r="O4" s="1"/>
      <c r="P4" s="17"/>
      <c r="Q4" s="17"/>
      <c r="R4" s="17"/>
      <c r="S4" s="17"/>
      <c r="T4" s="17"/>
      <c r="U4" s="18"/>
      <c r="V4" s="1"/>
      <c r="W4" s="1"/>
      <c r="X4" s="1"/>
      <c r="Y4" s="1"/>
    </row>
    <row r="5" spans="1:25" ht="14.4">
      <c r="A5" s="1"/>
      <c r="B5" s="1"/>
      <c r="C5" s="1"/>
      <c r="D5" s="1"/>
      <c r="E5" s="16"/>
      <c r="F5" s="17"/>
      <c r="G5" s="1"/>
      <c r="H5" s="16"/>
      <c r="I5" s="17"/>
      <c r="J5" s="18"/>
      <c r="K5" s="19"/>
      <c r="L5" s="17"/>
      <c r="M5" s="17"/>
      <c r="N5" s="17"/>
      <c r="O5" s="1"/>
      <c r="P5" s="17"/>
      <c r="Q5" s="17"/>
      <c r="R5" s="17"/>
      <c r="S5" s="17"/>
      <c r="T5" s="17"/>
      <c r="U5" s="18"/>
      <c r="V5" s="1"/>
      <c r="W5" s="1"/>
      <c r="X5" s="1"/>
      <c r="Y5" s="1"/>
    </row>
    <row r="6" spans="1:25" ht="14.4">
      <c r="A6" s="1"/>
      <c r="B6" s="1"/>
      <c r="C6" s="1"/>
      <c r="D6" s="1"/>
      <c r="E6" s="16"/>
      <c r="F6" s="17"/>
      <c r="G6" s="1"/>
      <c r="H6" s="16"/>
      <c r="I6" s="17"/>
      <c r="J6" s="18"/>
      <c r="K6" s="19"/>
      <c r="L6" s="17"/>
      <c r="M6" s="17"/>
      <c r="N6" s="17"/>
      <c r="O6" s="1"/>
      <c r="P6" s="17"/>
      <c r="Q6" s="17"/>
      <c r="R6" s="17"/>
      <c r="S6" s="17"/>
      <c r="T6" s="17"/>
      <c r="U6" s="18"/>
      <c r="V6" s="1"/>
      <c r="W6" s="1"/>
      <c r="X6" s="1"/>
      <c r="Y6" s="1"/>
    </row>
    <row r="7" spans="1:25" ht="14.4">
      <c r="A7" s="1"/>
      <c r="B7" s="1"/>
      <c r="C7" s="1"/>
      <c r="D7" s="1"/>
      <c r="E7" s="16"/>
      <c r="F7" s="17"/>
      <c r="G7" s="1"/>
      <c r="H7" s="16"/>
      <c r="I7" s="17"/>
      <c r="J7" s="18"/>
      <c r="K7" s="19"/>
      <c r="L7" s="17"/>
      <c r="M7" s="17"/>
      <c r="N7" s="17"/>
      <c r="O7" s="1"/>
      <c r="P7" s="17"/>
      <c r="Q7" s="17"/>
      <c r="R7" s="17"/>
      <c r="S7" s="17"/>
      <c r="T7" s="17"/>
      <c r="U7" s="18"/>
      <c r="V7" s="1"/>
      <c r="W7" s="1"/>
      <c r="X7" s="1"/>
      <c r="Y7" s="1"/>
    </row>
    <row r="8" spans="1:25" ht="14.4">
      <c r="A8" s="1"/>
      <c r="B8" s="1"/>
      <c r="C8" s="1"/>
      <c r="D8" s="1"/>
      <c r="E8" s="16"/>
      <c r="F8" s="17"/>
      <c r="G8" s="1"/>
      <c r="H8" s="16"/>
      <c r="I8" s="17"/>
      <c r="J8" s="18"/>
      <c r="K8" s="19"/>
      <c r="L8" s="17"/>
      <c r="M8" s="17"/>
      <c r="N8" s="17"/>
      <c r="O8" s="1"/>
      <c r="P8" s="17"/>
      <c r="Q8" s="17"/>
      <c r="R8" s="17"/>
      <c r="S8" s="17"/>
      <c r="T8" s="17"/>
      <c r="U8" s="18"/>
      <c r="V8" s="1"/>
      <c r="W8" s="1"/>
      <c r="X8" s="1"/>
      <c r="Y8" s="1"/>
    </row>
    <row r="9" spans="1:25" ht="14.4">
      <c r="A9" s="1"/>
      <c r="B9" s="1"/>
      <c r="C9" s="1"/>
      <c r="D9" s="1"/>
      <c r="E9" s="16"/>
      <c r="F9" s="17"/>
      <c r="G9" s="1"/>
      <c r="H9" s="16"/>
      <c r="I9" s="17"/>
      <c r="J9" s="18"/>
      <c r="K9" s="19"/>
      <c r="L9" s="17"/>
      <c r="M9" s="17"/>
      <c r="N9" s="17"/>
      <c r="O9" s="1"/>
      <c r="P9" s="17"/>
      <c r="Q9" s="17"/>
      <c r="R9" s="17"/>
      <c r="S9" s="17"/>
      <c r="T9" s="17"/>
      <c r="U9" s="18"/>
      <c r="V9" s="1"/>
      <c r="W9" s="1"/>
      <c r="X9" s="1"/>
      <c r="Y9" s="1"/>
    </row>
    <row r="10" spans="1:25" ht="14.4">
      <c r="A10" s="1"/>
      <c r="B10" s="1"/>
      <c r="C10" s="1"/>
      <c r="D10" s="1"/>
      <c r="E10" s="16"/>
      <c r="F10" s="17"/>
      <c r="G10" s="1"/>
      <c r="H10" s="16"/>
      <c r="I10" s="17"/>
      <c r="J10" s="18"/>
      <c r="K10" s="19"/>
      <c r="L10" s="17"/>
      <c r="M10" s="17"/>
      <c r="N10" s="17"/>
      <c r="O10" s="1"/>
      <c r="P10" s="17"/>
      <c r="Q10" s="17"/>
      <c r="R10" s="17"/>
      <c r="S10" s="17"/>
      <c r="T10" s="17"/>
      <c r="U10" s="18"/>
      <c r="V10" s="1"/>
      <c r="W10" s="1"/>
      <c r="X10" s="1"/>
      <c r="Y10" s="1"/>
    </row>
    <row r="11" spans="1:25" ht="14.4">
      <c r="A11" s="1"/>
      <c r="B11" s="1"/>
      <c r="C11" s="1"/>
      <c r="D11" s="1"/>
      <c r="E11" s="16"/>
      <c r="F11" s="17"/>
      <c r="G11" s="1"/>
      <c r="H11" s="16"/>
      <c r="I11" s="17"/>
      <c r="J11" s="18"/>
      <c r="K11" s="19"/>
      <c r="L11" s="17"/>
      <c r="M11" s="17"/>
      <c r="N11" s="17"/>
      <c r="O11" s="1"/>
      <c r="P11" s="17"/>
      <c r="Q11" s="17"/>
      <c r="R11" s="17"/>
      <c r="S11" s="17"/>
      <c r="T11" s="17"/>
      <c r="U11" s="18"/>
      <c r="V11" s="1"/>
      <c r="W11" s="1"/>
      <c r="X11" s="1"/>
      <c r="Y11" s="1"/>
    </row>
    <row r="12" spans="1:25" ht="14.4">
      <c r="A12" s="1"/>
      <c r="B12" s="1"/>
      <c r="C12" s="1"/>
      <c r="D12" s="1"/>
      <c r="E12" s="16"/>
      <c r="F12" s="17"/>
      <c r="G12" s="1"/>
      <c r="H12" s="16"/>
      <c r="I12" s="17"/>
      <c r="J12" s="18"/>
      <c r="K12" s="19"/>
      <c r="L12" s="17"/>
      <c r="M12" s="17"/>
      <c r="N12" s="17"/>
      <c r="O12" s="1"/>
      <c r="P12" s="17"/>
      <c r="Q12" s="17"/>
      <c r="R12" s="17"/>
      <c r="S12" s="17"/>
      <c r="T12" s="17"/>
      <c r="U12" s="18"/>
      <c r="V12" s="1"/>
      <c r="W12" s="1"/>
      <c r="X12" s="1"/>
      <c r="Y12" s="1"/>
    </row>
    <row r="13" spans="1:25" ht="14.4">
      <c r="A13" s="1"/>
      <c r="B13" s="1"/>
      <c r="C13" s="1"/>
      <c r="D13" s="1"/>
      <c r="E13" s="16"/>
      <c r="F13" s="17"/>
      <c r="G13" s="1"/>
      <c r="H13" s="16"/>
      <c r="I13" s="17"/>
      <c r="J13" s="18"/>
      <c r="K13" s="19"/>
      <c r="L13" s="17"/>
      <c r="M13" s="17"/>
      <c r="N13" s="17"/>
      <c r="O13" s="1"/>
      <c r="P13" s="17"/>
      <c r="Q13" s="17"/>
      <c r="R13" s="17"/>
      <c r="S13" s="17"/>
      <c r="T13" s="17"/>
      <c r="U13" s="18"/>
      <c r="V13" s="1"/>
      <c r="W13" s="1"/>
      <c r="X13" s="1"/>
      <c r="Y13" s="1"/>
    </row>
    <row r="14" spans="1:25" ht="14.4">
      <c r="A14" s="1"/>
      <c r="B14" s="1"/>
      <c r="C14" s="1"/>
      <c r="D14" s="1"/>
      <c r="E14" s="16"/>
      <c r="F14" s="17"/>
      <c r="G14" s="1"/>
      <c r="H14" s="16"/>
      <c r="I14" s="17"/>
      <c r="J14" s="18"/>
      <c r="K14" s="19"/>
      <c r="L14" s="17"/>
      <c r="M14" s="17"/>
      <c r="N14" s="17"/>
      <c r="O14" s="1"/>
      <c r="P14" s="17"/>
      <c r="Q14" s="17"/>
      <c r="R14" s="17"/>
      <c r="S14" s="17"/>
      <c r="T14" s="17"/>
      <c r="U14" s="18"/>
      <c r="V14" s="1"/>
      <c r="W14" s="1"/>
      <c r="X14" s="1"/>
      <c r="Y14" s="1"/>
    </row>
    <row r="15" spans="1:25" ht="14.4">
      <c r="A15" s="1"/>
      <c r="B15" s="1"/>
      <c r="C15" s="1"/>
      <c r="D15" s="1"/>
      <c r="E15" s="16"/>
      <c r="F15" s="17"/>
      <c r="G15" s="1"/>
      <c r="H15" s="16"/>
      <c r="I15" s="17"/>
      <c r="J15" s="18"/>
      <c r="K15" s="19"/>
      <c r="L15" s="17"/>
      <c r="M15" s="17"/>
      <c r="N15" s="17"/>
      <c r="O15" s="1"/>
      <c r="P15" s="17"/>
      <c r="Q15" s="17"/>
      <c r="R15" s="17"/>
      <c r="S15" s="17"/>
      <c r="T15" s="17"/>
      <c r="U15" s="18"/>
      <c r="V15" s="1"/>
      <c r="W15" s="1"/>
      <c r="X15" s="1"/>
      <c r="Y15" s="1"/>
    </row>
    <row r="16" spans="1:25" ht="14.4">
      <c r="A16" s="1"/>
      <c r="B16" s="1"/>
      <c r="C16" s="1"/>
      <c r="D16" s="1"/>
      <c r="E16" s="16"/>
      <c r="F16" s="17"/>
      <c r="G16" s="1"/>
      <c r="H16" s="16"/>
      <c r="I16" s="17"/>
      <c r="J16" s="18"/>
      <c r="K16" s="19"/>
      <c r="L16" s="17"/>
      <c r="M16" s="17"/>
      <c r="N16" s="17"/>
      <c r="O16" s="1"/>
      <c r="P16" s="17"/>
      <c r="Q16" s="17"/>
      <c r="R16" s="17"/>
      <c r="S16" s="17"/>
      <c r="T16" s="17"/>
      <c r="U16" s="18"/>
      <c r="V16" s="1"/>
      <c r="W16" s="1"/>
      <c r="X16" s="1"/>
      <c r="Y16" s="1"/>
    </row>
    <row r="17" spans="1:25" ht="14.4">
      <c r="A17" s="1"/>
      <c r="B17" s="1"/>
      <c r="C17" s="1"/>
      <c r="D17" s="1"/>
      <c r="E17" s="16"/>
      <c r="F17" s="17"/>
      <c r="G17" s="1"/>
      <c r="H17" s="16"/>
      <c r="I17" s="17"/>
      <c r="J17" s="18"/>
      <c r="K17" s="19"/>
      <c r="L17" s="17"/>
      <c r="M17" s="17"/>
      <c r="N17" s="17"/>
      <c r="O17" s="1"/>
      <c r="P17" s="17"/>
      <c r="Q17" s="17"/>
      <c r="R17" s="17"/>
      <c r="S17" s="17"/>
      <c r="T17" s="17"/>
      <c r="U17" s="18"/>
      <c r="V17" s="1"/>
      <c r="W17" s="1"/>
      <c r="X17" s="1"/>
      <c r="Y17" s="1"/>
    </row>
    <row r="18" spans="1:25" ht="14.4">
      <c r="A18" s="1"/>
      <c r="B18" s="1"/>
      <c r="C18" s="1"/>
      <c r="D18" s="1"/>
      <c r="E18" s="16"/>
      <c r="F18" s="17"/>
      <c r="G18" s="1"/>
      <c r="H18" s="16"/>
      <c r="I18" s="17"/>
      <c r="J18" s="18"/>
      <c r="K18" s="19"/>
      <c r="L18" s="17"/>
      <c r="M18" s="17"/>
      <c r="N18" s="17"/>
      <c r="O18" s="1"/>
      <c r="P18" s="17"/>
      <c r="Q18" s="17"/>
      <c r="R18" s="17"/>
      <c r="S18" s="17"/>
      <c r="T18" s="17"/>
      <c r="U18" s="18"/>
      <c r="V18" s="1"/>
      <c r="W18" s="1"/>
      <c r="X18" s="1"/>
      <c r="Y18" s="1"/>
    </row>
    <row r="19" spans="1:25" ht="14.4">
      <c r="A19" s="1"/>
      <c r="B19" s="1"/>
      <c r="C19" s="1"/>
      <c r="D19" s="1"/>
      <c r="E19" s="16"/>
      <c r="F19" s="17"/>
      <c r="G19" s="1"/>
      <c r="H19" s="16"/>
      <c r="I19" s="17"/>
      <c r="J19" s="18"/>
      <c r="K19" s="19"/>
      <c r="L19" s="17"/>
      <c r="M19" s="17"/>
      <c r="N19" s="17"/>
      <c r="O19" s="1"/>
      <c r="P19" s="17"/>
      <c r="Q19" s="17"/>
      <c r="R19" s="17"/>
      <c r="S19" s="17"/>
      <c r="T19" s="17"/>
      <c r="U19" s="18"/>
      <c r="V19" s="1"/>
      <c r="W19" s="1"/>
      <c r="X19" s="1"/>
      <c r="Y19" s="1"/>
    </row>
    <row r="20" spans="1:25" ht="14.4">
      <c r="A20" s="1"/>
      <c r="B20" s="1"/>
      <c r="C20" s="1"/>
      <c r="D20" s="1"/>
      <c r="E20" s="16"/>
      <c r="F20" s="17"/>
      <c r="G20" s="1"/>
      <c r="H20" s="16"/>
      <c r="I20" s="17"/>
      <c r="J20" s="18"/>
      <c r="K20" s="19"/>
      <c r="L20" s="17"/>
      <c r="M20" s="17"/>
      <c r="N20" s="17"/>
      <c r="O20" s="1"/>
      <c r="P20" s="17"/>
      <c r="Q20" s="17"/>
      <c r="R20" s="17"/>
      <c r="S20" s="17"/>
      <c r="T20" s="17"/>
      <c r="U20" s="18"/>
      <c r="V20" s="1"/>
      <c r="W20" s="1"/>
      <c r="X20" s="1"/>
      <c r="Y20" s="1"/>
    </row>
    <row r="21" spans="1:25" ht="15.75" customHeight="1">
      <c r="A21" s="1"/>
      <c r="B21" s="1"/>
      <c r="C21" s="1"/>
      <c r="D21" s="1"/>
      <c r="E21" s="16"/>
      <c r="F21" s="17"/>
      <c r="G21" s="1"/>
      <c r="H21" s="16"/>
      <c r="I21" s="17"/>
      <c r="J21" s="18"/>
      <c r="K21" s="19"/>
      <c r="L21" s="17"/>
      <c r="M21" s="17"/>
      <c r="N21" s="17"/>
      <c r="O21" s="1"/>
      <c r="P21" s="17"/>
      <c r="Q21" s="17"/>
      <c r="R21" s="17"/>
      <c r="S21" s="17"/>
      <c r="T21" s="17"/>
      <c r="U21" s="18"/>
      <c r="V21" s="1"/>
      <c r="W21" s="1"/>
      <c r="X21" s="1"/>
      <c r="Y21" s="1"/>
    </row>
    <row r="22" spans="1:25" ht="15.75" customHeight="1">
      <c r="A22" s="1"/>
      <c r="B22" s="1"/>
      <c r="C22" s="1"/>
      <c r="D22" s="1"/>
      <c r="E22" s="16"/>
      <c r="F22" s="17"/>
      <c r="G22" s="1"/>
      <c r="H22" s="16"/>
      <c r="I22" s="17"/>
      <c r="J22" s="18"/>
      <c r="K22" s="19"/>
      <c r="L22" s="17"/>
      <c r="M22" s="17"/>
      <c r="N22" s="17"/>
      <c r="O22" s="1"/>
      <c r="P22" s="17"/>
      <c r="Q22" s="17"/>
      <c r="R22" s="17"/>
      <c r="S22" s="17"/>
      <c r="T22" s="17"/>
      <c r="U22" s="18"/>
      <c r="V22" s="1"/>
      <c r="W22" s="1"/>
      <c r="X22" s="1"/>
      <c r="Y22" s="1"/>
    </row>
    <row r="23" spans="1:25" ht="15.75" customHeight="1">
      <c r="A23" s="1"/>
      <c r="B23" s="1"/>
      <c r="C23" s="1"/>
      <c r="D23" s="1"/>
      <c r="E23" s="16"/>
      <c r="F23" s="17"/>
      <c r="G23" s="1"/>
      <c r="H23" s="16"/>
      <c r="I23" s="17"/>
      <c r="J23" s="18"/>
      <c r="K23" s="19"/>
      <c r="L23" s="17"/>
      <c r="M23" s="17"/>
      <c r="N23" s="17"/>
      <c r="O23" s="1"/>
      <c r="P23" s="17"/>
      <c r="Q23" s="17"/>
      <c r="R23" s="17"/>
      <c r="S23" s="17"/>
      <c r="T23" s="17"/>
      <c r="U23" s="18"/>
      <c r="V23" s="1"/>
      <c r="W23" s="1"/>
      <c r="X23" s="1"/>
      <c r="Y23" s="1"/>
    </row>
    <row r="24" spans="1:25" ht="15.75" customHeight="1">
      <c r="A24" s="1"/>
      <c r="B24" s="1"/>
      <c r="C24" s="1"/>
      <c r="D24" s="1"/>
      <c r="E24" s="16"/>
      <c r="F24" s="17"/>
      <c r="G24" s="1"/>
      <c r="H24" s="16"/>
      <c r="I24" s="17"/>
      <c r="J24" s="18"/>
      <c r="K24" s="19"/>
      <c r="L24" s="17"/>
      <c r="M24" s="17"/>
      <c r="N24" s="17"/>
      <c r="O24" s="1"/>
      <c r="P24" s="17"/>
      <c r="Q24" s="17"/>
      <c r="R24" s="17"/>
      <c r="S24" s="17"/>
      <c r="T24" s="17"/>
      <c r="U24" s="18"/>
      <c r="V24" s="1"/>
      <c r="W24" s="1"/>
      <c r="X24" s="1"/>
      <c r="Y24" s="1"/>
    </row>
    <row r="25" spans="1:25" ht="15.75" customHeight="1">
      <c r="A25" s="1"/>
      <c r="B25" s="1"/>
      <c r="C25" s="1"/>
      <c r="D25" s="1"/>
      <c r="E25" s="16"/>
      <c r="F25" s="17"/>
      <c r="G25" s="1"/>
      <c r="H25" s="16"/>
      <c r="I25" s="17"/>
      <c r="J25" s="18"/>
      <c r="K25" s="19"/>
      <c r="L25" s="17"/>
      <c r="M25" s="17"/>
      <c r="N25" s="17"/>
      <c r="O25" s="1"/>
      <c r="P25" s="17"/>
      <c r="Q25" s="17"/>
      <c r="R25" s="17"/>
      <c r="S25" s="17"/>
      <c r="T25" s="17"/>
      <c r="U25" s="18"/>
      <c r="V25" s="1"/>
      <c r="W25" s="1"/>
      <c r="X25" s="1"/>
      <c r="Y25" s="1"/>
    </row>
    <row r="26" spans="1:25" ht="15.75" customHeight="1">
      <c r="A26" s="1"/>
      <c r="B26" s="1"/>
      <c r="C26" s="1"/>
      <c r="D26" s="1"/>
      <c r="E26" s="16"/>
      <c r="F26" s="17"/>
      <c r="G26" s="1"/>
      <c r="H26" s="16"/>
      <c r="I26" s="17"/>
      <c r="J26" s="18"/>
      <c r="K26" s="19"/>
      <c r="L26" s="17"/>
      <c r="M26" s="17"/>
      <c r="N26" s="17"/>
      <c r="O26" s="1"/>
      <c r="P26" s="17"/>
      <c r="Q26" s="17"/>
      <c r="R26" s="17"/>
      <c r="S26" s="17"/>
      <c r="T26" s="17"/>
      <c r="U26" s="18"/>
      <c r="V26" s="1"/>
      <c r="W26" s="1"/>
      <c r="X26" s="1"/>
      <c r="Y26" s="1"/>
    </row>
    <row r="27" spans="1:25" ht="15.75" customHeight="1">
      <c r="A27" s="1"/>
      <c r="B27" s="1"/>
      <c r="C27" s="1"/>
      <c r="D27" s="1"/>
      <c r="E27" s="16"/>
      <c r="F27" s="17"/>
      <c r="G27" s="1"/>
      <c r="H27" s="16"/>
      <c r="I27" s="17"/>
      <c r="J27" s="18"/>
      <c r="K27" s="19"/>
      <c r="L27" s="17"/>
      <c r="M27" s="17"/>
      <c r="N27" s="17"/>
      <c r="O27" s="1"/>
      <c r="P27" s="17"/>
      <c r="Q27" s="17"/>
      <c r="R27" s="17"/>
      <c r="S27" s="17"/>
      <c r="T27" s="17"/>
      <c r="U27" s="18"/>
      <c r="V27" s="1"/>
      <c r="W27" s="1"/>
      <c r="X27" s="1"/>
      <c r="Y27" s="1"/>
    </row>
    <row r="28" spans="1:25" ht="15.75" customHeight="1">
      <c r="A28" s="1"/>
      <c r="B28" s="1"/>
      <c r="C28" s="1"/>
      <c r="D28" s="1"/>
      <c r="E28" s="16"/>
      <c r="F28" s="17"/>
      <c r="G28" s="1"/>
      <c r="H28" s="16"/>
      <c r="I28" s="17"/>
      <c r="J28" s="18"/>
      <c r="K28" s="19"/>
      <c r="L28" s="17"/>
      <c r="M28" s="17"/>
      <c r="N28" s="17"/>
      <c r="O28" s="1"/>
      <c r="P28" s="17"/>
      <c r="Q28" s="17"/>
      <c r="R28" s="17"/>
      <c r="S28" s="17"/>
      <c r="T28" s="17"/>
      <c r="U28" s="18"/>
      <c r="V28" s="1"/>
      <c r="W28" s="1"/>
      <c r="X28" s="1"/>
      <c r="Y28" s="1"/>
    </row>
    <row r="29" spans="1:25" ht="15.75" customHeight="1">
      <c r="A29" s="1"/>
      <c r="B29" s="1"/>
      <c r="C29" s="1"/>
      <c r="D29" s="1"/>
      <c r="E29" s="16"/>
      <c r="F29" s="17"/>
      <c r="G29" s="1"/>
      <c r="H29" s="16"/>
      <c r="I29" s="17"/>
      <c r="J29" s="18"/>
      <c r="K29" s="19"/>
      <c r="L29" s="17"/>
      <c r="M29" s="17"/>
      <c r="N29" s="17"/>
      <c r="O29" s="1"/>
      <c r="P29" s="17"/>
      <c r="Q29" s="17"/>
      <c r="R29" s="17"/>
      <c r="S29" s="17"/>
      <c r="T29" s="17"/>
      <c r="U29" s="18"/>
      <c r="V29" s="1"/>
      <c r="W29" s="1"/>
      <c r="X29" s="1"/>
      <c r="Y29" s="1"/>
    </row>
    <row r="30" spans="1:25" ht="15.75" customHeight="1">
      <c r="A30" s="1"/>
      <c r="B30" s="1"/>
      <c r="C30" s="1"/>
      <c r="D30" s="1"/>
      <c r="E30" s="16"/>
      <c r="F30" s="17"/>
      <c r="G30" s="1"/>
      <c r="H30" s="16"/>
      <c r="I30" s="17"/>
      <c r="J30" s="18"/>
      <c r="K30" s="19"/>
      <c r="L30" s="17"/>
      <c r="M30" s="17"/>
      <c r="N30" s="17"/>
      <c r="O30" s="1"/>
      <c r="P30" s="17"/>
      <c r="Q30" s="17"/>
      <c r="R30" s="17"/>
      <c r="S30" s="17"/>
      <c r="T30" s="17"/>
      <c r="U30" s="18"/>
      <c r="V30" s="1"/>
      <c r="W30" s="1"/>
      <c r="X30" s="1"/>
      <c r="Y30" s="1"/>
    </row>
    <row r="31" spans="1:25" ht="15.75" customHeight="1">
      <c r="A31" s="1"/>
      <c r="B31" s="1"/>
      <c r="C31" s="1"/>
      <c r="D31" s="1"/>
      <c r="E31" s="16"/>
      <c r="F31" s="17"/>
      <c r="G31" s="1"/>
      <c r="H31" s="16"/>
      <c r="I31" s="17"/>
      <c r="J31" s="18"/>
      <c r="K31" s="19"/>
      <c r="L31" s="17"/>
      <c r="M31" s="17"/>
      <c r="N31" s="17"/>
      <c r="O31" s="1"/>
      <c r="P31" s="17"/>
      <c r="Q31" s="17"/>
      <c r="R31" s="17"/>
      <c r="S31" s="17"/>
      <c r="T31" s="17"/>
      <c r="U31" s="18"/>
      <c r="V31" s="1"/>
      <c r="W31" s="1"/>
      <c r="X31" s="1"/>
      <c r="Y31" s="1"/>
    </row>
    <row r="32" spans="1:25" ht="15.75" customHeight="1">
      <c r="A32" s="1"/>
      <c r="B32" s="1"/>
      <c r="C32" s="1"/>
      <c r="D32" s="1"/>
      <c r="E32" s="16"/>
      <c r="F32" s="17"/>
      <c r="G32" s="1"/>
      <c r="H32" s="16"/>
      <c r="I32" s="17"/>
      <c r="J32" s="18"/>
      <c r="K32" s="19"/>
      <c r="L32" s="17"/>
      <c r="M32" s="17"/>
      <c r="N32" s="17"/>
      <c r="O32" s="1"/>
      <c r="P32" s="17"/>
      <c r="Q32" s="17"/>
      <c r="R32" s="17"/>
      <c r="S32" s="17"/>
      <c r="T32" s="17"/>
      <c r="U32" s="18"/>
      <c r="V32" s="1"/>
      <c r="W32" s="1"/>
      <c r="X32" s="1"/>
      <c r="Y32" s="1"/>
    </row>
    <row r="33" spans="1:25" ht="15.75" customHeight="1">
      <c r="A33" s="1"/>
      <c r="B33" s="1"/>
      <c r="C33" s="1"/>
      <c r="D33" s="1"/>
      <c r="E33" s="16"/>
      <c r="F33" s="17"/>
      <c r="G33" s="1"/>
      <c r="H33" s="16"/>
      <c r="I33" s="17"/>
      <c r="J33" s="18"/>
      <c r="K33" s="19"/>
      <c r="L33" s="17"/>
      <c r="M33" s="17"/>
      <c r="N33" s="17"/>
      <c r="O33" s="1"/>
      <c r="P33" s="17"/>
      <c r="Q33" s="17"/>
      <c r="R33" s="17"/>
      <c r="S33" s="17"/>
      <c r="T33" s="17"/>
      <c r="U33" s="18"/>
      <c r="V33" s="1"/>
      <c r="W33" s="1"/>
      <c r="X33" s="1"/>
      <c r="Y33" s="1"/>
    </row>
    <row r="34" spans="1:25" ht="15.75" customHeight="1">
      <c r="A34" s="1"/>
      <c r="B34" s="1"/>
      <c r="C34" s="1"/>
      <c r="D34" s="1"/>
      <c r="E34" s="16"/>
      <c r="F34" s="17"/>
      <c r="G34" s="1"/>
      <c r="H34" s="16"/>
      <c r="I34" s="17"/>
      <c r="J34" s="18"/>
      <c r="K34" s="19"/>
      <c r="L34" s="17"/>
      <c r="M34" s="17"/>
      <c r="N34" s="17"/>
      <c r="O34" s="1"/>
      <c r="P34" s="17"/>
      <c r="Q34" s="17"/>
      <c r="R34" s="17"/>
      <c r="S34" s="17"/>
      <c r="T34" s="17"/>
      <c r="U34" s="18"/>
      <c r="V34" s="1"/>
      <c r="W34" s="1"/>
      <c r="X34" s="1"/>
      <c r="Y34" s="1"/>
    </row>
    <row r="35" spans="1:25" ht="15.75" customHeight="1">
      <c r="A35" s="1"/>
      <c r="B35" s="1"/>
      <c r="C35" s="1"/>
      <c r="D35" s="1"/>
      <c r="E35" s="16"/>
      <c r="F35" s="17"/>
      <c r="G35" s="1"/>
      <c r="H35" s="16"/>
      <c r="I35" s="17"/>
      <c r="J35" s="18"/>
      <c r="K35" s="19"/>
      <c r="L35" s="17"/>
      <c r="M35" s="17"/>
      <c r="N35" s="17"/>
      <c r="O35" s="1"/>
      <c r="P35" s="17"/>
      <c r="Q35" s="17"/>
      <c r="R35" s="17"/>
      <c r="S35" s="17"/>
      <c r="T35" s="17"/>
      <c r="U35" s="18"/>
      <c r="V35" s="1"/>
      <c r="W35" s="1"/>
      <c r="X35" s="1"/>
      <c r="Y35" s="1"/>
    </row>
    <row r="36" spans="1:25" ht="15.75" customHeight="1">
      <c r="A36" s="1"/>
      <c r="B36" s="1"/>
      <c r="C36" s="1"/>
      <c r="D36" s="1"/>
      <c r="E36" s="16"/>
      <c r="F36" s="17"/>
      <c r="G36" s="1"/>
      <c r="H36" s="16"/>
      <c r="I36" s="17"/>
      <c r="J36" s="18"/>
      <c r="K36" s="19"/>
      <c r="L36" s="17"/>
      <c r="M36" s="17"/>
      <c r="N36" s="17"/>
      <c r="O36" s="1"/>
      <c r="P36" s="17"/>
      <c r="Q36" s="17"/>
      <c r="R36" s="17"/>
      <c r="S36" s="17"/>
      <c r="T36" s="17"/>
      <c r="U36" s="18"/>
      <c r="V36" s="1"/>
      <c r="W36" s="1"/>
      <c r="X36" s="1"/>
      <c r="Y36" s="1"/>
    </row>
    <row r="37" spans="1:25" ht="15.75" customHeight="1">
      <c r="A37" s="1"/>
      <c r="B37" s="1"/>
      <c r="C37" s="1"/>
      <c r="D37" s="1"/>
      <c r="E37" s="16"/>
      <c r="F37" s="17"/>
      <c r="G37" s="1"/>
      <c r="H37" s="16"/>
      <c r="I37" s="17"/>
      <c r="J37" s="18"/>
      <c r="K37" s="19"/>
      <c r="L37" s="17"/>
      <c r="M37" s="17"/>
      <c r="N37" s="17"/>
      <c r="O37" s="1"/>
      <c r="P37" s="17"/>
      <c r="Q37" s="17"/>
      <c r="R37" s="17"/>
      <c r="S37" s="17"/>
      <c r="T37" s="17"/>
      <c r="U37" s="18"/>
      <c r="V37" s="1"/>
      <c r="W37" s="1"/>
      <c r="X37" s="1"/>
      <c r="Y37" s="1"/>
    </row>
    <row r="38" spans="1:25" ht="15.75" customHeight="1">
      <c r="A38" s="1"/>
      <c r="B38" s="1"/>
      <c r="C38" s="1"/>
      <c r="D38" s="1"/>
      <c r="E38" s="16"/>
      <c r="F38" s="17"/>
      <c r="G38" s="1"/>
      <c r="H38" s="16"/>
      <c r="I38" s="17"/>
      <c r="J38" s="18"/>
      <c r="K38" s="19"/>
      <c r="L38" s="17"/>
      <c r="M38" s="17"/>
      <c r="N38" s="17"/>
      <c r="O38" s="1"/>
      <c r="P38" s="17"/>
      <c r="Q38" s="17"/>
      <c r="R38" s="17"/>
      <c r="S38" s="17"/>
      <c r="T38" s="17"/>
      <c r="U38" s="18"/>
      <c r="V38" s="1"/>
      <c r="W38" s="1"/>
      <c r="X38" s="1"/>
      <c r="Y38" s="1"/>
    </row>
    <row r="39" spans="1:25" ht="15.75" customHeight="1">
      <c r="A39" s="1"/>
      <c r="B39" s="1"/>
      <c r="C39" s="1"/>
      <c r="D39" s="1"/>
      <c r="E39" s="16"/>
      <c r="F39" s="17"/>
      <c r="G39" s="1"/>
      <c r="H39" s="16"/>
      <c r="I39" s="17"/>
      <c r="J39" s="18"/>
      <c r="K39" s="19"/>
      <c r="L39" s="17"/>
      <c r="M39" s="17"/>
      <c r="N39" s="17"/>
      <c r="O39" s="1"/>
      <c r="P39" s="17"/>
      <c r="Q39" s="17"/>
      <c r="R39" s="17"/>
      <c r="S39" s="17"/>
      <c r="T39" s="17"/>
      <c r="U39" s="18"/>
      <c r="V39" s="1"/>
      <c r="W39" s="1"/>
      <c r="X39" s="1"/>
      <c r="Y39" s="1"/>
    </row>
    <row r="40" spans="1:25" ht="15.75" customHeight="1">
      <c r="A40" s="1"/>
      <c r="B40" s="1"/>
      <c r="C40" s="1"/>
      <c r="D40" s="1"/>
      <c r="E40" s="16"/>
      <c r="F40" s="17"/>
      <c r="G40" s="1"/>
      <c r="H40" s="16"/>
      <c r="I40" s="17"/>
      <c r="J40" s="18"/>
      <c r="K40" s="19"/>
      <c r="L40" s="17"/>
      <c r="M40" s="17"/>
      <c r="N40" s="17"/>
      <c r="O40" s="1"/>
      <c r="P40" s="17"/>
      <c r="Q40" s="17"/>
      <c r="R40" s="17"/>
      <c r="S40" s="17"/>
      <c r="T40" s="17"/>
      <c r="U40" s="18"/>
      <c r="V40" s="1"/>
      <c r="W40" s="1"/>
      <c r="X40" s="1"/>
      <c r="Y40" s="1"/>
    </row>
    <row r="41" spans="1:25" ht="15.75" customHeight="1">
      <c r="A41" s="1"/>
      <c r="B41" s="1"/>
      <c r="C41" s="1"/>
      <c r="D41" s="1"/>
      <c r="E41" s="16"/>
      <c r="F41" s="17"/>
      <c r="G41" s="1"/>
      <c r="H41" s="16"/>
      <c r="I41" s="17"/>
      <c r="J41" s="18"/>
      <c r="K41" s="19"/>
      <c r="L41" s="17"/>
      <c r="M41" s="17"/>
      <c r="N41" s="17"/>
      <c r="O41" s="1"/>
      <c r="P41" s="17"/>
      <c r="Q41" s="17"/>
      <c r="R41" s="17"/>
      <c r="S41" s="17"/>
      <c r="T41" s="17"/>
      <c r="U41" s="18"/>
      <c r="V41" s="1"/>
      <c r="W41" s="1"/>
      <c r="X41" s="1"/>
      <c r="Y41" s="1"/>
    </row>
    <row r="42" spans="1:25" ht="15.75" customHeight="1">
      <c r="A42" s="1"/>
      <c r="B42" s="1"/>
      <c r="C42" s="1"/>
      <c r="D42" s="1"/>
      <c r="E42" s="16"/>
      <c r="F42" s="17"/>
      <c r="G42" s="1"/>
      <c r="H42" s="16"/>
      <c r="I42" s="17"/>
      <c r="J42" s="18"/>
      <c r="K42" s="19"/>
      <c r="L42" s="17"/>
      <c r="M42" s="17"/>
      <c r="N42" s="17"/>
      <c r="O42" s="1"/>
      <c r="P42" s="17"/>
      <c r="Q42" s="17"/>
      <c r="R42" s="17"/>
      <c r="S42" s="17"/>
      <c r="T42" s="17"/>
      <c r="U42" s="18"/>
      <c r="V42" s="1"/>
      <c r="W42" s="1"/>
      <c r="X42" s="1"/>
      <c r="Y42" s="1"/>
    </row>
    <row r="43" spans="1:25" ht="15.75" customHeight="1">
      <c r="A43" s="1"/>
      <c r="B43" s="1"/>
      <c r="C43" s="1"/>
      <c r="D43" s="1"/>
      <c r="E43" s="16"/>
      <c r="F43" s="17"/>
      <c r="G43" s="1"/>
      <c r="H43" s="16"/>
      <c r="I43" s="17"/>
      <c r="J43" s="18"/>
      <c r="K43" s="19"/>
      <c r="L43" s="17"/>
      <c r="M43" s="17"/>
      <c r="N43" s="17"/>
      <c r="O43" s="1"/>
      <c r="P43" s="17"/>
      <c r="Q43" s="17"/>
      <c r="R43" s="17"/>
      <c r="S43" s="17"/>
      <c r="T43" s="17"/>
      <c r="U43" s="18"/>
      <c r="V43" s="1"/>
      <c r="W43" s="1"/>
      <c r="X43" s="1"/>
      <c r="Y43" s="1"/>
    </row>
    <row r="44" spans="1:25" ht="15.75" customHeight="1">
      <c r="A44" s="1"/>
      <c r="B44" s="1"/>
      <c r="C44" s="1"/>
      <c r="D44" s="1"/>
      <c r="E44" s="16"/>
      <c r="F44" s="17"/>
      <c r="G44" s="1"/>
      <c r="H44" s="16"/>
      <c r="I44" s="17"/>
      <c r="J44" s="18"/>
      <c r="K44" s="19"/>
      <c r="L44" s="17"/>
      <c r="M44" s="17"/>
      <c r="N44" s="17"/>
      <c r="O44" s="1"/>
      <c r="P44" s="17"/>
      <c r="Q44" s="17"/>
      <c r="R44" s="17"/>
      <c r="S44" s="17"/>
      <c r="T44" s="17"/>
      <c r="U44" s="18"/>
      <c r="V44" s="1"/>
      <c r="W44" s="1"/>
      <c r="X44" s="1"/>
      <c r="Y44" s="1"/>
    </row>
    <row r="45" spans="1:25" ht="15.75" customHeight="1">
      <c r="A45" s="1"/>
      <c r="B45" s="1"/>
      <c r="C45" s="1"/>
      <c r="D45" s="1"/>
      <c r="E45" s="16"/>
      <c r="F45" s="17"/>
      <c r="G45" s="1"/>
      <c r="H45" s="16"/>
      <c r="I45" s="17"/>
      <c r="J45" s="18"/>
      <c r="K45" s="19"/>
      <c r="L45" s="17"/>
      <c r="M45" s="17"/>
      <c r="N45" s="17"/>
      <c r="O45" s="1"/>
      <c r="P45" s="17"/>
      <c r="Q45" s="17"/>
      <c r="R45" s="17"/>
      <c r="S45" s="17"/>
      <c r="T45" s="17"/>
      <c r="U45" s="18"/>
      <c r="V45" s="1"/>
      <c r="W45" s="1"/>
      <c r="X45" s="1"/>
      <c r="Y45" s="1"/>
    </row>
    <row r="46" spans="1:25" ht="15.75" customHeight="1">
      <c r="A46" s="1"/>
      <c r="B46" s="1"/>
      <c r="C46" s="1"/>
      <c r="D46" s="1"/>
      <c r="E46" s="16"/>
      <c r="F46" s="17"/>
      <c r="G46" s="1"/>
      <c r="H46" s="16"/>
      <c r="I46" s="17"/>
      <c r="J46" s="18"/>
      <c r="K46" s="19"/>
      <c r="L46" s="17"/>
      <c r="M46" s="17"/>
      <c r="N46" s="17"/>
      <c r="O46" s="1"/>
      <c r="P46" s="17"/>
      <c r="Q46" s="17"/>
      <c r="R46" s="17"/>
      <c r="S46" s="17"/>
      <c r="T46" s="17"/>
      <c r="U46" s="18"/>
      <c r="V46" s="1"/>
      <c r="W46" s="1"/>
      <c r="X46" s="1"/>
      <c r="Y46" s="1"/>
    </row>
    <row r="47" spans="1:25" ht="15.75" customHeight="1">
      <c r="A47" s="1"/>
      <c r="B47" s="1"/>
      <c r="C47" s="1"/>
      <c r="D47" s="1"/>
      <c r="E47" s="16"/>
      <c r="F47" s="17"/>
      <c r="G47" s="1"/>
      <c r="H47" s="16"/>
      <c r="I47" s="17"/>
      <c r="J47" s="18"/>
      <c r="K47" s="19"/>
      <c r="L47" s="17"/>
      <c r="M47" s="17"/>
      <c r="N47" s="17"/>
      <c r="O47" s="1"/>
      <c r="P47" s="17"/>
      <c r="Q47" s="17"/>
      <c r="R47" s="17"/>
      <c r="S47" s="17"/>
      <c r="T47" s="17"/>
      <c r="U47" s="18"/>
      <c r="V47" s="1"/>
      <c r="W47" s="1"/>
      <c r="X47" s="1"/>
      <c r="Y47" s="1"/>
    </row>
    <row r="48" spans="1:25" ht="15.75" customHeight="1">
      <c r="A48" s="1"/>
      <c r="B48" s="1"/>
      <c r="C48" s="1"/>
      <c r="D48" s="1"/>
      <c r="E48" s="16"/>
      <c r="F48" s="17"/>
      <c r="G48" s="1"/>
      <c r="H48" s="16"/>
      <c r="I48" s="17"/>
      <c r="J48" s="18"/>
      <c r="K48" s="19"/>
      <c r="L48" s="17"/>
      <c r="M48" s="17"/>
      <c r="N48" s="17"/>
      <c r="O48" s="1"/>
      <c r="P48" s="17"/>
      <c r="Q48" s="17"/>
      <c r="R48" s="17"/>
      <c r="S48" s="17"/>
      <c r="T48" s="17"/>
      <c r="U48" s="18"/>
      <c r="V48" s="1"/>
      <c r="W48" s="1"/>
      <c r="X48" s="1"/>
      <c r="Y48" s="1"/>
    </row>
    <row r="49" spans="1:25" ht="15.75" customHeight="1">
      <c r="A49" s="1"/>
      <c r="B49" s="1"/>
      <c r="C49" s="1"/>
      <c r="D49" s="1"/>
      <c r="E49" s="16"/>
      <c r="F49" s="17"/>
      <c r="G49" s="1"/>
      <c r="H49" s="16"/>
      <c r="I49" s="17"/>
      <c r="J49" s="18"/>
      <c r="K49" s="19"/>
      <c r="L49" s="17"/>
      <c r="M49" s="17"/>
      <c r="N49" s="17"/>
      <c r="O49" s="1"/>
      <c r="P49" s="17"/>
      <c r="Q49" s="17"/>
      <c r="R49" s="17"/>
      <c r="S49" s="17"/>
      <c r="T49" s="17"/>
      <c r="U49" s="18"/>
      <c r="V49" s="1"/>
      <c r="W49" s="1"/>
      <c r="X49" s="1"/>
      <c r="Y49" s="1"/>
    </row>
    <row r="50" spans="1:25" ht="15.75" customHeight="1">
      <c r="A50" s="1"/>
      <c r="B50" s="1"/>
      <c r="C50" s="1"/>
      <c r="D50" s="1"/>
      <c r="E50" s="16"/>
      <c r="F50" s="17"/>
      <c r="G50" s="1"/>
      <c r="H50" s="16"/>
      <c r="I50" s="17"/>
      <c r="J50" s="18"/>
      <c r="K50" s="19"/>
      <c r="L50" s="17"/>
      <c r="M50" s="17"/>
      <c r="N50" s="17"/>
      <c r="O50" s="1"/>
      <c r="P50" s="17"/>
      <c r="Q50" s="17"/>
      <c r="R50" s="17"/>
      <c r="S50" s="17"/>
      <c r="T50" s="17"/>
      <c r="U50" s="18"/>
      <c r="V50" s="1"/>
      <c r="W50" s="1"/>
      <c r="X50" s="1"/>
      <c r="Y50" s="1"/>
    </row>
    <row r="51" spans="1:25" ht="15.75" customHeight="1">
      <c r="A51" s="1"/>
      <c r="B51" s="1"/>
      <c r="C51" s="1"/>
      <c r="D51" s="1"/>
      <c r="E51" s="16"/>
      <c r="F51" s="17"/>
      <c r="G51" s="1"/>
      <c r="H51" s="16"/>
      <c r="I51" s="17"/>
      <c r="J51" s="18"/>
      <c r="K51" s="19"/>
      <c r="L51" s="17"/>
      <c r="M51" s="17"/>
      <c r="N51" s="17"/>
      <c r="O51" s="1"/>
      <c r="P51" s="17"/>
      <c r="Q51" s="17"/>
      <c r="R51" s="17"/>
      <c r="S51" s="17"/>
      <c r="T51" s="17"/>
      <c r="U51" s="18"/>
      <c r="V51" s="1"/>
      <c r="W51" s="1"/>
      <c r="X51" s="1"/>
      <c r="Y51" s="1"/>
    </row>
    <row r="52" spans="1:25" ht="15.75" customHeight="1">
      <c r="A52" s="1"/>
      <c r="B52" s="1"/>
      <c r="C52" s="1"/>
      <c r="D52" s="1"/>
      <c r="E52" s="16"/>
      <c r="F52" s="17"/>
      <c r="G52" s="1"/>
      <c r="H52" s="16"/>
      <c r="I52" s="17"/>
      <c r="J52" s="18"/>
      <c r="K52" s="19"/>
      <c r="L52" s="17"/>
      <c r="M52" s="17"/>
      <c r="N52" s="17"/>
      <c r="O52" s="1"/>
      <c r="P52" s="17"/>
      <c r="Q52" s="17"/>
      <c r="R52" s="17"/>
      <c r="S52" s="17"/>
      <c r="T52" s="17"/>
      <c r="U52" s="18"/>
      <c r="V52" s="1"/>
      <c r="W52" s="1"/>
      <c r="X52" s="1"/>
      <c r="Y52" s="1"/>
    </row>
    <row r="53" spans="1:25" ht="15.75" customHeight="1">
      <c r="A53" s="1"/>
      <c r="B53" s="1"/>
      <c r="C53" s="1"/>
      <c r="D53" s="1"/>
      <c r="E53" s="16"/>
      <c r="F53" s="17"/>
      <c r="G53" s="1"/>
      <c r="H53" s="16"/>
      <c r="I53" s="17"/>
      <c r="J53" s="18"/>
      <c r="K53" s="19"/>
      <c r="L53" s="17"/>
      <c r="M53" s="17"/>
      <c r="N53" s="17"/>
      <c r="O53" s="1"/>
      <c r="P53" s="17"/>
      <c r="Q53" s="17"/>
      <c r="R53" s="17"/>
      <c r="S53" s="17"/>
      <c r="T53" s="17"/>
      <c r="U53" s="18"/>
      <c r="V53" s="1"/>
      <c r="W53" s="1"/>
      <c r="X53" s="1"/>
      <c r="Y53" s="1"/>
    </row>
    <row r="54" spans="1:25" ht="15.75" customHeight="1">
      <c r="A54" s="1"/>
      <c r="B54" s="1"/>
      <c r="C54" s="1"/>
      <c r="D54" s="1"/>
      <c r="E54" s="16"/>
      <c r="F54" s="17"/>
      <c r="G54" s="1"/>
      <c r="H54" s="16"/>
      <c r="I54" s="17"/>
      <c r="J54" s="18"/>
      <c r="K54" s="19"/>
      <c r="L54" s="17"/>
      <c r="M54" s="17"/>
      <c r="N54" s="17"/>
      <c r="O54" s="1"/>
      <c r="P54" s="17"/>
      <c r="Q54" s="17"/>
      <c r="R54" s="17"/>
      <c r="S54" s="17"/>
      <c r="T54" s="17"/>
      <c r="U54" s="18"/>
      <c r="V54" s="1"/>
      <c r="W54" s="1"/>
      <c r="X54" s="1"/>
      <c r="Y54" s="1"/>
    </row>
    <row r="55" spans="1:25" ht="15.75" customHeight="1">
      <c r="A55" s="1"/>
      <c r="B55" s="1"/>
      <c r="C55" s="1"/>
      <c r="D55" s="1"/>
      <c r="E55" s="16"/>
      <c r="F55" s="17"/>
      <c r="G55" s="1"/>
      <c r="H55" s="16"/>
      <c r="I55" s="17"/>
      <c r="J55" s="18"/>
      <c r="K55" s="19"/>
      <c r="L55" s="17"/>
      <c r="M55" s="17"/>
      <c r="N55" s="17"/>
      <c r="O55" s="1"/>
      <c r="P55" s="17"/>
      <c r="Q55" s="17"/>
      <c r="R55" s="17"/>
      <c r="S55" s="17"/>
      <c r="T55" s="17"/>
      <c r="U55" s="18"/>
      <c r="V55" s="1"/>
      <c r="W55" s="1"/>
      <c r="X55" s="1"/>
      <c r="Y55" s="1"/>
    </row>
    <row r="56" spans="1:25" ht="15.75" customHeight="1">
      <c r="A56" s="1"/>
      <c r="B56" s="1"/>
      <c r="C56" s="1"/>
      <c r="D56" s="1"/>
      <c r="E56" s="16"/>
      <c r="F56" s="17"/>
      <c r="G56" s="1"/>
      <c r="H56" s="16"/>
      <c r="I56" s="17"/>
      <c r="J56" s="18"/>
      <c r="K56" s="19"/>
      <c r="L56" s="17"/>
      <c r="M56" s="17"/>
      <c r="N56" s="17"/>
      <c r="O56" s="1"/>
      <c r="P56" s="17"/>
      <c r="Q56" s="17"/>
      <c r="R56" s="17"/>
      <c r="S56" s="17"/>
      <c r="T56" s="17"/>
      <c r="U56" s="18"/>
      <c r="V56" s="1"/>
      <c r="W56" s="1"/>
      <c r="X56" s="1"/>
      <c r="Y56" s="1"/>
    </row>
    <row r="57" spans="1:25" ht="15.75" customHeight="1">
      <c r="A57" s="1"/>
      <c r="B57" s="1"/>
      <c r="C57" s="1"/>
      <c r="D57" s="1"/>
      <c r="E57" s="16"/>
      <c r="F57" s="17"/>
      <c r="G57" s="1"/>
      <c r="H57" s="16"/>
      <c r="I57" s="17"/>
      <c r="J57" s="18"/>
      <c r="K57" s="19"/>
      <c r="L57" s="17"/>
      <c r="M57" s="17"/>
      <c r="N57" s="17"/>
      <c r="O57" s="1"/>
      <c r="P57" s="17"/>
      <c r="Q57" s="17"/>
      <c r="R57" s="17"/>
      <c r="S57" s="17"/>
      <c r="T57" s="17"/>
      <c r="U57" s="18"/>
      <c r="V57" s="1"/>
      <c r="W57" s="1"/>
      <c r="X57" s="1"/>
      <c r="Y57" s="1"/>
    </row>
    <row r="58" spans="1:25" ht="15.75" customHeight="1">
      <c r="A58" s="1"/>
      <c r="B58" s="1"/>
      <c r="C58" s="1"/>
      <c r="D58" s="1"/>
      <c r="E58" s="16"/>
      <c r="F58" s="17"/>
      <c r="G58" s="1"/>
      <c r="H58" s="16"/>
      <c r="I58" s="17"/>
      <c r="J58" s="18"/>
      <c r="K58" s="19"/>
      <c r="L58" s="17"/>
      <c r="M58" s="17"/>
      <c r="N58" s="17"/>
      <c r="O58" s="1"/>
      <c r="P58" s="17"/>
      <c r="Q58" s="17"/>
      <c r="R58" s="17"/>
      <c r="S58" s="17"/>
      <c r="T58" s="17"/>
      <c r="U58" s="18"/>
      <c r="V58" s="1"/>
      <c r="W58" s="1"/>
      <c r="X58" s="1"/>
      <c r="Y58" s="1"/>
    </row>
    <row r="59" spans="1:25" ht="15.75" customHeight="1">
      <c r="A59" s="1"/>
      <c r="B59" s="1"/>
      <c r="C59" s="1"/>
      <c r="D59" s="1"/>
      <c r="E59" s="16"/>
      <c r="F59" s="17"/>
      <c r="G59" s="1"/>
      <c r="H59" s="16"/>
      <c r="I59" s="17"/>
      <c r="J59" s="18"/>
      <c r="K59" s="19"/>
      <c r="L59" s="17"/>
      <c r="M59" s="17"/>
      <c r="N59" s="17"/>
      <c r="O59" s="1"/>
      <c r="P59" s="17"/>
      <c r="Q59" s="17"/>
      <c r="R59" s="17"/>
      <c r="S59" s="17"/>
      <c r="T59" s="17"/>
      <c r="U59" s="18"/>
      <c r="V59" s="1"/>
      <c r="W59" s="1"/>
      <c r="X59" s="1"/>
      <c r="Y59" s="1"/>
    </row>
    <row r="60" spans="1:25" ht="15.75" customHeight="1">
      <c r="A60" s="1"/>
      <c r="B60" s="1"/>
      <c r="C60" s="1"/>
      <c r="D60" s="1"/>
      <c r="E60" s="16"/>
      <c r="F60" s="17"/>
      <c r="G60" s="1"/>
      <c r="H60" s="16"/>
      <c r="I60" s="17"/>
      <c r="J60" s="18"/>
      <c r="K60" s="19"/>
      <c r="L60" s="17"/>
      <c r="M60" s="17"/>
      <c r="N60" s="17"/>
      <c r="O60" s="1"/>
      <c r="P60" s="17"/>
      <c r="Q60" s="17"/>
      <c r="R60" s="17"/>
      <c r="S60" s="17"/>
      <c r="T60" s="17"/>
      <c r="U60" s="18"/>
      <c r="V60" s="1"/>
      <c r="W60" s="1"/>
      <c r="X60" s="1"/>
      <c r="Y60" s="1"/>
    </row>
    <row r="61" spans="1:25" ht="15.75" customHeight="1">
      <c r="A61" s="1"/>
      <c r="B61" s="1"/>
      <c r="C61" s="1"/>
      <c r="D61" s="1"/>
      <c r="E61" s="16"/>
      <c r="F61" s="17"/>
      <c r="G61" s="1"/>
      <c r="H61" s="16"/>
      <c r="I61" s="17"/>
      <c r="J61" s="18"/>
      <c r="K61" s="19"/>
      <c r="L61" s="17"/>
      <c r="M61" s="17"/>
      <c r="N61" s="17"/>
      <c r="O61" s="1"/>
      <c r="P61" s="17"/>
      <c r="Q61" s="17"/>
      <c r="R61" s="17"/>
      <c r="S61" s="17"/>
      <c r="T61" s="17"/>
      <c r="U61" s="18"/>
      <c r="V61" s="1"/>
      <c r="W61" s="1"/>
      <c r="X61" s="1"/>
      <c r="Y61" s="1"/>
    </row>
    <row r="62" spans="1:25" ht="15.75" customHeight="1">
      <c r="A62" s="1"/>
      <c r="B62" s="1"/>
      <c r="C62" s="1"/>
      <c r="D62" s="1"/>
      <c r="E62" s="16"/>
      <c r="F62" s="17"/>
      <c r="G62" s="1"/>
      <c r="H62" s="16"/>
      <c r="I62" s="17"/>
      <c r="J62" s="18"/>
      <c r="K62" s="19"/>
      <c r="L62" s="17"/>
      <c r="M62" s="17"/>
      <c r="N62" s="17"/>
      <c r="O62" s="1"/>
      <c r="P62" s="17"/>
      <c r="Q62" s="17"/>
      <c r="R62" s="17"/>
      <c r="S62" s="17"/>
      <c r="T62" s="17"/>
      <c r="U62" s="18"/>
      <c r="V62" s="1"/>
      <c r="W62" s="1"/>
      <c r="X62" s="1"/>
      <c r="Y62" s="1"/>
    </row>
    <row r="63" spans="1:25" ht="15.75" customHeight="1">
      <c r="A63" s="1"/>
      <c r="B63" s="1"/>
      <c r="C63" s="1"/>
      <c r="D63" s="1"/>
      <c r="E63" s="16"/>
      <c r="F63" s="17"/>
      <c r="G63" s="1"/>
      <c r="H63" s="16"/>
      <c r="I63" s="17"/>
      <c r="J63" s="18"/>
      <c r="K63" s="19"/>
      <c r="L63" s="17"/>
      <c r="M63" s="17"/>
      <c r="N63" s="17"/>
      <c r="O63" s="1"/>
      <c r="P63" s="17"/>
      <c r="Q63" s="17"/>
      <c r="R63" s="17"/>
      <c r="S63" s="17"/>
      <c r="T63" s="17"/>
      <c r="U63" s="18"/>
      <c r="V63" s="1"/>
      <c r="W63" s="1"/>
      <c r="X63" s="1"/>
      <c r="Y63" s="1"/>
    </row>
    <row r="64" spans="1:25" ht="15.75" customHeight="1">
      <c r="A64" s="1"/>
      <c r="B64" s="1"/>
      <c r="C64" s="1"/>
      <c r="D64" s="1"/>
      <c r="E64" s="16"/>
      <c r="F64" s="17"/>
      <c r="G64" s="1"/>
      <c r="H64" s="16"/>
      <c r="I64" s="17"/>
      <c r="J64" s="18"/>
      <c r="K64" s="19"/>
      <c r="L64" s="17"/>
      <c r="M64" s="17"/>
      <c r="N64" s="17"/>
      <c r="O64" s="1"/>
      <c r="P64" s="17"/>
      <c r="Q64" s="17"/>
      <c r="R64" s="17"/>
      <c r="S64" s="17"/>
      <c r="T64" s="17"/>
      <c r="U64" s="18"/>
      <c r="V64" s="1"/>
      <c r="W64" s="1"/>
      <c r="X64" s="1"/>
      <c r="Y64" s="1"/>
    </row>
    <row r="65" spans="1:25" ht="15.75" customHeight="1">
      <c r="A65" s="1"/>
      <c r="B65" s="1"/>
      <c r="C65" s="1"/>
      <c r="D65" s="1"/>
      <c r="E65" s="16"/>
      <c r="F65" s="17"/>
      <c r="G65" s="1"/>
      <c r="H65" s="16"/>
      <c r="I65" s="17"/>
      <c r="J65" s="18"/>
      <c r="K65" s="19"/>
      <c r="L65" s="17"/>
      <c r="M65" s="17"/>
      <c r="N65" s="17"/>
      <c r="O65" s="1"/>
      <c r="P65" s="17"/>
      <c r="Q65" s="17"/>
      <c r="R65" s="17"/>
      <c r="S65" s="17"/>
      <c r="T65" s="17"/>
      <c r="U65" s="18"/>
      <c r="V65" s="1"/>
      <c r="W65" s="1"/>
      <c r="X65" s="1"/>
      <c r="Y65" s="1"/>
    </row>
    <row r="66" spans="1:25" ht="15.75" customHeight="1">
      <c r="A66" s="1"/>
      <c r="B66" s="1"/>
      <c r="C66" s="1"/>
      <c r="D66" s="1"/>
      <c r="E66" s="16"/>
      <c r="F66" s="17"/>
      <c r="G66" s="1"/>
      <c r="H66" s="16"/>
      <c r="I66" s="17"/>
      <c r="J66" s="18"/>
      <c r="K66" s="19"/>
      <c r="L66" s="17"/>
      <c r="M66" s="17"/>
      <c r="N66" s="17"/>
      <c r="O66" s="1"/>
      <c r="P66" s="17"/>
      <c r="Q66" s="17"/>
      <c r="R66" s="17"/>
      <c r="S66" s="17"/>
      <c r="T66" s="17"/>
      <c r="U66" s="18"/>
      <c r="V66" s="1"/>
      <c r="W66" s="1"/>
      <c r="X66" s="1"/>
      <c r="Y66" s="1"/>
    </row>
    <row r="67" spans="1:25" ht="15.75" customHeight="1">
      <c r="A67" s="1"/>
      <c r="B67" s="1"/>
      <c r="C67" s="1"/>
      <c r="D67" s="1"/>
      <c r="E67" s="16"/>
      <c r="F67" s="17"/>
      <c r="G67" s="1"/>
      <c r="H67" s="16"/>
      <c r="I67" s="17"/>
      <c r="J67" s="18"/>
      <c r="K67" s="19"/>
      <c r="L67" s="17"/>
      <c r="M67" s="17"/>
      <c r="N67" s="17"/>
      <c r="O67" s="1"/>
      <c r="P67" s="17"/>
      <c r="Q67" s="17"/>
      <c r="R67" s="17"/>
      <c r="S67" s="17"/>
      <c r="T67" s="17"/>
      <c r="U67" s="18"/>
      <c r="V67" s="1"/>
      <c r="W67" s="1"/>
      <c r="X67" s="1"/>
      <c r="Y67" s="1"/>
    </row>
    <row r="68" spans="1:25" ht="15.75" customHeight="1">
      <c r="A68" s="1"/>
      <c r="B68" s="1"/>
      <c r="C68" s="1"/>
      <c r="D68" s="1"/>
      <c r="E68" s="16"/>
      <c r="F68" s="17"/>
      <c r="G68" s="1"/>
      <c r="H68" s="16"/>
      <c r="I68" s="17"/>
      <c r="J68" s="18"/>
      <c r="K68" s="19"/>
      <c r="L68" s="17"/>
      <c r="M68" s="17"/>
      <c r="N68" s="17"/>
      <c r="O68" s="1"/>
      <c r="P68" s="17"/>
      <c r="Q68" s="17"/>
      <c r="R68" s="17"/>
      <c r="S68" s="17"/>
      <c r="T68" s="17"/>
      <c r="U68" s="18"/>
      <c r="V68" s="1"/>
      <c r="W68" s="1"/>
      <c r="X68" s="1"/>
      <c r="Y68" s="1"/>
    </row>
    <row r="69" spans="1:25" ht="15.75" customHeight="1">
      <c r="A69" s="1"/>
      <c r="B69" s="1"/>
      <c r="C69" s="1"/>
      <c r="D69" s="1"/>
      <c r="E69" s="16"/>
      <c r="F69" s="17"/>
      <c r="G69" s="1"/>
      <c r="H69" s="16"/>
      <c r="I69" s="17"/>
      <c r="J69" s="18"/>
      <c r="K69" s="19"/>
      <c r="L69" s="17"/>
      <c r="M69" s="17"/>
      <c r="N69" s="17"/>
      <c r="O69" s="1"/>
      <c r="P69" s="17"/>
      <c r="Q69" s="17"/>
      <c r="R69" s="17"/>
      <c r="S69" s="17"/>
      <c r="T69" s="17"/>
      <c r="U69" s="18"/>
      <c r="V69" s="1"/>
      <c r="W69" s="1"/>
      <c r="X69" s="1"/>
      <c r="Y69" s="1"/>
    </row>
    <row r="70" spans="1:25" ht="15.75" customHeight="1">
      <c r="A70" s="1"/>
      <c r="B70" s="1"/>
      <c r="C70" s="1"/>
      <c r="D70" s="1"/>
      <c r="E70" s="16"/>
      <c r="F70" s="17"/>
      <c r="G70" s="1"/>
      <c r="H70" s="16"/>
      <c r="I70" s="17"/>
      <c r="J70" s="18"/>
      <c r="K70" s="19"/>
      <c r="L70" s="17"/>
      <c r="M70" s="17"/>
      <c r="N70" s="17"/>
      <c r="O70" s="1"/>
      <c r="P70" s="17"/>
      <c r="Q70" s="17"/>
      <c r="R70" s="17"/>
      <c r="S70" s="17"/>
      <c r="T70" s="17"/>
      <c r="U70" s="18"/>
      <c r="V70" s="1"/>
      <c r="W70" s="1"/>
      <c r="X70" s="1"/>
      <c r="Y70" s="1"/>
    </row>
    <row r="71" spans="1:25" ht="15.75" customHeight="1">
      <c r="A71" s="1"/>
      <c r="B71" s="1"/>
      <c r="C71" s="1"/>
      <c r="D71" s="1"/>
      <c r="E71" s="16"/>
      <c r="F71" s="17"/>
      <c r="G71" s="1"/>
      <c r="H71" s="16"/>
      <c r="I71" s="17"/>
      <c r="J71" s="18"/>
      <c r="K71" s="19"/>
      <c r="L71" s="17"/>
      <c r="M71" s="17"/>
      <c r="N71" s="17"/>
      <c r="O71" s="1"/>
      <c r="P71" s="17"/>
      <c r="Q71" s="17"/>
      <c r="R71" s="17"/>
      <c r="S71" s="17"/>
      <c r="T71" s="17"/>
      <c r="U71" s="18"/>
      <c r="V71" s="1"/>
      <c r="W71" s="1"/>
      <c r="X71" s="1"/>
      <c r="Y71" s="1"/>
    </row>
    <row r="72" spans="1:25" ht="15.75" customHeight="1">
      <c r="A72" s="1"/>
      <c r="B72" s="1"/>
      <c r="C72" s="1"/>
      <c r="D72" s="1"/>
      <c r="E72" s="16"/>
      <c r="F72" s="17"/>
      <c r="G72" s="1"/>
      <c r="H72" s="16"/>
      <c r="I72" s="17"/>
      <c r="J72" s="18"/>
      <c r="K72" s="19"/>
      <c r="L72" s="17"/>
      <c r="M72" s="17"/>
      <c r="N72" s="17"/>
      <c r="O72" s="1"/>
      <c r="P72" s="17"/>
      <c r="Q72" s="17"/>
      <c r="R72" s="17"/>
      <c r="S72" s="17"/>
      <c r="T72" s="17"/>
      <c r="U72" s="18"/>
      <c r="V72" s="1"/>
      <c r="W72" s="1"/>
      <c r="X72" s="1"/>
      <c r="Y72" s="1"/>
    </row>
    <row r="73" spans="1:25" ht="15.75" customHeight="1">
      <c r="A73" s="1"/>
      <c r="B73" s="1"/>
      <c r="C73" s="1"/>
      <c r="D73" s="1"/>
      <c r="E73" s="16"/>
      <c r="F73" s="17"/>
      <c r="G73" s="1"/>
      <c r="H73" s="16"/>
      <c r="I73" s="17"/>
      <c r="J73" s="18"/>
      <c r="K73" s="19"/>
      <c r="L73" s="17"/>
      <c r="M73" s="17"/>
      <c r="N73" s="17"/>
      <c r="O73" s="1"/>
      <c r="P73" s="17"/>
      <c r="Q73" s="17"/>
      <c r="R73" s="17"/>
      <c r="S73" s="17"/>
      <c r="T73" s="17"/>
      <c r="U73" s="18"/>
      <c r="V73" s="1"/>
      <c r="W73" s="1"/>
      <c r="X73" s="1"/>
      <c r="Y73" s="1"/>
    </row>
    <row r="74" spans="1:25" ht="15.75" customHeight="1">
      <c r="A74" s="1"/>
      <c r="B74" s="1"/>
      <c r="C74" s="1"/>
      <c r="D74" s="1"/>
      <c r="E74" s="16"/>
      <c r="F74" s="17"/>
      <c r="G74" s="1"/>
      <c r="H74" s="16"/>
      <c r="I74" s="17"/>
      <c r="J74" s="18"/>
      <c r="K74" s="19"/>
      <c r="L74" s="17"/>
      <c r="M74" s="17"/>
      <c r="N74" s="17"/>
      <c r="O74" s="1"/>
      <c r="P74" s="17"/>
      <c r="Q74" s="17"/>
      <c r="R74" s="17"/>
      <c r="S74" s="17"/>
      <c r="T74" s="17"/>
      <c r="U74" s="18"/>
      <c r="V74" s="1"/>
      <c r="W74" s="1"/>
      <c r="X74" s="1"/>
      <c r="Y74" s="1"/>
    </row>
    <row r="75" spans="1:25" ht="15.75" customHeight="1">
      <c r="A75" s="1"/>
      <c r="B75" s="1"/>
      <c r="C75" s="1"/>
      <c r="D75" s="1"/>
      <c r="E75" s="16"/>
      <c r="F75" s="17"/>
      <c r="G75" s="1"/>
      <c r="H75" s="16"/>
      <c r="I75" s="17"/>
      <c r="J75" s="18"/>
      <c r="K75" s="19"/>
      <c r="L75" s="17"/>
      <c r="M75" s="17"/>
      <c r="N75" s="17"/>
      <c r="O75" s="1"/>
      <c r="P75" s="17"/>
      <c r="Q75" s="17"/>
      <c r="R75" s="17"/>
      <c r="S75" s="17"/>
      <c r="T75" s="17"/>
      <c r="U75" s="18"/>
      <c r="V75" s="1"/>
      <c r="W75" s="1"/>
      <c r="X75" s="1"/>
      <c r="Y75" s="1"/>
    </row>
    <row r="76" spans="1:25" ht="15.75" customHeight="1">
      <c r="A76" s="1"/>
      <c r="B76" s="1"/>
      <c r="C76" s="1"/>
      <c r="D76" s="1"/>
      <c r="E76" s="16"/>
      <c r="F76" s="17"/>
      <c r="G76" s="1"/>
      <c r="H76" s="16"/>
      <c r="I76" s="17"/>
      <c r="J76" s="18"/>
      <c r="K76" s="19"/>
      <c r="L76" s="17"/>
      <c r="M76" s="17"/>
      <c r="N76" s="17"/>
      <c r="O76" s="1"/>
      <c r="P76" s="17"/>
      <c r="Q76" s="17"/>
      <c r="R76" s="17"/>
      <c r="S76" s="17"/>
      <c r="T76" s="17"/>
      <c r="U76" s="18"/>
      <c r="V76" s="1"/>
      <c r="W76" s="1"/>
      <c r="X76" s="1"/>
      <c r="Y76" s="1"/>
    </row>
    <row r="77" spans="1:25" ht="15.75" customHeight="1">
      <c r="A77" s="1"/>
      <c r="B77" s="1"/>
      <c r="C77" s="1"/>
      <c r="D77" s="1"/>
      <c r="E77" s="16"/>
      <c r="F77" s="17"/>
      <c r="G77" s="1"/>
      <c r="H77" s="16"/>
      <c r="I77" s="17"/>
      <c r="J77" s="18"/>
      <c r="K77" s="19"/>
      <c r="L77" s="17"/>
      <c r="M77" s="17"/>
      <c r="N77" s="17"/>
      <c r="O77" s="1"/>
      <c r="P77" s="17"/>
      <c r="Q77" s="17"/>
      <c r="R77" s="17"/>
      <c r="S77" s="17"/>
      <c r="T77" s="17"/>
      <c r="U77" s="18"/>
      <c r="V77" s="1"/>
      <c r="W77" s="1"/>
      <c r="X77" s="1"/>
      <c r="Y77" s="1"/>
    </row>
    <row r="78" spans="1:25" ht="15.75" customHeight="1">
      <c r="A78" s="1"/>
      <c r="B78" s="1"/>
      <c r="C78" s="1"/>
      <c r="D78" s="1"/>
      <c r="E78" s="16"/>
      <c r="F78" s="17"/>
      <c r="G78" s="1"/>
      <c r="H78" s="16"/>
      <c r="I78" s="17"/>
      <c r="J78" s="18"/>
      <c r="K78" s="19"/>
      <c r="L78" s="17"/>
      <c r="M78" s="17"/>
      <c r="N78" s="17"/>
      <c r="O78" s="1"/>
      <c r="P78" s="17"/>
      <c r="Q78" s="17"/>
      <c r="R78" s="17"/>
      <c r="S78" s="17"/>
      <c r="T78" s="17"/>
      <c r="U78" s="18"/>
      <c r="V78" s="1"/>
      <c r="W78" s="1"/>
      <c r="X78" s="1"/>
      <c r="Y78" s="1"/>
    </row>
    <row r="79" spans="1:25" ht="15.75" customHeight="1">
      <c r="A79" s="1"/>
      <c r="B79" s="1"/>
      <c r="C79" s="1"/>
      <c r="D79" s="1"/>
      <c r="E79" s="16"/>
      <c r="F79" s="17"/>
      <c r="G79" s="1"/>
      <c r="H79" s="16"/>
      <c r="I79" s="17"/>
      <c r="J79" s="18"/>
      <c r="K79" s="19"/>
      <c r="L79" s="17"/>
      <c r="M79" s="17"/>
      <c r="N79" s="17"/>
      <c r="O79" s="1"/>
      <c r="P79" s="17"/>
      <c r="Q79" s="17"/>
      <c r="R79" s="17"/>
      <c r="S79" s="17"/>
      <c r="T79" s="17"/>
      <c r="U79" s="18"/>
      <c r="V79" s="1"/>
      <c r="W79" s="1"/>
      <c r="X79" s="1"/>
      <c r="Y79" s="1"/>
    </row>
    <row r="80" spans="1:25" ht="15.75" customHeight="1">
      <c r="A80" s="1"/>
      <c r="B80" s="1"/>
      <c r="C80" s="1"/>
      <c r="D80" s="1"/>
      <c r="E80" s="16"/>
      <c r="F80" s="17"/>
      <c r="G80" s="1"/>
      <c r="H80" s="16"/>
      <c r="I80" s="17"/>
      <c r="J80" s="18"/>
      <c r="K80" s="19"/>
      <c r="L80" s="17"/>
      <c r="M80" s="17"/>
      <c r="N80" s="17"/>
      <c r="O80" s="1"/>
      <c r="P80" s="17"/>
      <c r="Q80" s="17"/>
      <c r="R80" s="17"/>
      <c r="S80" s="17"/>
      <c r="T80" s="17"/>
      <c r="U80" s="18"/>
      <c r="V80" s="1"/>
      <c r="W80" s="1"/>
      <c r="X80" s="1"/>
      <c r="Y80" s="1"/>
    </row>
    <row r="81" spans="1:25" ht="15.75" customHeight="1">
      <c r="A81" s="1"/>
      <c r="B81" s="1"/>
      <c r="C81" s="1"/>
      <c r="D81" s="1"/>
      <c r="E81" s="16"/>
      <c r="F81" s="17"/>
      <c r="G81" s="1"/>
      <c r="H81" s="16"/>
      <c r="I81" s="17"/>
      <c r="J81" s="18"/>
      <c r="K81" s="19"/>
      <c r="L81" s="17"/>
      <c r="M81" s="17"/>
      <c r="N81" s="17"/>
      <c r="O81" s="1"/>
      <c r="P81" s="17"/>
      <c r="Q81" s="17"/>
      <c r="R81" s="17"/>
      <c r="S81" s="17"/>
      <c r="T81" s="17"/>
      <c r="U81" s="18"/>
      <c r="V81" s="1"/>
      <c r="W81" s="1"/>
      <c r="X81" s="1"/>
      <c r="Y81" s="1"/>
    </row>
    <row r="82" spans="1:25" ht="15.75" customHeight="1">
      <c r="A82" s="1"/>
      <c r="B82" s="1"/>
      <c r="C82" s="1"/>
      <c r="D82" s="1"/>
      <c r="E82" s="16"/>
      <c r="F82" s="17"/>
      <c r="G82" s="1"/>
      <c r="H82" s="16"/>
      <c r="I82" s="17"/>
      <c r="J82" s="18"/>
      <c r="K82" s="19"/>
      <c r="L82" s="17"/>
      <c r="M82" s="17"/>
      <c r="N82" s="17"/>
      <c r="O82" s="1"/>
      <c r="P82" s="17"/>
      <c r="Q82" s="17"/>
      <c r="R82" s="17"/>
      <c r="S82" s="17"/>
      <c r="T82" s="17"/>
      <c r="U82" s="18"/>
      <c r="V82" s="1"/>
      <c r="W82" s="1"/>
      <c r="X82" s="1"/>
      <c r="Y82" s="1"/>
    </row>
    <row r="83" spans="1:25" ht="15.75" customHeight="1">
      <c r="A83" s="1"/>
      <c r="B83" s="1"/>
      <c r="C83" s="1"/>
      <c r="D83" s="1"/>
      <c r="E83" s="16"/>
      <c r="F83" s="17"/>
      <c r="G83" s="1"/>
      <c r="H83" s="16"/>
      <c r="I83" s="17"/>
      <c r="J83" s="18"/>
      <c r="K83" s="19"/>
      <c r="L83" s="17"/>
      <c r="M83" s="17"/>
      <c r="N83" s="17"/>
      <c r="O83" s="1"/>
      <c r="P83" s="17"/>
      <c r="Q83" s="17"/>
      <c r="R83" s="17"/>
      <c r="S83" s="17"/>
      <c r="T83" s="17"/>
      <c r="U83" s="18"/>
      <c r="V83" s="1"/>
      <c r="W83" s="1"/>
      <c r="X83" s="1"/>
      <c r="Y83" s="1"/>
    </row>
    <row r="84" spans="1:25" ht="15.75" customHeight="1">
      <c r="A84" s="1"/>
      <c r="B84" s="1"/>
      <c r="C84" s="1"/>
      <c r="D84" s="1"/>
      <c r="E84" s="16"/>
      <c r="F84" s="17"/>
      <c r="G84" s="1"/>
      <c r="H84" s="16"/>
      <c r="I84" s="17"/>
      <c r="J84" s="18"/>
      <c r="K84" s="19"/>
      <c r="L84" s="17"/>
      <c r="M84" s="17"/>
      <c r="N84" s="17"/>
      <c r="O84" s="1"/>
      <c r="P84" s="17"/>
      <c r="Q84" s="17"/>
      <c r="R84" s="17"/>
      <c r="S84" s="17"/>
      <c r="T84" s="17"/>
      <c r="U84" s="18"/>
      <c r="V84" s="1"/>
      <c r="W84" s="1"/>
      <c r="X84" s="1"/>
      <c r="Y84" s="1"/>
    </row>
    <row r="85" spans="1:25" ht="15.75" customHeight="1">
      <c r="A85" s="1"/>
      <c r="B85" s="1"/>
      <c r="C85" s="1"/>
      <c r="D85" s="1"/>
      <c r="E85" s="16"/>
      <c r="F85" s="17"/>
      <c r="G85" s="1"/>
      <c r="H85" s="16"/>
      <c r="I85" s="17"/>
      <c r="J85" s="18"/>
      <c r="K85" s="19"/>
      <c r="L85" s="17"/>
      <c r="M85" s="17"/>
      <c r="N85" s="17"/>
      <c r="O85" s="1"/>
      <c r="P85" s="17"/>
      <c r="Q85" s="17"/>
      <c r="R85" s="17"/>
      <c r="S85" s="17"/>
      <c r="T85" s="17"/>
      <c r="U85" s="18"/>
      <c r="V85" s="1"/>
      <c r="W85" s="1"/>
      <c r="X85" s="1"/>
      <c r="Y85" s="1"/>
    </row>
    <row r="86" spans="1:25" ht="15.75" customHeight="1">
      <c r="A86" s="1"/>
      <c r="B86" s="1"/>
      <c r="C86" s="1"/>
      <c r="D86" s="1"/>
      <c r="E86" s="16"/>
      <c r="F86" s="17"/>
      <c r="G86" s="1"/>
      <c r="H86" s="16"/>
      <c r="I86" s="17"/>
      <c r="J86" s="18"/>
      <c r="K86" s="19"/>
      <c r="L86" s="17"/>
      <c r="M86" s="17"/>
      <c r="N86" s="17"/>
      <c r="O86" s="1"/>
      <c r="P86" s="17"/>
      <c r="Q86" s="17"/>
      <c r="R86" s="17"/>
      <c r="S86" s="17"/>
      <c r="T86" s="17"/>
      <c r="U86" s="18"/>
      <c r="V86" s="1"/>
      <c r="W86" s="1"/>
      <c r="X86" s="1"/>
      <c r="Y86" s="1"/>
    </row>
    <row r="87" spans="1:25" ht="15.75" customHeight="1">
      <c r="A87" s="1"/>
      <c r="B87" s="1"/>
      <c r="C87" s="1"/>
      <c r="D87" s="1"/>
      <c r="E87" s="16"/>
      <c r="F87" s="17"/>
      <c r="G87" s="1"/>
      <c r="H87" s="16"/>
      <c r="I87" s="17"/>
      <c r="J87" s="18"/>
      <c r="K87" s="19"/>
      <c r="L87" s="17"/>
      <c r="M87" s="17"/>
      <c r="N87" s="17"/>
      <c r="O87" s="1"/>
      <c r="P87" s="17"/>
      <c r="Q87" s="17"/>
      <c r="R87" s="17"/>
      <c r="S87" s="17"/>
      <c r="T87" s="17"/>
      <c r="U87" s="18"/>
      <c r="V87" s="1"/>
      <c r="W87" s="1"/>
      <c r="X87" s="1"/>
      <c r="Y87" s="1"/>
    </row>
    <row r="88" spans="1:25" ht="15.75" customHeight="1">
      <c r="A88" s="1"/>
      <c r="B88" s="1"/>
      <c r="C88" s="1"/>
      <c r="D88" s="1"/>
      <c r="E88" s="16"/>
      <c r="F88" s="17"/>
      <c r="G88" s="1"/>
      <c r="H88" s="16"/>
      <c r="I88" s="17"/>
      <c r="J88" s="18"/>
      <c r="K88" s="19"/>
      <c r="L88" s="17"/>
      <c r="M88" s="17"/>
      <c r="N88" s="17"/>
      <c r="O88" s="1"/>
      <c r="P88" s="17"/>
      <c r="Q88" s="17"/>
      <c r="R88" s="17"/>
      <c r="S88" s="17"/>
      <c r="T88" s="17"/>
      <c r="U88" s="18"/>
      <c r="V88" s="1"/>
      <c r="W88" s="1"/>
      <c r="X88" s="1"/>
      <c r="Y88" s="1"/>
    </row>
    <row r="89" spans="1:25" ht="15.75" customHeight="1">
      <c r="A89" s="1"/>
      <c r="B89" s="1"/>
      <c r="C89" s="1"/>
      <c r="D89" s="1"/>
      <c r="E89" s="16"/>
      <c r="F89" s="17"/>
      <c r="G89" s="1"/>
      <c r="H89" s="16"/>
      <c r="I89" s="17"/>
      <c r="J89" s="18"/>
      <c r="K89" s="19"/>
      <c r="L89" s="17"/>
      <c r="M89" s="17"/>
      <c r="N89" s="17"/>
      <c r="O89" s="1"/>
      <c r="P89" s="17"/>
      <c r="Q89" s="17"/>
      <c r="R89" s="17"/>
      <c r="S89" s="17"/>
      <c r="T89" s="17"/>
      <c r="U89" s="18"/>
      <c r="V89" s="1"/>
      <c r="W89" s="1"/>
      <c r="X89" s="1"/>
      <c r="Y89" s="1"/>
    </row>
    <row r="90" spans="1:25" ht="15.75" customHeight="1">
      <c r="A90" s="1"/>
      <c r="B90" s="1"/>
      <c r="C90" s="1"/>
      <c r="D90" s="1"/>
      <c r="E90" s="16"/>
      <c r="F90" s="17"/>
      <c r="G90" s="1"/>
      <c r="H90" s="16"/>
      <c r="I90" s="17"/>
      <c r="J90" s="18"/>
      <c r="K90" s="19"/>
      <c r="L90" s="17"/>
      <c r="M90" s="17"/>
      <c r="N90" s="17"/>
      <c r="O90" s="1"/>
      <c r="P90" s="17"/>
      <c r="Q90" s="17"/>
      <c r="R90" s="17"/>
      <c r="S90" s="17"/>
      <c r="T90" s="17"/>
      <c r="U90" s="18"/>
      <c r="V90" s="1"/>
      <c r="W90" s="1"/>
      <c r="X90" s="1"/>
      <c r="Y90" s="1"/>
    </row>
    <row r="91" spans="1:25" ht="15.75" customHeight="1">
      <c r="A91" s="1"/>
      <c r="B91" s="1"/>
      <c r="C91" s="1"/>
      <c r="D91" s="1"/>
      <c r="E91" s="16"/>
      <c r="F91" s="17"/>
      <c r="G91" s="1"/>
      <c r="H91" s="16"/>
      <c r="I91" s="17"/>
      <c r="J91" s="18"/>
      <c r="K91" s="19"/>
      <c r="L91" s="17"/>
      <c r="M91" s="17"/>
      <c r="N91" s="17"/>
      <c r="O91" s="1"/>
      <c r="P91" s="17"/>
      <c r="Q91" s="17"/>
      <c r="R91" s="17"/>
      <c r="S91" s="17"/>
      <c r="T91" s="17"/>
      <c r="U91" s="18"/>
      <c r="V91" s="1"/>
      <c r="W91" s="1"/>
      <c r="X91" s="1"/>
      <c r="Y91" s="1"/>
    </row>
    <row r="92" spans="1:25" ht="15.75" customHeight="1">
      <c r="A92" s="1"/>
      <c r="B92" s="1"/>
      <c r="C92" s="1"/>
      <c r="D92" s="1"/>
      <c r="E92" s="16"/>
      <c r="F92" s="17"/>
      <c r="G92" s="1"/>
      <c r="H92" s="16"/>
      <c r="I92" s="17"/>
      <c r="J92" s="18"/>
      <c r="K92" s="19"/>
      <c r="L92" s="17"/>
      <c r="M92" s="17"/>
      <c r="N92" s="17"/>
      <c r="O92" s="1"/>
      <c r="P92" s="17"/>
      <c r="Q92" s="17"/>
      <c r="R92" s="17"/>
      <c r="S92" s="17"/>
      <c r="T92" s="17"/>
      <c r="U92" s="18"/>
      <c r="V92" s="1"/>
      <c r="W92" s="1"/>
      <c r="X92" s="1"/>
      <c r="Y92" s="1"/>
    </row>
    <row r="93" spans="1:25" ht="15.75" customHeight="1">
      <c r="A93" s="1"/>
      <c r="B93" s="1"/>
      <c r="C93" s="1"/>
      <c r="D93" s="1"/>
      <c r="E93" s="16"/>
      <c r="F93" s="17"/>
      <c r="G93" s="1"/>
      <c r="H93" s="16"/>
      <c r="I93" s="17"/>
      <c r="J93" s="18"/>
      <c r="K93" s="19"/>
      <c r="L93" s="17"/>
      <c r="M93" s="17"/>
      <c r="N93" s="17"/>
      <c r="O93" s="1"/>
      <c r="P93" s="17"/>
      <c r="Q93" s="17"/>
      <c r="R93" s="17"/>
      <c r="S93" s="17"/>
      <c r="T93" s="17"/>
      <c r="U93" s="18"/>
      <c r="V93" s="1"/>
      <c r="W93" s="1"/>
      <c r="X93" s="1"/>
      <c r="Y93" s="1"/>
    </row>
    <row r="94" spans="1:25" ht="15.75" customHeight="1">
      <c r="A94" s="1"/>
      <c r="B94" s="1"/>
      <c r="C94" s="1"/>
      <c r="D94" s="1"/>
      <c r="E94" s="16"/>
      <c r="F94" s="17"/>
      <c r="G94" s="1"/>
      <c r="H94" s="16"/>
      <c r="I94" s="17"/>
      <c r="J94" s="18"/>
      <c r="K94" s="19"/>
      <c r="L94" s="17"/>
      <c r="M94" s="17"/>
      <c r="N94" s="17"/>
      <c r="O94" s="1"/>
      <c r="P94" s="17"/>
      <c r="Q94" s="17"/>
      <c r="R94" s="17"/>
      <c r="S94" s="17"/>
      <c r="T94" s="17"/>
      <c r="U94" s="18"/>
      <c r="V94" s="1"/>
      <c r="W94" s="1"/>
      <c r="X94" s="1"/>
      <c r="Y94" s="1"/>
    </row>
    <row r="95" spans="1:25" ht="15.75" customHeight="1">
      <c r="A95" s="1"/>
      <c r="B95" s="1"/>
      <c r="C95" s="1"/>
      <c r="D95" s="1"/>
      <c r="E95" s="16"/>
      <c r="F95" s="17"/>
      <c r="G95" s="1"/>
      <c r="H95" s="16"/>
      <c r="I95" s="17"/>
      <c r="J95" s="18"/>
      <c r="K95" s="19"/>
      <c r="L95" s="17"/>
      <c r="M95" s="17"/>
      <c r="N95" s="17"/>
      <c r="O95" s="1"/>
      <c r="P95" s="17"/>
      <c r="Q95" s="17"/>
      <c r="R95" s="17"/>
      <c r="S95" s="17"/>
      <c r="T95" s="17"/>
      <c r="U95" s="18"/>
      <c r="V95" s="1"/>
      <c r="W95" s="1"/>
      <c r="X95" s="1"/>
      <c r="Y95" s="1"/>
    </row>
    <row r="96" spans="1:25" ht="15.75" customHeight="1">
      <c r="A96" s="1"/>
      <c r="B96" s="1"/>
      <c r="C96" s="1"/>
      <c r="D96" s="1"/>
      <c r="E96" s="16"/>
      <c r="F96" s="17"/>
      <c r="G96" s="1"/>
      <c r="H96" s="16"/>
      <c r="I96" s="17"/>
      <c r="J96" s="18"/>
      <c r="K96" s="19"/>
      <c r="L96" s="17"/>
      <c r="M96" s="17"/>
      <c r="N96" s="17"/>
      <c r="O96" s="1"/>
      <c r="P96" s="17"/>
      <c r="Q96" s="17"/>
      <c r="R96" s="17"/>
      <c r="S96" s="17"/>
      <c r="T96" s="17"/>
      <c r="U96" s="18"/>
      <c r="V96" s="1"/>
      <c r="W96" s="1"/>
      <c r="X96" s="1"/>
      <c r="Y96" s="1"/>
    </row>
    <row r="97" spans="1:25" ht="15.75" customHeight="1">
      <c r="A97" s="1"/>
      <c r="B97" s="1"/>
      <c r="C97" s="1"/>
      <c r="D97" s="1"/>
      <c r="E97" s="16"/>
      <c r="F97" s="17"/>
      <c r="G97" s="1"/>
      <c r="H97" s="16"/>
      <c r="I97" s="17"/>
      <c r="J97" s="18"/>
      <c r="K97" s="19"/>
      <c r="L97" s="17"/>
      <c r="M97" s="17"/>
      <c r="N97" s="17"/>
      <c r="O97" s="1"/>
      <c r="P97" s="17"/>
      <c r="Q97" s="17"/>
      <c r="R97" s="17"/>
      <c r="S97" s="17"/>
      <c r="T97" s="17"/>
      <c r="U97" s="18"/>
      <c r="V97" s="1"/>
      <c r="W97" s="1"/>
      <c r="X97" s="1"/>
      <c r="Y97" s="1"/>
    </row>
    <row r="98" spans="1:25" ht="15.75" customHeight="1">
      <c r="A98" s="1"/>
      <c r="B98" s="1"/>
      <c r="C98" s="1"/>
      <c r="D98" s="1"/>
      <c r="E98" s="16"/>
      <c r="F98" s="17"/>
      <c r="G98" s="1"/>
      <c r="H98" s="16"/>
      <c r="I98" s="17"/>
      <c r="J98" s="18"/>
      <c r="K98" s="19"/>
      <c r="L98" s="17"/>
      <c r="M98" s="17"/>
      <c r="N98" s="17"/>
      <c r="O98" s="1"/>
      <c r="P98" s="17"/>
      <c r="Q98" s="17"/>
      <c r="R98" s="17"/>
      <c r="S98" s="17"/>
      <c r="T98" s="17"/>
      <c r="U98" s="18"/>
      <c r="V98" s="1"/>
      <c r="W98" s="1"/>
      <c r="X98" s="1"/>
      <c r="Y98" s="1"/>
    </row>
    <row r="99" spans="1:25" ht="15.75" customHeight="1">
      <c r="A99" s="1"/>
      <c r="B99" s="1"/>
      <c r="C99" s="1"/>
      <c r="D99" s="1"/>
      <c r="E99" s="16"/>
      <c r="F99" s="17"/>
      <c r="G99" s="1"/>
      <c r="H99" s="16"/>
      <c r="I99" s="17"/>
      <c r="J99" s="18"/>
      <c r="K99" s="19"/>
      <c r="L99" s="17"/>
      <c r="M99" s="17"/>
      <c r="N99" s="17"/>
      <c r="O99" s="1"/>
      <c r="P99" s="17"/>
      <c r="Q99" s="17"/>
      <c r="R99" s="17"/>
      <c r="S99" s="17"/>
      <c r="T99" s="17"/>
      <c r="U99" s="18"/>
      <c r="V99" s="1"/>
      <c r="W99" s="1"/>
      <c r="X99" s="1"/>
      <c r="Y99" s="1"/>
    </row>
    <row r="100" spans="1:25" ht="15.75" customHeight="1">
      <c r="A100" s="1"/>
      <c r="B100" s="1"/>
      <c r="C100" s="1"/>
      <c r="D100" s="1"/>
      <c r="E100" s="16"/>
      <c r="F100" s="17"/>
      <c r="G100" s="1"/>
      <c r="H100" s="16"/>
      <c r="I100" s="17"/>
      <c r="J100" s="18"/>
      <c r="K100" s="19"/>
      <c r="L100" s="17"/>
      <c r="M100" s="17"/>
      <c r="N100" s="17"/>
      <c r="O100" s="1"/>
      <c r="P100" s="17"/>
      <c r="Q100" s="17"/>
      <c r="R100" s="17"/>
      <c r="S100" s="17"/>
      <c r="T100" s="17"/>
      <c r="U100" s="18"/>
      <c r="V100" s="1"/>
      <c r="W100" s="1"/>
      <c r="X100" s="1"/>
      <c r="Y100" s="1"/>
    </row>
    <row r="101" spans="1:25" ht="15.75" customHeight="1">
      <c r="A101" s="1"/>
      <c r="B101" s="1"/>
      <c r="C101" s="1"/>
      <c r="D101" s="1"/>
      <c r="E101" s="16"/>
      <c r="F101" s="17"/>
      <c r="G101" s="1"/>
      <c r="H101" s="16"/>
      <c r="I101" s="17"/>
      <c r="J101" s="18"/>
      <c r="K101" s="19"/>
      <c r="L101" s="17"/>
      <c r="M101" s="17"/>
      <c r="N101" s="17"/>
      <c r="O101" s="1"/>
      <c r="P101" s="17"/>
      <c r="Q101" s="17"/>
      <c r="R101" s="17"/>
      <c r="S101" s="17"/>
      <c r="T101" s="17"/>
      <c r="U101" s="18"/>
      <c r="V101" s="1"/>
      <c r="W101" s="1"/>
      <c r="X101" s="1"/>
      <c r="Y101" s="1"/>
    </row>
    <row r="102" spans="1:25" ht="15.75" customHeight="1">
      <c r="A102" s="1"/>
      <c r="B102" s="1"/>
      <c r="C102" s="1"/>
      <c r="D102" s="1"/>
      <c r="E102" s="16"/>
      <c r="F102" s="17"/>
      <c r="G102" s="1"/>
      <c r="H102" s="16"/>
      <c r="I102" s="17"/>
      <c r="J102" s="18"/>
      <c r="K102" s="19"/>
      <c r="L102" s="17"/>
      <c r="M102" s="17"/>
      <c r="N102" s="17"/>
      <c r="O102" s="1"/>
      <c r="P102" s="17"/>
      <c r="Q102" s="17"/>
      <c r="R102" s="17"/>
      <c r="S102" s="17"/>
      <c r="T102" s="17"/>
      <c r="U102" s="18"/>
      <c r="V102" s="1"/>
      <c r="W102" s="1"/>
      <c r="X102" s="1"/>
      <c r="Y102" s="1"/>
    </row>
    <row r="103" spans="1:25" ht="15.75" customHeight="1">
      <c r="A103" s="1"/>
      <c r="B103" s="1"/>
      <c r="C103" s="1"/>
      <c r="D103" s="1"/>
      <c r="E103" s="16"/>
      <c r="F103" s="17"/>
      <c r="G103" s="1"/>
      <c r="H103" s="16"/>
      <c r="I103" s="17"/>
      <c r="J103" s="18"/>
      <c r="K103" s="19"/>
      <c r="L103" s="17"/>
      <c r="M103" s="17"/>
      <c r="N103" s="17"/>
      <c r="O103" s="1"/>
      <c r="P103" s="17"/>
      <c r="Q103" s="17"/>
      <c r="R103" s="17"/>
      <c r="S103" s="17"/>
      <c r="T103" s="17"/>
      <c r="U103" s="18"/>
      <c r="V103" s="1"/>
      <c r="W103" s="1"/>
      <c r="X103" s="1"/>
      <c r="Y103" s="1"/>
    </row>
    <row r="104" spans="1:25" ht="15.75" customHeight="1">
      <c r="A104" s="1"/>
      <c r="B104" s="1"/>
      <c r="C104" s="1"/>
      <c r="D104" s="1"/>
      <c r="E104" s="16"/>
      <c r="F104" s="17"/>
      <c r="G104" s="1"/>
      <c r="H104" s="16"/>
      <c r="I104" s="17"/>
      <c r="J104" s="18"/>
      <c r="K104" s="19"/>
      <c r="L104" s="17"/>
      <c r="M104" s="17"/>
      <c r="N104" s="17"/>
      <c r="O104" s="1"/>
      <c r="P104" s="17"/>
      <c r="Q104" s="17"/>
      <c r="R104" s="17"/>
      <c r="S104" s="17"/>
      <c r="T104" s="17"/>
      <c r="U104" s="18"/>
      <c r="V104" s="1"/>
      <c r="W104" s="1"/>
      <c r="X104" s="1"/>
      <c r="Y104" s="1"/>
    </row>
    <row r="105" spans="1:25" ht="15.75" customHeight="1">
      <c r="A105" s="1"/>
      <c r="B105" s="1"/>
      <c r="C105" s="1"/>
      <c r="D105" s="1"/>
      <c r="E105" s="16"/>
      <c r="F105" s="17"/>
      <c r="G105" s="1"/>
      <c r="H105" s="16"/>
      <c r="I105" s="17"/>
      <c r="J105" s="18"/>
      <c r="K105" s="19"/>
      <c r="L105" s="17"/>
      <c r="M105" s="17"/>
      <c r="N105" s="17"/>
      <c r="O105" s="1"/>
      <c r="P105" s="17"/>
      <c r="Q105" s="17"/>
      <c r="R105" s="17"/>
      <c r="S105" s="17"/>
      <c r="T105" s="17"/>
      <c r="U105" s="18"/>
      <c r="V105" s="1"/>
      <c r="W105" s="1"/>
      <c r="X105" s="1"/>
      <c r="Y105" s="1"/>
    </row>
    <row r="106" spans="1:25" ht="15.75" customHeight="1">
      <c r="A106" s="1"/>
      <c r="B106" s="1"/>
      <c r="C106" s="1"/>
      <c r="D106" s="1"/>
      <c r="E106" s="16"/>
      <c r="F106" s="17"/>
      <c r="G106" s="1"/>
      <c r="H106" s="16"/>
      <c r="I106" s="17"/>
      <c r="J106" s="18"/>
      <c r="K106" s="19"/>
      <c r="L106" s="17"/>
      <c r="M106" s="17"/>
      <c r="N106" s="17"/>
      <c r="O106" s="1"/>
      <c r="P106" s="17"/>
      <c r="Q106" s="17"/>
      <c r="R106" s="17"/>
      <c r="S106" s="17"/>
      <c r="T106" s="17"/>
      <c r="U106" s="18"/>
      <c r="V106" s="1"/>
      <c r="W106" s="1"/>
      <c r="X106" s="1"/>
      <c r="Y106" s="1"/>
    </row>
    <row r="107" spans="1:25" ht="15.75" customHeight="1">
      <c r="A107" s="1"/>
      <c r="B107" s="1"/>
      <c r="C107" s="1"/>
      <c r="D107" s="1"/>
      <c r="E107" s="16"/>
      <c r="F107" s="17"/>
      <c r="G107" s="1"/>
      <c r="H107" s="16"/>
      <c r="I107" s="17"/>
      <c r="J107" s="18"/>
      <c r="K107" s="19"/>
      <c r="L107" s="17"/>
      <c r="M107" s="17"/>
      <c r="N107" s="17"/>
      <c r="O107" s="1"/>
      <c r="P107" s="17"/>
      <c r="Q107" s="17"/>
      <c r="R107" s="17"/>
      <c r="S107" s="17"/>
      <c r="T107" s="17"/>
      <c r="U107" s="18"/>
      <c r="V107" s="1"/>
      <c r="W107" s="1"/>
      <c r="X107" s="1"/>
      <c r="Y107" s="1"/>
    </row>
    <row r="108" spans="1:25" ht="15.75" customHeight="1">
      <c r="A108" s="1"/>
      <c r="B108" s="1"/>
      <c r="C108" s="1"/>
      <c r="D108" s="1"/>
      <c r="E108" s="16"/>
      <c r="F108" s="17"/>
      <c r="G108" s="1"/>
      <c r="H108" s="16"/>
      <c r="I108" s="17"/>
      <c r="J108" s="18"/>
      <c r="K108" s="19"/>
      <c r="L108" s="17"/>
      <c r="M108" s="17"/>
      <c r="N108" s="17"/>
      <c r="O108" s="1"/>
      <c r="P108" s="17"/>
      <c r="Q108" s="17"/>
      <c r="R108" s="17"/>
      <c r="S108" s="17"/>
      <c r="T108" s="17"/>
      <c r="U108" s="18"/>
      <c r="V108" s="1"/>
      <c r="W108" s="1"/>
      <c r="X108" s="1"/>
      <c r="Y108" s="1"/>
    </row>
    <row r="109" spans="1:25" ht="15.75" customHeight="1">
      <c r="A109" s="1"/>
      <c r="B109" s="1"/>
      <c r="C109" s="1"/>
      <c r="D109" s="1"/>
      <c r="E109" s="16"/>
      <c r="F109" s="17"/>
      <c r="G109" s="1"/>
      <c r="H109" s="16"/>
      <c r="I109" s="17"/>
      <c r="J109" s="18"/>
      <c r="K109" s="19"/>
      <c r="L109" s="17"/>
      <c r="M109" s="17"/>
      <c r="N109" s="17"/>
      <c r="O109" s="1"/>
      <c r="P109" s="17"/>
      <c r="Q109" s="17"/>
      <c r="R109" s="17"/>
      <c r="S109" s="17"/>
      <c r="T109" s="17"/>
      <c r="U109" s="18"/>
      <c r="V109" s="1"/>
      <c r="W109" s="1"/>
      <c r="X109" s="1"/>
      <c r="Y109" s="1"/>
    </row>
    <row r="110" spans="1:25" ht="15.75" customHeight="1">
      <c r="A110" s="1"/>
      <c r="B110" s="1"/>
      <c r="C110" s="1"/>
      <c r="D110" s="1"/>
      <c r="E110" s="16"/>
      <c r="F110" s="17"/>
      <c r="G110" s="1"/>
      <c r="H110" s="16"/>
      <c r="I110" s="17"/>
      <c r="J110" s="18"/>
      <c r="K110" s="19"/>
      <c r="L110" s="17"/>
      <c r="M110" s="17"/>
      <c r="N110" s="17"/>
      <c r="O110" s="1"/>
      <c r="P110" s="17"/>
      <c r="Q110" s="17"/>
      <c r="R110" s="17"/>
      <c r="S110" s="17"/>
      <c r="T110" s="17"/>
      <c r="U110" s="18"/>
      <c r="V110" s="1"/>
      <c r="W110" s="1"/>
      <c r="X110" s="1"/>
      <c r="Y110" s="1"/>
    </row>
    <row r="111" spans="1:25" ht="15.75" customHeight="1">
      <c r="A111" s="1"/>
      <c r="B111" s="1"/>
      <c r="C111" s="1"/>
      <c r="D111" s="1"/>
      <c r="E111" s="16"/>
      <c r="F111" s="17"/>
      <c r="G111" s="1"/>
      <c r="H111" s="16"/>
      <c r="I111" s="17"/>
      <c r="J111" s="18"/>
      <c r="K111" s="19"/>
      <c r="L111" s="17"/>
      <c r="M111" s="17"/>
      <c r="N111" s="17"/>
      <c r="O111" s="1"/>
      <c r="P111" s="17"/>
      <c r="Q111" s="17"/>
      <c r="R111" s="17"/>
      <c r="S111" s="17"/>
      <c r="T111" s="17"/>
      <c r="U111" s="18"/>
      <c r="V111" s="1"/>
      <c r="W111" s="1"/>
      <c r="X111" s="1"/>
      <c r="Y111" s="1"/>
    </row>
    <row r="112" spans="1:25" ht="15.75" customHeight="1">
      <c r="A112" s="1"/>
      <c r="B112" s="1"/>
      <c r="C112" s="1"/>
      <c r="D112" s="1"/>
      <c r="E112" s="16"/>
      <c r="F112" s="17"/>
      <c r="G112" s="1"/>
      <c r="H112" s="16"/>
      <c r="I112" s="17"/>
      <c r="J112" s="18"/>
      <c r="K112" s="19"/>
      <c r="L112" s="17"/>
      <c r="M112" s="17"/>
      <c r="N112" s="17"/>
      <c r="O112" s="1"/>
      <c r="P112" s="17"/>
      <c r="Q112" s="17"/>
      <c r="R112" s="17"/>
      <c r="S112" s="17"/>
      <c r="T112" s="17"/>
      <c r="U112" s="18"/>
      <c r="V112" s="1"/>
      <c r="W112" s="1"/>
      <c r="X112" s="1"/>
      <c r="Y112" s="1"/>
    </row>
    <row r="113" spans="1:25" ht="15.75" customHeight="1">
      <c r="A113" s="1"/>
      <c r="B113" s="1"/>
      <c r="C113" s="1"/>
      <c r="D113" s="1"/>
      <c r="E113" s="16"/>
      <c r="F113" s="17"/>
      <c r="G113" s="1"/>
      <c r="H113" s="16"/>
      <c r="I113" s="17"/>
      <c r="J113" s="18"/>
      <c r="K113" s="19"/>
      <c r="L113" s="17"/>
      <c r="M113" s="17"/>
      <c r="N113" s="17"/>
      <c r="O113" s="1"/>
      <c r="P113" s="17"/>
      <c r="Q113" s="17"/>
      <c r="R113" s="17"/>
      <c r="S113" s="17"/>
      <c r="T113" s="17"/>
      <c r="U113" s="18"/>
      <c r="V113" s="1"/>
      <c r="W113" s="1"/>
      <c r="X113" s="1"/>
      <c r="Y113" s="1"/>
    </row>
    <row r="114" spans="1:25" ht="15.75" customHeight="1">
      <c r="A114" s="1"/>
      <c r="B114" s="1"/>
      <c r="C114" s="1"/>
      <c r="D114" s="1"/>
      <c r="E114" s="16"/>
      <c r="F114" s="17"/>
      <c r="G114" s="1"/>
      <c r="H114" s="16"/>
      <c r="I114" s="17"/>
      <c r="J114" s="18"/>
      <c r="K114" s="19"/>
      <c r="L114" s="17"/>
      <c r="M114" s="17"/>
      <c r="N114" s="17"/>
      <c r="O114" s="1"/>
      <c r="P114" s="17"/>
      <c r="Q114" s="17"/>
      <c r="R114" s="17"/>
      <c r="S114" s="17"/>
      <c r="T114" s="17"/>
      <c r="U114" s="18"/>
      <c r="V114" s="1"/>
      <c r="W114" s="1"/>
      <c r="X114" s="1"/>
      <c r="Y114" s="1"/>
    </row>
    <row r="115" spans="1:25" ht="15.75" customHeight="1">
      <c r="A115" s="1"/>
      <c r="B115" s="1"/>
      <c r="C115" s="1"/>
      <c r="D115" s="1"/>
      <c r="E115" s="16"/>
      <c r="F115" s="17"/>
      <c r="G115" s="1"/>
      <c r="H115" s="16"/>
      <c r="I115" s="17"/>
      <c r="J115" s="18"/>
      <c r="K115" s="19"/>
      <c r="L115" s="17"/>
      <c r="M115" s="17"/>
      <c r="N115" s="17"/>
      <c r="O115" s="1"/>
      <c r="P115" s="17"/>
      <c r="Q115" s="17"/>
      <c r="R115" s="17"/>
      <c r="S115" s="17"/>
      <c r="T115" s="17"/>
      <c r="U115" s="18"/>
      <c r="V115" s="1"/>
      <c r="W115" s="1"/>
      <c r="X115" s="1"/>
      <c r="Y115" s="1"/>
    </row>
    <row r="116" spans="1:25" ht="15.75" customHeight="1">
      <c r="A116" s="1"/>
      <c r="B116" s="1"/>
      <c r="C116" s="1"/>
      <c r="D116" s="1"/>
      <c r="E116" s="16"/>
      <c r="F116" s="17"/>
      <c r="G116" s="1"/>
      <c r="H116" s="16"/>
      <c r="I116" s="17"/>
      <c r="J116" s="18"/>
      <c r="K116" s="19"/>
      <c r="L116" s="17"/>
      <c r="M116" s="17"/>
      <c r="N116" s="17"/>
      <c r="O116" s="1"/>
      <c r="P116" s="17"/>
      <c r="Q116" s="17"/>
      <c r="R116" s="17"/>
      <c r="S116" s="17"/>
      <c r="T116" s="17"/>
      <c r="U116" s="18"/>
      <c r="V116" s="1"/>
      <c r="W116" s="1"/>
      <c r="X116" s="1"/>
      <c r="Y116" s="1"/>
    </row>
    <row r="117" spans="1:25" ht="15.75" customHeight="1">
      <c r="A117" s="1"/>
      <c r="B117" s="1"/>
      <c r="C117" s="1"/>
      <c r="D117" s="1"/>
      <c r="E117" s="16"/>
      <c r="F117" s="17"/>
      <c r="G117" s="1"/>
      <c r="H117" s="16"/>
      <c r="I117" s="17"/>
      <c r="J117" s="18"/>
      <c r="K117" s="19"/>
      <c r="L117" s="17"/>
      <c r="M117" s="17"/>
      <c r="N117" s="17"/>
      <c r="O117" s="1"/>
      <c r="P117" s="17"/>
      <c r="Q117" s="17"/>
      <c r="R117" s="17"/>
      <c r="S117" s="17"/>
      <c r="T117" s="17"/>
      <c r="U117" s="18"/>
      <c r="V117" s="1"/>
      <c r="W117" s="1"/>
      <c r="X117" s="1"/>
      <c r="Y117" s="1"/>
    </row>
    <row r="118" spans="1:25" ht="15.75" customHeight="1">
      <c r="A118" s="1"/>
      <c r="B118" s="1"/>
      <c r="C118" s="1"/>
      <c r="D118" s="1"/>
      <c r="E118" s="16"/>
      <c r="F118" s="17"/>
      <c r="G118" s="1"/>
      <c r="H118" s="16"/>
      <c r="I118" s="17"/>
      <c r="J118" s="18"/>
      <c r="K118" s="19"/>
      <c r="L118" s="17"/>
      <c r="M118" s="17"/>
      <c r="N118" s="17"/>
      <c r="O118" s="1"/>
      <c r="P118" s="17"/>
      <c r="Q118" s="17"/>
      <c r="R118" s="17"/>
      <c r="S118" s="17"/>
      <c r="T118" s="17"/>
      <c r="U118" s="18"/>
      <c r="V118" s="1"/>
      <c r="W118" s="1"/>
      <c r="X118" s="1"/>
      <c r="Y118" s="1"/>
    </row>
    <row r="119" spans="1:25" ht="15.75" customHeight="1">
      <c r="A119" s="1"/>
      <c r="B119" s="1"/>
      <c r="C119" s="1"/>
      <c r="D119" s="1"/>
      <c r="E119" s="16"/>
      <c r="F119" s="17"/>
      <c r="G119" s="1"/>
      <c r="H119" s="16"/>
      <c r="I119" s="17"/>
      <c r="J119" s="18"/>
      <c r="K119" s="19"/>
      <c r="L119" s="17"/>
      <c r="M119" s="17"/>
      <c r="N119" s="17"/>
      <c r="O119" s="1"/>
      <c r="P119" s="17"/>
      <c r="Q119" s="17"/>
      <c r="R119" s="17"/>
      <c r="S119" s="17"/>
      <c r="T119" s="17"/>
      <c r="U119" s="18"/>
      <c r="V119" s="1"/>
      <c r="W119" s="1"/>
      <c r="X119" s="1"/>
      <c r="Y119" s="1"/>
    </row>
    <row r="120" spans="1:25" ht="15.75" customHeight="1">
      <c r="A120" s="1"/>
      <c r="B120" s="1"/>
      <c r="C120" s="1"/>
      <c r="D120" s="1"/>
      <c r="E120" s="16"/>
      <c r="F120" s="17"/>
      <c r="G120" s="1"/>
      <c r="H120" s="16"/>
      <c r="I120" s="17"/>
      <c r="J120" s="18"/>
      <c r="K120" s="19"/>
      <c r="L120" s="17"/>
      <c r="M120" s="17"/>
      <c r="N120" s="17"/>
      <c r="O120" s="1"/>
      <c r="P120" s="17"/>
      <c r="Q120" s="17"/>
      <c r="R120" s="17"/>
      <c r="S120" s="17"/>
      <c r="T120" s="17"/>
      <c r="U120" s="18"/>
      <c r="V120" s="1"/>
      <c r="W120" s="1"/>
      <c r="X120" s="1"/>
      <c r="Y120" s="1"/>
    </row>
    <row r="121" spans="1:25" ht="15.75" customHeight="1">
      <c r="A121" s="1"/>
      <c r="B121" s="1"/>
      <c r="C121" s="1"/>
      <c r="D121" s="1"/>
      <c r="E121" s="16"/>
      <c r="F121" s="17"/>
      <c r="G121" s="1"/>
      <c r="H121" s="16"/>
      <c r="I121" s="17"/>
      <c r="J121" s="18"/>
      <c r="K121" s="19"/>
      <c r="L121" s="17"/>
      <c r="M121" s="17"/>
      <c r="N121" s="17"/>
      <c r="O121" s="1"/>
      <c r="P121" s="17"/>
      <c r="Q121" s="17"/>
      <c r="R121" s="17"/>
      <c r="S121" s="17"/>
      <c r="T121" s="17"/>
      <c r="U121" s="18"/>
      <c r="V121" s="1"/>
      <c r="W121" s="1"/>
      <c r="X121" s="1"/>
      <c r="Y121" s="1"/>
    </row>
    <row r="122" spans="1:25" ht="15.75" customHeight="1">
      <c r="A122" s="1"/>
      <c r="B122" s="1"/>
      <c r="C122" s="1"/>
      <c r="D122" s="1"/>
      <c r="E122" s="16"/>
      <c r="F122" s="17"/>
      <c r="G122" s="1"/>
      <c r="H122" s="16"/>
      <c r="I122" s="17"/>
      <c r="J122" s="18"/>
      <c r="K122" s="19"/>
      <c r="L122" s="17"/>
      <c r="M122" s="17"/>
      <c r="N122" s="17"/>
      <c r="O122" s="1"/>
      <c r="P122" s="17"/>
      <c r="Q122" s="17"/>
      <c r="R122" s="17"/>
      <c r="S122" s="17"/>
      <c r="T122" s="17"/>
      <c r="U122" s="18"/>
      <c r="V122" s="1"/>
      <c r="W122" s="1"/>
      <c r="X122" s="1"/>
      <c r="Y122" s="1"/>
    </row>
    <row r="123" spans="1:25" ht="15.75" customHeight="1">
      <c r="A123" s="1"/>
      <c r="B123" s="1"/>
      <c r="C123" s="1"/>
      <c r="D123" s="1"/>
      <c r="E123" s="16"/>
      <c r="F123" s="17"/>
      <c r="G123" s="1"/>
      <c r="H123" s="16"/>
      <c r="I123" s="17"/>
      <c r="J123" s="18"/>
      <c r="K123" s="19"/>
      <c r="L123" s="17"/>
      <c r="M123" s="17"/>
      <c r="N123" s="17"/>
      <c r="O123" s="1"/>
      <c r="P123" s="17"/>
      <c r="Q123" s="17"/>
      <c r="R123" s="17"/>
      <c r="S123" s="17"/>
      <c r="T123" s="17"/>
      <c r="U123" s="18"/>
      <c r="V123" s="1"/>
      <c r="W123" s="1"/>
      <c r="X123" s="1"/>
      <c r="Y123" s="1"/>
    </row>
    <row r="124" spans="1:25" ht="15.75" customHeight="1">
      <c r="A124" s="1"/>
      <c r="B124" s="1"/>
      <c r="C124" s="1"/>
      <c r="D124" s="1"/>
      <c r="E124" s="16"/>
      <c r="F124" s="17"/>
      <c r="G124" s="1"/>
      <c r="H124" s="16"/>
      <c r="I124" s="17"/>
      <c r="J124" s="18"/>
      <c r="K124" s="19"/>
      <c r="L124" s="17"/>
      <c r="M124" s="17"/>
      <c r="N124" s="17"/>
      <c r="O124" s="1"/>
      <c r="P124" s="17"/>
      <c r="Q124" s="17"/>
      <c r="R124" s="17"/>
      <c r="S124" s="17"/>
      <c r="T124" s="17"/>
      <c r="U124" s="18"/>
      <c r="V124" s="1"/>
      <c r="W124" s="1"/>
      <c r="X124" s="1"/>
      <c r="Y124" s="1"/>
    </row>
    <row r="125" spans="1:25" ht="15.75" customHeight="1">
      <c r="A125" s="1"/>
      <c r="B125" s="1"/>
      <c r="C125" s="1"/>
      <c r="D125" s="1"/>
      <c r="E125" s="16"/>
      <c r="F125" s="17"/>
      <c r="G125" s="1"/>
      <c r="H125" s="16"/>
      <c r="I125" s="17"/>
      <c r="J125" s="18"/>
      <c r="K125" s="19"/>
      <c r="L125" s="17"/>
      <c r="M125" s="17"/>
      <c r="N125" s="17"/>
      <c r="O125" s="1"/>
      <c r="P125" s="17"/>
      <c r="Q125" s="17"/>
      <c r="R125" s="17"/>
      <c r="S125" s="17"/>
      <c r="T125" s="17"/>
      <c r="U125" s="18"/>
      <c r="V125" s="1"/>
      <c r="W125" s="1"/>
      <c r="X125" s="1"/>
      <c r="Y125" s="1"/>
    </row>
    <row r="126" spans="1:25" ht="15.75" customHeight="1">
      <c r="A126" s="1"/>
      <c r="B126" s="1"/>
      <c r="C126" s="1"/>
      <c r="D126" s="1"/>
      <c r="E126" s="16"/>
      <c r="F126" s="17"/>
      <c r="G126" s="1"/>
      <c r="H126" s="16"/>
      <c r="I126" s="17"/>
      <c r="J126" s="18"/>
      <c r="K126" s="19"/>
      <c r="L126" s="17"/>
      <c r="M126" s="17"/>
      <c r="N126" s="17"/>
      <c r="O126" s="1"/>
      <c r="P126" s="17"/>
      <c r="Q126" s="17"/>
      <c r="R126" s="17"/>
      <c r="S126" s="17"/>
      <c r="T126" s="17"/>
      <c r="U126" s="18"/>
      <c r="V126" s="1"/>
      <c r="W126" s="1"/>
      <c r="X126" s="1"/>
      <c r="Y126" s="1"/>
    </row>
    <row r="127" spans="1:25" ht="15.75" customHeight="1">
      <c r="A127" s="1"/>
      <c r="B127" s="1"/>
      <c r="C127" s="1"/>
      <c r="D127" s="1"/>
      <c r="E127" s="16"/>
      <c r="F127" s="17"/>
      <c r="G127" s="1"/>
      <c r="H127" s="16"/>
      <c r="I127" s="17"/>
      <c r="J127" s="18"/>
      <c r="K127" s="19"/>
      <c r="L127" s="17"/>
      <c r="M127" s="17"/>
      <c r="N127" s="17"/>
      <c r="O127" s="1"/>
      <c r="P127" s="17"/>
      <c r="Q127" s="17"/>
      <c r="R127" s="17"/>
      <c r="S127" s="17"/>
      <c r="T127" s="17"/>
      <c r="U127" s="18"/>
      <c r="V127" s="1"/>
      <c r="W127" s="1"/>
      <c r="X127" s="1"/>
      <c r="Y127" s="1"/>
    </row>
    <row r="128" spans="1:25" ht="15.75" customHeight="1">
      <c r="A128" s="1"/>
      <c r="B128" s="1"/>
      <c r="C128" s="1"/>
      <c r="D128" s="1"/>
      <c r="E128" s="16"/>
      <c r="F128" s="17"/>
      <c r="G128" s="1"/>
      <c r="H128" s="16"/>
      <c r="I128" s="17"/>
      <c r="J128" s="18"/>
      <c r="K128" s="19"/>
      <c r="L128" s="17"/>
      <c r="M128" s="17"/>
      <c r="N128" s="17"/>
      <c r="O128" s="1"/>
      <c r="P128" s="17"/>
      <c r="Q128" s="17"/>
      <c r="R128" s="17"/>
      <c r="S128" s="17"/>
      <c r="T128" s="17"/>
      <c r="U128" s="18"/>
      <c r="V128" s="1"/>
      <c r="W128" s="1"/>
      <c r="X128" s="1"/>
      <c r="Y128" s="1"/>
    </row>
    <row r="129" spans="1:25" ht="15.75" customHeight="1">
      <c r="A129" s="1"/>
      <c r="B129" s="1"/>
      <c r="C129" s="1"/>
      <c r="D129" s="1"/>
      <c r="E129" s="16"/>
      <c r="F129" s="17"/>
      <c r="G129" s="1"/>
      <c r="H129" s="16"/>
      <c r="I129" s="17"/>
      <c r="J129" s="18"/>
      <c r="K129" s="19"/>
      <c r="L129" s="17"/>
      <c r="M129" s="17"/>
      <c r="N129" s="17"/>
      <c r="O129" s="1"/>
      <c r="P129" s="17"/>
      <c r="Q129" s="17"/>
      <c r="R129" s="17"/>
      <c r="S129" s="17"/>
      <c r="T129" s="17"/>
      <c r="U129" s="18"/>
      <c r="V129" s="1"/>
      <c r="W129" s="1"/>
      <c r="X129" s="1"/>
      <c r="Y129" s="1"/>
    </row>
    <row r="130" spans="1:25" ht="15.75" customHeight="1">
      <c r="A130" s="1"/>
      <c r="B130" s="1"/>
      <c r="C130" s="1"/>
      <c r="D130" s="1"/>
      <c r="E130" s="16"/>
      <c r="F130" s="17"/>
      <c r="G130" s="1"/>
      <c r="H130" s="16"/>
      <c r="I130" s="17"/>
      <c r="J130" s="18"/>
      <c r="K130" s="19"/>
      <c r="L130" s="17"/>
      <c r="M130" s="17"/>
      <c r="N130" s="17"/>
      <c r="O130" s="1"/>
      <c r="P130" s="17"/>
      <c r="Q130" s="17"/>
      <c r="R130" s="17"/>
      <c r="S130" s="17"/>
      <c r="T130" s="17"/>
      <c r="U130" s="18"/>
      <c r="V130" s="1"/>
      <c r="W130" s="1"/>
      <c r="X130" s="1"/>
      <c r="Y130" s="1"/>
    </row>
    <row r="131" spans="1:25" ht="15.75" customHeight="1">
      <c r="A131" s="1"/>
      <c r="B131" s="1"/>
      <c r="C131" s="1"/>
      <c r="D131" s="1"/>
      <c r="E131" s="16"/>
      <c r="F131" s="17"/>
      <c r="G131" s="1"/>
      <c r="H131" s="16"/>
      <c r="I131" s="17"/>
      <c r="J131" s="18"/>
      <c r="K131" s="19"/>
      <c r="L131" s="17"/>
      <c r="M131" s="17"/>
      <c r="N131" s="17"/>
      <c r="O131" s="1"/>
      <c r="P131" s="17"/>
      <c r="Q131" s="17"/>
      <c r="R131" s="17"/>
      <c r="S131" s="17"/>
      <c r="T131" s="17"/>
      <c r="U131" s="18"/>
      <c r="V131" s="1"/>
      <c r="W131" s="1"/>
      <c r="X131" s="1"/>
      <c r="Y131" s="1"/>
    </row>
    <row r="132" spans="1:25" ht="15.75" customHeight="1">
      <c r="A132" s="1"/>
      <c r="B132" s="1"/>
      <c r="C132" s="1"/>
      <c r="D132" s="1"/>
      <c r="E132" s="16"/>
      <c r="F132" s="17"/>
      <c r="G132" s="1"/>
      <c r="H132" s="16"/>
      <c r="I132" s="17"/>
      <c r="J132" s="18"/>
      <c r="K132" s="19"/>
      <c r="L132" s="17"/>
      <c r="M132" s="17"/>
      <c r="N132" s="17"/>
      <c r="O132" s="1"/>
      <c r="P132" s="17"/>
      <c r="Q132" s="17"/>
      <c r="R132" s="17"/>
      <c r="S132" s="17"/>
      <c r="T132" s="17"/>
      <c r="U132" s="18"/>
      <c r="V132" s="1"/>
      <c r="W132" s="1"/>
      <c r="X132" s="1"/>
      <c r="Y132" s="1"/>
    </row>
    <row r="133" spans="1:25" ht="15.75" customHeight="1">
      <c r="A133" s="1"/>
      <c r="B133" s="1"/>
      <c r="C133" s="1"/>
      <c r="D133" s="1"/>
      <c r="E133" s="16"/>
      <c r="F133" s="17"/>
      <c r="G133" s="1"/>
      <c r="H133" s="16"/>
      <c r="I133" s="17"/>
      <c r="J133" s="18"/>
      <c r="K133" s="19"/>
      <c r="L133" s="17"/>
      <c r="M133" s="17"/>
      <c r="N133" s="17"/>
      <c r="O133" s="1"/>
      <c r="P133" s="17"/>
      <c r="Q133" s="17"/>
      <c r="R133" s="17"/>
      <c r="S133" s="17"/>
      <c r="T133" s="17"/>
      <c r="U133" s="18"/>
      <c r="V133" s="1"/>
      <c r="W133" s="1"/>
      <c r="X133" s="1"/>
      <c r="Y133" s="1"/>
    </row>
    <row r="134" spans="1:25" ht="15.75" customHeight="1">
      <c r="A134" s="1"/>
      <c r="B134" s="1"/>
      <c r="C134" s="1"/>
      <c r="D134" s="1"/>
      <c r="E134" s="16"/>
      <c r="F134" s="17"/>
      <c r="G134" s="1"/>
      <c r="H134" s="16"/>
      <c r="I134" s="17"/>
      <c r="J134" s="18"/>
      <c r="K134" s="19"/>
      <c r="L134" s="17"/>
      <c r="M134" s="17"/>
      <c r="N134" s="17"/>
      <c r="O134" s="1"/>
      <c r="P134" s="17"/>
      <c r="Q134" s="17"/>
      <c r="R134" s="17"/>
      <c r="S134" s="17"/>
      <c r="T134" s="17"/>
      <c r="U134" s="18"/>
      <c r="V134" s="1"/>
      <c r="W134" s="1"/>
      <c r="X134" s="1"/>
      <c r="Y134" s="1"/>
    </row>
    <row r="135" spans="1:25" ht="15.75" customHeight="1">
      <c r="A135" s="1"/>
      <c r="B135" s="1"/>
      <c r="C135" s="1"/>
      <c r="D135" s="1"/>
      <c r="E135" s="16"/>
      <c r="F135" s="17"/>
      <c r="G135" s="1"/>
      <c r="H135" s="16"/>
      <c r="I135" s="17"/>
      <c r="J135" s="18"/>
      <c r="K135" s="19"/>
      <c r="L135" s="17"/>
      <c r="M135" s="17"/>
      <c r="N135" s="17"/>
      <c r="O135" s="1"/>
      <c r="P135" s="17"/>
      <c r="Q135" s="17"/>
      <c r="R135" s="17"/>
      <c r="S135" s="17"/>
      <c r="T135" s="17"/>
      <c r="U135" s="18"/>
      <c r="V135" s="1"/>
      <c r="W135" s="1"/>
      <c r="X135" s="1"/>
      <c r="Y135" s="1"/>
    </row>
    <row r="136" spans="1:25" ht="15.75" customHeight="1">
      <c r="A136" s="1"/>
      <c r="B136" s="1"/>
      <c r="C136" s="1"/>
      <c r="D136" s="1"/>
      <c r="E136" s="16"/>
      <c r="F136" s="17"/>
      <c r="G136" s="1"/>
      <c r="H136" s="16"/>
      <c r="I136" s="17"/>
      <c r="J136" s="18"/>
      <c r="K136" s="19"/>
      <c r="L136" s="17"/>
      <c r="M136" s="17"/>
      <c r="N136" s="17"/>
      <c r="O136" s="1"/>
      <c r="P136" s="17"/>
      <c r="Q136" s="17"/>
      <c r="R136" s="17"/>
      <c r="S136" s="17"/>
      <c r="T136" s="17"/>
      <c r="U136" s="18"/>
      <c r="V136" s="1"/>
      <c r="W136" s="1"/>
      <c r="X136" s="1"/>
      <c r="Y136" s="1"/>
    </row>
    <row r="137" spans="1:25" ht="15.75" customHeight="1">
      <c r="A137" s="1"/>
      <c r="B137" s="1"/>
      <c r="C137" s="1"/>
      <c r="D137" s="1"/>
      <c r="E137" s="16"/>
      <c r="F137" s="17"/>
      <c r="G137" s="1"/>
      <c r="H137" s="16"/>
      <c r="I137" s="17"/>
      <c r="J137" s="18"/>
      <c r="K137" s="19"/>
      <c r="L137" s="17"/>
      <c r="M137" s="17"/>
      <c r="N137" s="17"/>
      <c r="O137" s="1"/>
      <c r="P137" s="17"/>
      <c r="Q137" s="17"/>
      <c r="R137" s="17"/>
      <c r="S137" s="17"/>
      <c r="T137" s="17"/>
      <c r="U137" s="18"/>
      <c r="V137" s="1"/>
      <c r="W137" s="1"/>
      <c r="X137" s="1"/>
      <c r="Y137" s="1"/>
    </row>
    <row r="138" spans="1:25" ht="15.75" customHeight="1">
      <c r="A138" s="1"/>
      <c r="B138" s="1"/>
      <c r="C138" s="1"/>
      <c r="D138" s="1"/>
      <c r="E138" s="16"/>
      <c r="F138" s="17"/>
      <c r="G138" s="1"/>
      <c r="H138" s="16"/>
      <c r="I138" s="17"/>
      <c r="J138" s="18"/>
      <c r="K138" s="19"/>
      <c r="L138" s="17"/>
      <c r="M138" s="17"/>
      <c r="N138" s="17"/>
      <c r="O138" s="1"/>
      <c r="P138" s="17"/>
      <c r="Q138" s="17"/>
      <c r="R138" s="17"/>
      <c r="S138" s="17"/>
      <c r="T138" s="17"/>
      <c r="U138" s="18"/>
      <c r="V138" s="1"/>
      <c r="W138" s="1"/>
      <c r="X138" s="1"/>
      <c r="Y138" s="1"/>
    </row>
    <row r="139" spans="1:25" ht="15.75" customHeight="1">
      <c r="A139" s="1"/>
      <c r="B139" s="1"/>
      <c r="C139" s="1"/>
      <c r="D139" s="1"/>
      <c r="E139" s="16"/>
      <c r="F139" s="17"/>
      <c r="G139" s="1"/>
      <c r="H139" s="16"/>
      <c r="I139" s="17"/>
      <c r="J139" s="18"/>
      <c r="K139" s="19"/>
      <c r="L139" s="17"/>
      <c r="M139" s="17"/>
      <c r="N139" s="17"/>
      <c r="O139" s="1"/>
      <c r="P139" s="17"/>
      <c r="Q139" s="17"/>
      <c r="R139" s="17"/>
      <c r="S139" s="17"/>
      <c r="T139" s="17"/>
      <c r="U139" s="18"/>
      <c r="V139" s="1"/>
      <c r="W139" s="1"/>
      <c r="X139" s="1"/>
      <c r="Y139" s="1"/>
    </row>
    <row r="140" spans="1:25" ht="15.75" customHeight="1">
      <c r="A140" s="1"/>
      <c r="B140" s="1"/>
      <c r="C140" s="1"/>
      <c r="D140" s="1"/>
      <c r="E140" s="16"/>
      <c r="F140" s="17"/>
      <c r="G140" s="1"/>
      <c r="H140" s="16"/>
      <c r="I140" s="17"/>
      <c r="J140" s="18"/>
      <c r="K140" s="19"/>
      <c r="L140" s="17"/>
      <c r="M140" s="17"/>
      <c r="N140" s="17"/>
      <c r="O140" s="1"/>
      <c r="P140" s="17"/>
      <c r="Q140" s="17"/>
      <c r="R140" s="17"/>
      <c r="S140" s="17"/>
      <c r="T140" s="17"/>
      <c r="U140" s="18"/>
      <c r="V140" s="1"/>
      <c r="W140" s="1"/>
      <c r="X140" s="1"/>
      <c r="Y140" s="1"/>
    </row>
    <row r="141" spans="1:25" ht="15.75" customHeight="1">
      <c r="A141" s="1"/>
      <c r="B141" s="1"/>
      <c r="C141" s="1"/>
      <c r="D141" s="1"/>
      <c r="E141" s="16"/>
      <c r="F141" s="17"/>
      <c r="G141" s="1"/>
      <c r="H141" s="16"/>
      <c r="I141" s="17"/>
      <c r="J141" s="18"/>
      <c r="K141" s="19"/>
      <c r="L141" s="17"/>
      <c r="M141" s="17"/>
      <c r="N141" s="17"/>
      <c r="O141" s="1"/>
      <c r="P141" s="17"/>
      <c r="Q141" s="17"/>
      <c r="R141" s="17"/>
      <c r="S141" s="17"/>
      <c r="T141" s="17"/>
      <c r="U141" s="18"/>
      <c r="V141" s="1"/>
      <c r="W141" s="1"/>
      <c r="X141" s="1"/>
      <c r="Y141" s="1"/>
    </row>
    <row r="142" spans="1:25" ht="15.75" customHeight="1">
      <c r="A142" s="1"/>
      <c r="B142" s="1"/>
      <c r="C142" s="1"/>
      <c r="D142" s="1"/>
      <c r="E142" s="16"/>
      <c r="F142" s="17"/>
      <c r="G142" s="1"/>
      <c r="H142" s="16"/>
      <c r="I142" s="17"/>
      <c r="J142" s="18"/>
      <c r="K142" s="19"/>
      <c r="L142" s="17"/>
      <c r="M142" s="17"/>
      <c r="N142" s="17"/>
      <c r="O142" s="1"/>
      <c r="P142" s="17"/>
      <c r="Q142" s="17"/>
      <c r="R142" s="17"/>
      <c r="S142" s="17"/>
      <c r="T142" s="17"/>
      <c r="U142" s="18"/>
      <c r="V142" s="1"/>
      <c r="W142" s="1"/>
      <c r="X142" s="1"/>
      <c r="Y142" s="1"/>
    </row>
    <row r="143" spans="1:25" ht="15.75" customHeight="1">
      <c r="A143" s="1"/>
      <c r="B143" s="1"/>
      <c r="C143" s="1"/>
      <c r="D143" s="1"/>
      <c r="E143" s="16"/>
      <c r="F143" s="17"/>
      <c r="G143" s="1"/>
      <c r="H143" s="16"/>
      <c r="I143" s="17"/>
      <c r="J143" s="18"/>
      <c r="K143" s="19"/>
      <c r="L143" s="17"/>
      <c r="M143" s="17"/>
      <c r="N143" s="17"/>
      <c r="O143" s="1"/>
      <c r="P143" s="17"/>
      <c r="Q143" s="17"/>
      <c r="R143" s="17"/>
      <c r="S143" s="17"/>
      <c r="T143" s="17"/>
      <c r="U143" s="18"/>
      <c r="V143" s="1"/>
      <c r="W143" s="1"/>
      <c r="X143" s="1"/>
      <c r="Y143" s="1"/>
    </row>
    <row r="144" spans="1:25" ht="15.75" customHeight="1">
      <c r="A144" s="1"/>
      <c r="B144" s="1"/>
      <c r="C144" s="1"/>
      <c r="D144" s="1"/>
      <c r="E144" s="16"/>
      <c r="F144" s="17"/>
      <c r="G144" s="1"/>
      <c r="H144" s="16"/>
      <c r="I144" s="17"/>
      <c r="J144" s="18"/>
      <c r="K144" s="19"/>
      <c r="L144" s="17"/>
      <c r="M144" s="17"/>
      <c r="N144" s="17"/>
      <c r="O144" s="1"/>
      <c r="P144" s="17"/>
      <c r="Q144" s="17"/>
      <c r="R144" s="17"/>
      <c r="S144" s="17"/>
      <c r="T144" s="17"/>
      <c r="U144" s="18"/>
      <c r="V144" s="1"/>
      <c r="W144" s="1"/>
      <c r="X144" s="1"/>
      <c r="Y144" s="1"/>
    </row>
    <row r="145" spans="1:25" ht="15.75" customHeight="1">
      <c r="A145" s="1"/>
      <c r="B145" s="1"/>
      <c r="C145" s="1"/>
      <c r="D145" s="1"/>
      <c r="E145" s="16"/>
      <c r="F145" s="17"/>
      <c r="G145" s="1"/>
      <c r="H145" s="16"/>
      <c r="I145" s="17"/>
      <c r="J145" s="18"/>
      <c r="K145" s="19"/>
      <c r="L145" s="17"/>
      <c r="M145" s="17"/>
      <c r="N145" s="17"/>
      <c r="O145" s="1"/>
      <c r="P145" s="17"/>
      <c r="Q145" s="17"/>
      <c r="R145" s="17"/>
      <c r="S145" s="17"/>
      <c r="T145" s="17"/>
      <c r="U145" s="18"/>
      <c r="V145" s="1"/>
      <c r="W145" s="1"/>
      <c r="X145" s="1"/>
      <c r="Y145" s="1"/>
    </row>
    <row r="146" spans="1:25" ht="15.75" customHeight="1">
      <c r="A146" s="1"/>
      <c r="B146" s="1"/>
      <c r="C146" s="1"/>
      <c r="D146" s="1"/>
      <c r="E146" s="16"/>
      <c r="F146" s="17"/>
      <c r="G146" s="1"/>
      <c r="H146" s="16"/>
      <c r="I146" s="17"/>
      <c r="J146" s="18"/>
      <c r="K146" s="19"/>
      <c r="L146" s="17"/>
      <c r="M146" s="17"/>
      <c r="N146" s="17"/>
      <c r="O146" s="1"/>
      <c r="P146" s="17"/>
      <c r="Q146" s="17"/>
      <c r="R146" s="17"/>
      <c r="S146" s="17"/>
      <c r="T146" s="17"/>
      <c r="U146" s="18"/>
      <c r="V146" s="1"/>
      <c r="W146" s="1"/>
      <c r="X146" s="1"/>
      <c r="Y146" s="1"/>
    </row>
    <row r="147" spans="1:25" ht="15.75" customHeight="1">
      <c r="A147" s="1"/>
      <c r="B147" s="1"/>
      <c r="C147" s="1"/>
      <c r="D147" s="1"/>
      <c r="E147" s="16"/>
      <c r="F147" s="17"/>
      <c r="G147" s="1"/>
      <c r="H147" s="16"/>
      <c r="I147" s="17"/>
      <c r="J147" s="18"/>
      <c r="K147" s="19"/>
      <c r="L147" s="17"/>
      <c r="M147" s="17"/>
      <c r="N147" s="17"/>
      <c r="O147" s="1"/>
      <c r="P147" s="17"/>
      <c r="Q147" s="17"/>
      <c r="R147" s="17"/>
      <c r="S147" s="17"/>
      <c r="T147" s="17"/>
      <c r="U147" s="18"/>
      <c r="V147" s="1"/>
      <c r="W147" s="1"/>
      <c r="X147" s="1"/>
      <c r="Y147" s="1"/>
    </row>
    <row r="148" spans="1:25" ht="15.75" customHeight="1">
      <c r="A148" s="1"/>
      <c r="B148" s="1"/>
      <c r="C148" s="1"/>
      <c r="D148" s="1"/>
      <c r="E148" s="16"/>
      <c r="F148" s="17"/>
      <c r="G148" s="1"/>
      <c r="H148" s="16"/>
      <c r="I148" s="17"/>
      <c r="J148" s="18"/>
      <c r="K148" s="19"/>
      <c r="L148" s="17"/>
      <c r="M148" s="17"/>
      <c r="N148" s="17"/>
      <c r="O148" s="1"/>
      <c r="P148" s="17"/>
      <c r="Q148" s="17"/>
      <c r="R148" s="17"/>
      <c r="S148" s="17"/>
      <c r="T148" s="17"/>
      <c r="U148" s="18"/>
      <c r="V148" s="1"/>
      <c r="W148" s="1"/>
      <c r="X148" s="1"/>
      <c r="Y148" s="1"/>
    </row>
    <row r="149" spans="1:25" ht="15.75" customHeight="1">
      <c r="A149" s="1"/>
      <c r="B149" s="1"/>
      <c r="C149" s="1"/>
      <c r="D149" s="1"/>
      <c r="E149" s="16"/>
      <c r="F149" s="17"/>
      <c r="G149" s="1"/>
      <c r="H149" s="16"/>
      <c r="I149" s="17"/>
      <c r="J149" s="18"/>
      <c r="K149" s="19"/>
      <c r="L149" s="17"/>
      <c r="M149" s="17"/>
      <c r="N149" s="17"/>
      <c r="O149" s="1"/>
      <c r="P149" s="17"/>
      <c r="Q149" s="17"/>
      <c r="R149" s="17"/>
      <c r="S149" s="17"/>
      <c r="T149" s="17"/>
      <c r="U149" s="18"/>
      <c r="V149" s="1"/>
      <c r="W149" s="1"/>
      <c r="X149" s="1"/>
      <c r="Y149" s="1"/>
    </row>
    <row r="150" spans="1:25" ht="15.75" customHeight="1">
      <c r="A150" s="1"/>
      <c r="B150" s="1"/>
      <c r="C150" s="1"/>
      <c r="D150" s="1"/>
      <c r="E150" s="16"/>
      <c r="F150" s="17"/>
      <c r="G150" s="1"/>
      <c r="H150" s="16"/>
      <c r="I150" s="17"/>
      <c r="J150" s="18"/>
      <c r="K150" s="19"/>
      <c r="L150" s="17"/>
      <c r="M150" s="17"/>
      <c r="N150" s="17"/>
      <c r="O150" s="1"/>
      <c r="P150" s="17"/>
      <c r="Q150" s="17"/>
      <c r="R150" s="17"/>
      <c r="S150" s="17"/>
      <c r="T150" s="17"/>
      <c r="U150" s="18"/>
      <c r="V150" s="1"/>
      <c r="W150" s="1"/>
      <c r="X150" s="1"/>
      <c r="Y150" s="1"/>
    </row>
    <row r="151" spans="1:25" ht="15.75" customHeight="1">
      <c r="A151" s="1"/>
      <c r="B151" s="1"/>
      <c r="C151" s="1"/>
      <c r="D151" s="1"/>
      <c r="E151" s="16"/>
      <c r="F151" s="17"/>
      <c r="G151" s="1"/>
      <c r="H151" s="16"/>
      <c r="I151" s="17"/>
      <c r="J151" s="18"/>
      <c r="K151" s="19"/>
      <c r="L151" s="17"/>
      <c r="M151" s="17"/>
      <c r="N151" s="17"/>
      <c r="O151" s="1"/>
      <c r="P151" s="17"/>
      <c r="Q151" s="17"/>
      <c r="R151" s="17"/>
      <c r="S151" s="17"/>
      <c r="T151" s="17"/>
      <c r="U151" s="18"/>
      <c r="V151" s="1"/>
      <c r="W151" s="1"/>
      <c r="X151" s="1"/>
      <c r="Y151" s="1"/>
    </row>
    <row r="152" spans="1:25" ht="15.75" customHeight="1">
      <c r="A152" s="1"/>
      <c r="B152" s="1"/>
      <c r="C152" s="1"/>
      <c r="D152" s="1"/>
      <c r="E152" s="16"/>
      <c r="F152" s="17"/>
      <c r="G152" s="1"/>
      <c r="H152" s="16"/>
      <c r="I152" s="17"/>
      <c r="J152" s="18"/>
      <c r="K152" s="19"/>
      <c r="L152" s="17"/>
      <c r="M152" s="17"/>
      <c r="N152" s="17"/>
      <c r="O152" s="1"/>
      <c r="P152" s="17"/>
      <c r="Q152" s="17"/>
      <c r="R152" s="17"/>
      <c r="S152" s="17"/>
      <c r="T152" s="17"/>
      <c r="U152" s="18"/>
      <c r="V152" s="1"/>
      <c r="W152" s="1"/>
      <c r="X152" s="1"/>
      <c r="Y152" s="1"/>
    </row>
    <row r="153" spans="1:25" ht="15.75" customHeight="1">
      <c r="A153" s="1"/>
      <c r="B153" s="1"/>
      <c r="C153" s="1"/>
      <c r="D153" s="1"/>
      <c r="E153" s="16"/>
      <c r="F153" s="17"/>
      <c r="G153" s="1"/>
      <c r="H153" s="16"/>
      <c r="I153" s="17"/>
      <c r="J153" s="18"/>
      <c r="K153" s="19"/>
      <c r="L153" s="17"/>
      <c r="M153" s="17"/>
      <c r="N153" s="17"/>
      <c r="O153" s="1"/>
      <c r="P153" s="17"/>
      <c r="Q153" s="17"/>
      <c r="R153" s="17"/>
      <c r="S153" s="17"/>
      <c r="T153" s="17"/>
      <c r="U153" s="18"/>
      <c r="V153" s="1"/>
      <c r="W153" s="1"/>
      <c r="X153" s="1"/>
      <c r="Y153" s="1"/>
    </row>
    <row r="154" spans="1:25" ht="15.75" customHeight="1">
      <c r="A154" s="1"/>
      <c r="B154" s="1"/>
      <c r="C154" s="1"/>
      <c r="D154" s="1"/>
      <c r="E154" s="16"/>
      <c r="F154" s="17"/>
      <c r="G154" s="1"/>
      <c r="H154" s="16"/>
      <c r="I154" s="17"/>
      <c r="J154" s="18"/>
      <c r="K154" s="19"/>
      <c r="L154" s="17"/>
      <c r="M154" s="17"/>
      <c r="N154" s="17"/>
      <c r="O154" s="1"/>
      <c r="P154" s="17"/>
      <c r="Q154" s="17"/>
      <c r="R154" s="17"/>
      <c r="S154" s="17"/>
      <c r="T154" s="17"/>
      <c r="U154" s="18"/>
      <c r="V154" s="1"/>
      <c r="W154" s="1"/>
      <c r="X154" s="1"/>
      <c r="Y154" s="1"/>
    </row>
    <row r="155" spans="1:25" ht="15.75" customHeight="1">
      <c r="A155" s="1"/>
      <c r="B155" s="1"/>
      <c r="C155" s="1"/>
      <c r="D155" s="1"/>
      <c r="E155" s="16"/>
      <c r="F155" s="17"/>
      <c r="G155" s="1"/>
      <c r="H155" s="16"/>
      <c r="I155" s="17"/>
      <c r="J155" s="18"/>
      <c r="K155" s="19"/>
      <c r="L155" s="17"/>
      <c r="M155" s="17"/>
      <c r="N155" s="17"/>
      <c r="O155" s="1"/>
      <c r="P155" s="17"/>
      <c r="Q155" s="17"/>
      <c r="R155" s="17"/>
      <c r="S155" s="17"/>
      <c r="T155" s="17"/>
      <c r="U155" s="18"/>
      <c r="V155" s="1"/>
      <c r="W155" s="1"/>
      <c r="X155" s="1"/>
      <c r="Y155" s="1"/>
    </row>
    <row r="156" spans="1:25" ht="15.75" customHeight="1">
      <c r="A156" s="1"/>
      <c r="B156" s="1"/>
      <c r="C156" s="1"/>
      <c r="D156" s="1"/>
      <c r="E156" s="16"/>
      <c r="F156" s="17"/>
      <c r="G156" s="1"/>
      <c r="H156" s="16"/>
      <c r="I156" s="17"/>
      <c r="J156" s="18"/>
      <c r="K156" s="19"/>
      <c r="L156" s="17"/>
      <c r="M156" s="17"/>
      <c r="N156" s="17"/>
      <c r="O156" s="1"/>
      <c r="P156" s="17"/>
      <c r="Q156" s="17"/>
      <c r="R156" s="17"/>
      <c r="S156" s="17"/>
      <c r="T156" s="17"/>
      <c r="U156" s="18"/>
      <c r="V156" s="1"/>
      <c r="W156" s="1"/>
      <c r="X156" s="1"/>
      <c r="Y156" s="1"/>
    </row>
    <row r="157" spans="1:25" ht="15.75" customHeight="1">
      <c r="A157" s="1"/>
      <c r="B157" s="1"/>
      <c r="C157" s="1"/>
      <c r="D157" s="1"/>
      <c r="E157" s="16"/>
      <c r="F157" s="17"/>
      <c r="G157" s="1"/>
      <c r="H157" s="16"/>
      <c r="I157" s="17"/>
      <c r="J157" s="18"/>
      <c r="K157" s="19"/>
      <c r="L157" s="17"/>
      <c r="M157" s="17"/>
      <c r="N157" s="17"/>
      <c r="O157" s="1"/>
      <c r="P157" s="17"/>
      <c r="Q157" s="17"/>
      <c r="R157" s="17"/>
      <c r="S157" s="17"/>
      <c r="T157" s="17"/>
      <c r="U157" s="18"/>
      <c r="V157" s="1"/>
      <c r="W157" s="1"/>
      <c r="X157" s="1"/>
      <c r="Y157" s="1"/>
    </row>
    <row r="158" spans="1:25" ht="15.75" customHeight="1">
      <c r="A158" s="1"/>
      <c r="B158" s="1"/>
      <c r="C158" s="1"/>
      <c r="D158" s="1"/>
      <c r="E158" s="16"/>
      <c r="F158" s="17"/>
      <c r="G158" s="1"/>
      <c r="H158" s="16"/>
      <c r="I158" s="17"/>
      <c r="J158" s="18"/>
      <c r="K158" s="19"/>
      <c r="L158" s="17"/>
      <c r="M158" s="17"/>
      <c r="N158" s="17"/>
      <c r="O158" s="1"/>
      <c r="P158" s="17"/>
      <c r="Q158" s="17"/>
      <c r="R158" s="17"/>
      <c r="S158" s="17"/>
      <c r="T158" s="17"/>
      <c r="U158" s="18"/>
      <c r="V158" s="1"/>
      <c r="W158" s="1"/>
      <c r="X158" s="1"/>
      <c r="Y158" s="1"/>
    </row>
    <row r="159" spans="1:25" ht="15.75" customHeight="1">
      <c r="A159" s="1"/>
      <c r="B159" s="1"/>
      <c r="C159" s="1"/>
      <c r="D159" s="1"/>
      <c r="E159" s="16"/>
      <c r="F159" s="17"/>
      <c r="G159" s="1"/>
      <c r="H159" s="16"/>
      <c r="I159" s="17"/>
      <c r="J159" s="18"/>
      <c r="K159" s="19"/>
      <c r="L159" s="17"/>
      <c r="M159" s="17"/>
      <c r="N159" s="17"/>
      <c r="O159" s="1"/>
      <c r="P159" s="17"/>
      <c r="Q159" s="17"/>
      <c r="R159" s="17"/>
      <c r="S159" s="17"/>
      <c r="T159" s="17"/>
      <c r="U159" s="18"/>
      <c r="V159" s="1"/>
      <c r="W159" s="1"/>
      <c r="X159" s="1"/>
      <c r="Y159" s="1"/>
    </row>
    <row r="160" spans="1:25" ht="15.75" customHeight="1">
      <c r="A160" s="1"/>
      <c r="B160" s="1"/>
      <c r="C160" s="1"/>
      <c r="D160" s="1"/>
      <c r="E160" s="16"/>
      <c r="F160" s="17"/>
      <c r="G160" s="1"/>
      <c r="H160" s="16"/>
      <c r="I160" s="17"/>
      <c r="J160" s="18"/>
      <c r="K160" s="19"/>
      <c r="L160" s="17"/>
      <c r="M160" s="17"/>
      <c r="N160" s="17"/>
      <c r="O160" s="1"/>
      <c r="P160" s="17"/>
      <c r="Q160" s="17"/>
      <c r="R160" s="17"/>
      <c r="S160" s="17"/>
      <c r="T160" s="17"/>
      <c r="U160" s="18"/>
      <c r="V160" s="1"/>
      <c r="W160" s="1"/>
      <c r="X160" s="1"/>
      <c r="Y160" s="1"/>
    </row>
    <row r="161" spans="1:25" ht="15.75" customHeight="1">
      <c r="A161" s="1"/>
      <c r="B161" s="1"/>
      <c r="C161" s="1"/>
      <c r="D161" s="1"/>
      <c r="E161" s="16"/>
      <c r="F161" s="17"/>
      <c r="G161" s="1"/>
      <c r="H161" s="16"/>
      <c r="I161" s="17"/>
      <c r="J161" s="18"/>
      <c r="K161" s="19"/>
      <c r="L161" s="17"/>
      <c r="M161" s="17"/>
      <c r="N161" s="17"/>
      <c r="O161" s="1"/>
      <c r="P161" s="17"/>
      <c r="Q161" s="17"/>
      <c r="R161" s="17"/>
      <c r="S161" s="17"/>
      <c r="T161" s="17"/>
      <c r="U161" s="18"/>
      <c r="V161" s="1"/>
      <c r="W161" s="1"/>
      <c r="X161" s="1"/>
      <c r="Y161" s="1"/>
    </row>
    <row r="162" spans="1:25" ht="15.75" customHeight="1">
      <c r="A162" s="1"/>
      <c r="B162" s="1"/>
      <c r="C162" s="1"/>
      <c r="D162" s="1"/>
      <c r="E162" s="16"/>
      <c r="F162" s="17"/>
      <c r="G162" s="1"/>
      <c r="H162" s="16"/>
      <c r="I162" s="17"/>
      <c r="J162" s="18"/>
      <c r="K162" s="19"/>
      <c r="L162" s="17"/>
      <c r="M162" s="17"/>
      <c r="N162" s="17"/>
      <c r="O162" s="1"/>
      <c r="P162" s="17"/>
      <c r="Q162" s="17"/>
      <c r="R162" s="17"/>
      <c r="S162" s="17"/>
      <c r="T162" s="17"/>
      <c r="U162" s="18"/>
      <c r="V162" s="1"/>
      <c r="W162" s="1"/>
      <c r="X162" s="1"/>
      <c r="Y162" s="1"/>
    </row>
    <row r="163" spans="1:25" ht="15.75" customHeight="1">
      <c r="A163" s="1"/>
      <c r="B163" s="1"/>
      <c r="C163" s="1"/>
      <c r="D163" s="1"/>
      <c r="E163" s="16"/>
      <c r="F163" s="17"/>
      <c r="G163" s="1"/>
      <c r="H163" s="16"/>
      <c r="I163" s="17"/>
      <c r="J163" s="18"/>
      <c r="K163" s="19"/>
      <c r="L163" s="17"/>
      <c r="M163" s="17"/>
      <c r="N163" s="17"/>
      <c r="O163" s="1"/>
      <c r="P163" s="17"/>
      <c r="Q163" s="17"/>
      <c r="R163" s="17"/>
      <c r="S163" s="17"/>
      <c r="T163" s="17"/>
      <c r="U163" s="18"/>
      <c r="V163" s="1"/>
      <c r="W163" s="1"/>
      <c r="X163" s="1"/>
      <c r="Y163" s="1"/>
    </row>
    <row r="164" spans="1:25" ht="15.75" customHeight="1">
      <c r="A164" s="1"/>
      <c r="B164" s="1"/>
      <c r="C164" s="1"/>
      <c r="D164" s="1"/>
      <c r="E164" s="16"/>
      <c r="F164" s="17"/>
      <c r="G164" s="1"/>
      <c r="H164" s="16"/>
      <c r="I164" s="17"/>
      <c r="J164" s="18"/>
      <c r="K164" s="19"/>
      <c r="L164" s="17"/>
      <c r="M164" s="17"/>
      <c r="N164" s="17"/>
      <c r="O164" s="1"/>
      <c r="P164" s="17"/>
      <c r="Q164" s="17"/>
      <c r="R164" s="17"/>
      <c r="S164" s="17"/>
      <c r="T164" s="17"/>
      <c r="U164" s="18"/>
      <c r="V164" s="1"/>
      <c r="W164" s="1"/>
      <c r="X164" s="1"/>
      <c r="Y164" s="1"/>
    </row>
    <row r="165" spans="1:25" ht="15.75" customHeight="1">
      <c r="A165" s="1"/>
      <c r="B165" s="1"/>
      <c r="C165" s="1"/>
      <c r="D165" s="1"/>
      <c r="E165" s="16"/>
      <c r="F165" s="17"/>
      <c r="G165" s="1"/>
      <c r="H165" s="16"/>
      <c r="I165" s="17"/>
      <c r="J165" s="18"/>
      <c r="K165" s="19"/>
      <c r="L165" s="17"/>
      <c r="M165" s="17"/>
      <c r="N165" s="17"/>
      <c r="O165" s="1"/>
      <c r="P165" s="17"/>
      <c r="Q165" s="17"/>
      <c r="R165" s="17"/>
      <c r="S165" s="17"/>
      <c r="T165" s="17"/>
      <c r="U165" s="18"/>
      <c r="V165" s="1"/>
      <c r="W165" s="1"/>
      <c r="X165" s="1"/>
      <c r="Y165" s="1"/>
    </row>
    <row r="166" spans="1:25" ht="15.75" customHeight="1">
      <c r="A166" s="1"/>
      <c r="B166" s="1"/>
      <c r="C166" s="1"/>
      <c r="D166" s="1"/>
      <c r="E166" s="16"/>
      <c r="F166" s="17"/>
      <c r="G166" s="1"/>
      <c r="H166" s="16"/>
      <c r="I166" s="17"/>
      <c r="J166" s="18"/>
      <c r="K166" s="19"/>
      <c r="L166" s="17"/>
      <c r="M166" s="17"/>
      <c r="N166" s="17"/>
      <c r="O166" s="1"/>
      <c r="P166" s="17"/>
      <c r="Q166" s="17"/>
      <c r="R166" s="17"/>
      <c r="S166" s="17"/>
      <c r="T166" s="17"/>
      <c r="U166" s="18"/>
      <c r="V166" s="1"/>
      <c r="W166" s="1"/>
      <c r="X166" s="1"/>
      <c r="Y166" s="1"/>
    </row>
    <row r="167" spans="1:25" ht="15.75" customHeight="1">
      <c r="A167" s="1"/>
      <c r="B167" s="1"/>
      <c r="C167" s="1"/>
      <c r="D167" s="1"/>
      <c r="E167" s="16"/>
      <c r="F167" s="17"/>
      <c r="G167" s="1"/>
      <c r="H167" s="16"/>
      <c r="I167" s="17"/>
      <c r="J167" s="18"/>
      <c r="K167" s="19"/>
      <c r="L167" s="17"/>
      <c r="M167" s="17"/>
      <c r="N167" s="17"/>
      <c r="O167" s="1"/>
      <c r="P167" s="17"/>
      <c r="Q167" s="17"/>
      <c r="R167" s="17"/>
      <c r="S167" s="17"/>
      <c r="T167" s="17"/>
      <c r="U167" s="18"/>
      <c r="V167" s="1"/>
      <c r="W167" s="1"/>
      <c r="X167" s="1"/>
      <c r="Y167" s="1"/>
    </row>
    <row r="168" spans="1:25" ht="15.75" customHeight="1">
      <c r="A168" s="1"/>
      <c r="B168" s="1"/>
      <c r="C168" s="1"/>
      <c r="D168" s="1"/>
      <c r="E168" s="16"/>
      <c r="F168" s="17"/>
      <c r="G168" s="1"/>
      <c r="H168" s="16"/>
      <c r="I168" s="17"/>
      <c r="J168" s="18"/>
      <c r="K168" s="19"/>
      <c r="L168" s="17"/>
      <c r="M168" s="17"/>
      <c r="N168" s="17"/>
      <c r="O168" s="1"/>
      <c r="P168" s="17"/>
      <c r="Q168" s="17"/>
      <c r="R168" s="17"/>
      <c r="S168" s="17"/>
      <c r="T168" s="17"/>
      <c r="U168" s="18"/>
      <c r="V168" s="1"/>
      <c r="W168" s="1"/>
      <c r="X168" s="1"/>
      <c r="Y168" s="1"/>
    </row>
    <row r="169" spans="1:25" ht="15.75" customHeight="1">
      <c r="A169" s="1"/>
      <c r="B169" s="1"/>
      <c r="C169" s="1"/>
      <c r="D169" s="1"/>
      <c r="E169" s="16"/>
      <c r="F169" s="17"/>
      <c r="G169" s="1"/>
      <c r="H169" s="16"/>
      <c r="I169" s="17"/>
      <c r="J169" s="18"/>
      <c r="K169" s="19"/>
      <c r="L169" s="17"/>
      <c r="M169" s="17"/>
      <c r="N169" s="17"/>
      <c r="O169" s="1"/>
      <c r="P169" s="17"/>
      <c r="Q169" s="17"/>
      <c r="R169" s="17"/>
      <c r="S169" s="17"/>
      <c r="T169" s="17"/>
      <c r="U169" s="18"/>
      <c r="V169" s="1"/>
      <c r="W169" s="1"/>
      <c r="X169" s="1"/>
      <c r="Y169" s="1"/>
    </row>
    <row r="170" spans="1:25" ht="15.75" customHeight="1">
      <c r="A170" s="1"/>
      <c r="B170" s="1"/>
      <c r="C170" s="1"/>
      <c r="D170" s="1"/>
      <c r="E170" s="16"/>
      <c r="F170" s="17"/>
      <c r="G170" s="1"/>
      <c r="H170" s="16"/>
      <c r="I170" s="17"/>
      <c r="J170" s="18"/>
      <c r="K170" s="19"/>
      <c r="L170" s="17"/>
      <c r="M170" s="17"/>
      <c r="N170" s="17"/>
      <c r="O170" s="1"/>
      <c r="P170" s="17"/>
      <c r="Q170" s="17"/>
      <c r="R170" s="17"/>
      <c r="S170" s="17"/>
      <c r="T170" s="17"/>
      <c r="U170" s="18"/>
      <c r="V170" s="1"/>
      <c r="W170" s="1"/>
      <c r="X170" s="1"/>
      <c r="Y170" s="1"/>
    </row>
    <row r="171" spans="1:25" ht="15.75" customHeight="1">
      <c r="A171" s="1"/>
      <c r="B171" s="1"/>
      <c r="C171" s="1"/>
      <c r="D171" s="1"/>
      <c r="E171" s="16"/>
      <c r="F171" s="17"/>
      <c r="G171" s="1"/>
      <c r="H171" s="16"/>
      <c r="I171" s="17"/>
      <c r="J171" s="18"/>
      <c r="K171" s="19"/>
      <c r="L171" s="17"/>
      <c r="M171" s="17"/>
      <c r="N171" s="17"/>
      <c r="O171" s="1"/>
      <c r="P171" s="17"/>
      <c r="Q171" s="17"/>
      <c r="R171" s="17"/>
      <c r="S171" s="17"/>
      <c r="T171" s="17"/>
      <c r="U171" s="18"/>
      <c r="V171" s="1"/>
      <c r="W171" s="1"/>
      <c r="X171" s="1"/>
      <c r="Y171" s="1"/>
    </row>
    <row r="172" spans="1:25" ht="15.75" customHeight="1">
      <c r="A172" s="1"/>
      <c r="B172" s="1"/>
      <c r="C172" s="1"/>
      <c r="D172" s="1"/>
      <c r="E172" s="16"/>
      <c r="F172" s="17"/>
      <c r="G172" s="1"/>
      <c r="H172" s="16"/>
      <c r="I172" s="17"/>
      <c r="J172" s="18"/>
      <c r="K172" s="19"/>
      <c r="L172" s="17"/>
      <c r="M172" s="17"/>
      <c r="N172" s="17"/>
      <c r="O172" s="1"/>
      <c r="P172" s="17"/>
      <c r="Q172" s="17"/>
      <c r="R172" s="17"/>
      <c r="S172" s="17"/>
      <c r="T172" s="17"/>
      <c r="U172" s="18"/>
      <c r="V172" s="1"/>
      <c r="W172" s="1"/>
      <c r="X172" s="1"/>
      <c r="Y172" s="1"/>
    </row>
    <row r="173" spans="1:25" ht="15.75" customHeight="1">
      <c r="A173" s="1"/>
      <c r="B173" s="1"/>
      <c r="C173" s="1"/>
      <c r="D173" s="1"/>
      <c r="E173" s="16"/>
      <c r="F173" s="17"/>
      <c r="G173" s="1"/>
      <c r="H173" s="16"/>
      <c r="I173" s="17"/>
      <c r="J173" s="18"/>
      <c r="K173" s="19"/>
      <c r="L173" s="17"/>
      <c r="M173" s="17"/>
      <c r="N173" s="17"/>
      <c r="O173" s="1"/>
      <c r="P173" s="17"/>
      <c r="Q173" s="17"/>
      <c r="R173" s="17"/>
      <c r="S173" s="17"/>
      <c r="T173" s="17"/>
      <c r="U173" s="18"/>
      <c r="V173" s="1"/>
      <c r="W173" s="1"/>
      <c r="X173" s="1"/>
      <c r="Y173" s="1"/>
    </row>
    <row r="174" spans="1:25" ht="15.75" customHeight="1">
      <c r="A174" s="1"/>
      <c r="B174" s="1"/>
      <c r="C174" s="1"/>
      <c r="D174" s="1"/>
      <c r="E174" s="16"/>
      <c r="F174" s="17"/>
      <c r="G174" s="1"/>
      <c r="H174" s="16"/>
      <c r="I174" s="17"/>
      <c r="J174" s="18"/>
      <c r="K174" s="19"/>
      <c r="L174" s="17"/>
      <c r="M174" s="17"/>
      <c r="N174" s="17"/>
      <c r="O174" s="1"/>
      <c r="P174" s="17"/>
      <c r="Q174" s="17"/>
      <c r="R174" s="17"/>
      <c r="S174" s="17"/>
      <c r="T174" s="17"/>
      <c r="U174" s="18"/>
      <c r="V174" s="1"/>
      <c r="W174" s="1"/>
      <c r="X174" s="1"/>
      <c r="Y174" s="1"/>
    </row>
    <row r="175" spans="1:25" ht="15.75" customHeight="1">
      <c r="A175" s="1"/>
      <c r="B175" s="1"/>
      <c r="C175" s="1"/>
      <c r="D175" s="1"/>
      <c r="E175" s="16"/>
      <c r="F175" s="17"/>
      <c r="G175" s="1"/>
      <c r="H175" s="16"/>
      <c r="I175" s="17"/>
      <c r="J175" s="18"/>
      <c r="K175" s="19"/>
      <c r="L175" s="17"/>
      <c r="M175" s="17"/>
      <c r="N175" s="17"/>
      <c r="O175" s="1"/>
      <c r="P175" s="17"/>
      <c r="Q175" s="17"/>
      <c r="R175" s="17"/>
      <c r="S175" s="17"/>
      <c r="T175" s="17"/>
      <c r="U175" s="18"/>
      <c r="V175" s="1"/>
      <c r="W175" s="1"/>
      <c r="X175" s="1"/>
      <c r="Y175" s="1"/>
    </row>
    <row r="176" spans="1:25" ht="15.75" customHeight="1">
      <c r="A176" s="1"/>
      <c r="B176" s="1"/>
      <c r="C176" s="1"/>
      <c r="D176" s="1"/>
      <c r="E176" s="16"/>
      <c r="F176" s="17"/>
      <c r="G176" s="1"/>
      <c r="H176" s="16"/>
      <c r="I176" s="17"/>
      <c r="J176" s="18"/>
      <c r="K176" s="19"/>
      <c r="L176" s="17"/>
      <c r="M176" s="17"/>
      <c r="N176" s="17"/>
      <c r="O176" s="1"/>
      <c r="P176" s="17"/>
      <c r="Q176" s="17"/>
      <c r="R176" s="17"/>
      <c r="S176" s="17"/>
      <c r="T176" s="17"/>
      <c r="U176" s="18"/>
      <c r="V176" s="1"/>
      <c r="W176" s="1"/>
      <c r="X176" s="1"/>
      <c r="Y176" s="1"/>
    </row>
    <row r="177" spans="1:25" ht="15.75" customHeight="1">
      <c r="A177" s="1"/>
      <c r="B177" s="1"/>
      <c r="C177" s="1"/>
      <c r="D177" s="1"/>
      <c r="E177" s="16"/>
      <c r="F177" s="17"/>
      <c r="G177" s="1"/>
      <c r="H177" s="16"/>
      <c r="I177" s="17"/>
      <c r="J177" s="18"/>
      <c r="K177" s="19"/>
      <c r="L177" s="17"/>
      <c r="M177" s="17"/>
      <c r="N177" s="17"/>
      <c r="O177" s="1"/>
      <c r="P177" s="17"/>
      <c r="Q177" s="17"/>
      <c r="R177" s="17"/>
      <c r="S177" s="17"/>
      <c r="T177" s="17"/>
      <c r="U177" s="18"/>
      <c r="V177" s="1"/>
      <c r="W177" s="1"/>
      <c r="X177" s="1"/>
      <c r="Y177" s="1"/>
    </row>
    <row r="178" spans="1:25" ht="15.75" customHeight="1">
      <c r="A178" s="1"/>
      <c r="B178" s="1"/>
      <c r="C178" s="1"/>
      <c r="D178" s="1"/>
      <c r="E178" s="16"/>
      <c r="F178" s="17"/>
      <c r="G178" s="1"/>
      <c r="H178" s="16"/>
      <c r="I178" s="17"/>
      <c r="J178" s="18"/>
      <c r="K178" s="19"/>
      <c r="L178" s="17"/>
      <c r="M178" s="17"/>
      <c r="N178" s="17"/>
      <c r="O178" s="1"/>
      <c r="P178" s="17"/>
      <c r="Q178" s="17"/>
      <c r="R178" s="17"/>
      <c r="S178" s="17"/>
      <c r="T178" s="17"/>
      <c r="U178" s="18"/>
      <c r="V178" s="1"/>
      <c r="W178" s="1"/>
      <c r="X178" s="1"/>
      <c r="Y178" s="1"/>
    </row>
    <row r="179" spans="1:25" ht="15.75" customHeight="1">
      <c r="A179" s="1"/>
      <c r="B179" s="1"/>
      <c r="C179" s="1"/>
      <c r="D179" s="1"/>
      <c r="E179" s="16"/>
      <c r="F179" s="17"/>
      <c r="G179" s="1"/>
      <c r="H179" s="16"/>
      <c r="I179" s="17"/>
      <c r="J179" s="18"/>
      <c r="K179" s="19"/>
      <c r="L179" s="17"/>
      <c r="M179" s="17"/>
      <c r="N179" s="17"/>
      <c r="O179" s="1"/>
      <c r="P179" s="17"/>
      <c r="Q179" s="17"/>
      <c r="R179" s="17"/>
      <c r="S179" s="17"/>
      <c r="T179" s="17"/>
      <c r="U179" s="18"/>
      <c r="V179" s="1"/>
      <c r="W179" s="1"/>
      <c r="X179" s="1"/>
      <c r="Y179" s="1"/>
    </row>
    <row r="180" spans="1:25" ht="15.75" customHeight="1">
      <c r="A180" s="1"/>
      <c r="B180" s="1"/>
      <c r="C180" s="1"/>
      <c r="D180" s="1"/>
      <c r="E180" s="16"/>
      <c r="F180" s="17"/>
      <c r="G180" s="1"/>
      <c r="H180" s="16"/>
      <c r="I180" s="17"/>
      <c r="J180" s="18"/>
      <c r="K180" s="19"/>
      <c r="L180" s="17"/>
      <c r="M180" s="17"/>
      <c r="N180" s="17"/>
      <c r="O180" s="1"/>
      <c r="P180" s="17"/>
      <c r="Q180" s="17"/>
      <c r="R180" s="17"/>
      <c r="S180" s="17"/>
      <c r="T180" s="17"/>
      <c r="U180" s="18"/>
      <c r="V180" s="1"/>
      <c r="W180" s="1"/>
      <c r="X180" s="1"/>
      <c r="Y180" s="1"/>
    </row>
    <row r="181" spans="1:25" ht="15.75" customHeight="1">
      <c r="A181" s="1"/>
      <c r="B181" s="1"/>
      <c r="C181" s="1"/>
      <c r="D181" s="1"/>
      <c r="E181" s="16"/>
      <c r="F181" s="17"/>
      <c r="G181" s="1"/>
      <c r="H181" s="16"/>
      <c r="I181" s="17"/>
      <c r="J181" s="18"/>
      <c r="K181" s="19"/>
      <c r="L181" s="17"/>
      <c r="M181" s="17"/>
      <c r="N181" s="17"/>
      <c r="O181" s="1"/>
      <c r="P181" s="17"/>
      <c r="Q181" s="17"/>
      <c r="R181" s="17"/>
      <c r="S181" s="17"/>
      <c r="T181" s="17"/>
      <c r="U181" s="18"/>
      <c r="V181" s="1"/>
      <c r="W181" s="1"/>
      <c r="X181" s="1"/>
      <c r="Y181" s="1"/>
    </row>
    <row r="182" spans="1:25" ht="15.75" customHeight="1">
      <c r="A182" s="1"/>
      <c r="B182" s="1"/>
      <c r="C182" s="1"/>
      <c r="D182" s="1"/>
      <c r="E182" s="16"/>
      <c r="F182" s="17"/>
      <c r="G182" s="1"/>
      <c r="H182" s="16"/>
      <c r="I182" s="17"/>
      <c r="J182" s="18"/>
      <c r="K182" s="19"/>
      <c r="L182" s="17"/>
      <c r="M182" s="17"/>
      <c r="N182" s="17"/>
      <c r="O182" s="1"/>
      <c r="P182" s="17"/>
      <c r="Q182" s="17"/>
      <c r="R182" s="17"/>
      <c r="S182" s="17"/>
      <c r="T182" s="17"/>
      <c r="U182" s="18"/>
      <c r="V182" s="1"/>
      <c r="W182" s="1"/>
      <c r="X182" s="1"/>
      <c r="Y182" s="1"/>
    </row>
    <row r="183" spans="1:25" ht="15.75" customHeight="1">
      <c r="A183" s="1"/>
      <c r="B183" s="1"/>
      <c r="C183" s="1"/>
      <c r="D183" s="1"/>
      <c r="E183" s="16"/>
      <c r="F183" s="17"/>
      <c r="G183" s="1"/>
      <c r="H183" s="16"/>
      <c r="I183" s="17"/>
      <c r="J183" s="18"/>
      <c r="K183" s="19"/>
      <c r="L183" s="17"/>
      <c r="M183" s="17"/>
      <c r="N183" s="17"/>
      <c r="O183" s="1"/>
      <c r="P183" s="17"/>
      <c r="Q183" s="17"/>
      <c r="R183" s="17"/>
      <c r="S183" s="17"/>
      <c r="T183" s="17"/>
      <c r="U183" s="18"/>
      <c r="V183" s="1"/>
      <c r="W183" s="1"/>
      <c r="X183" s="1"/>
      <c r="Y183" s="1"/>
    </row>
    <row r="184" spans="1:25" ht="15.75" customHeight="1">
      <c r="A184" s="1"/>
      <c r="B184" s="1"/>
      <c r="C184" s="1"/>
      <c r="D184" s="1"/>
      <c r="E184" s="16"/>
      <c r="F184" s="17"/>
      <c r="G184" s="1"/>
      <c r="H184" s="16"/>
      <c r="I184" s="17"/>
      <c r="J184" s="18"/>
      <c r="K184" s="19"/>
      <c r="L184" s="17"/>
      <c r="M184" s="17"/>
      <c r="N184" s="17"/>
      <c r="O184" s="1"/>
      <c r="P184" s="17"/>
      <c r="Q184" s="17"/>
      <c r="R184" s="17"/>
      <c r="S184" s="17"/>
      <c r="T184" s="17"/>
      <c r="U184" s="18"/>
      <c r="V184" s="1"/>
      <c r="W184" s="1"/>
      <c r="X184" s="1"/>
      <c r="Y184" s="1"/>
    </row>
    <row r="185" spans="1:25" ht="15.75" customHeight="1">
      <c r="A185" s="1"/>
      <c r="B185" s="1"/>
      <c r="C185" s="1"/>
      <c r="D185" s="1"/>
      <c r="E185" s="16"/>
      <c r="F185" s="17"/>
      <c r="G185" s="1"/>
      <c r="H185" s="16"/>
      <c r="I185" s="17"/>
      <c r="J185" s="18"/>
      <c r="K185" s="19"/>
      <c r="L185" s="17"/>
      <c r="M185" s="17"/>
      <c r="N185" s="17"/>
      <c r="O185" s="1"/>
      <c r="P185" s="17"/>
      <c r="Q185" s="17"/>
      <c r="R185" s="17"/>
      <c r="S185" s="17"/>
      <c r="T185" s="17"/>
      <c r="U185" s="18"/>
      <c r="V185" s="1"/>
      <c r="W185" s="1"/>
      <c r="X185" s="1"/>
      <c r="Y185" s="1"/>
    </row>
    <row r="186" spans="1:25" ht="15.75" customHeight="1">
      <c r="A186" s="1"/>
      <c r="B186" s="1"/>
      <c r="C186" s="1"/>
      <c r="D186" s="1"/>
      <c r="E186" s="16"/>
      <c r="F186" s="17"/>
      <c r="G186" s="1"/>
      <c r="H186" s="16"/>
      <c r="I186" s="17"/>
      <c r="J186" s="18"/>
      <c r="K186" s="19"/>
      <c r="L186" s="17"/>
      <c r="M186" s="17"/>
      <c r="N186" s="17"/>
      <c r="O186" s="1"/>
      <c r="P186" s="17"/>
      <c r="Q186" s="17"/>
      <c r="R186" s="17"/>
      <c r="S186" s="17"/>
      <c r="T186" s="17"/>
      <c r="U186" s="18"/>
      <c r="V186" s="1"/>
      <c r="W186" s="1"/>
      <c r="X186" s="1"/>
      <c r="Y186" s="1"/>
    </row>
    <row r="187" spans="1:25" ht="15.75" customHeight="1">
      <c r="A187" s="1"/>
      <c r="B187" s="1"/>
      <c r="C187" s="1"/>
      <c r="D187" s="1"/>
      <c r="E187" s="16"/>
      <c r="F187" s="17"/>
      <c r="G187" s="1"/>
      <c r="H187" s="16"/>
      <c r="I187" s="17"/>
      <c r="J187" s="18"/>
      <c r="K187" s="19"/>
      <c r="L187" s="17"/>
      <c r="M187" s="17"/>
      <c r="N187" s="17"/>
      <c r="O187" s="1"/>
      <c r="P187" s="17"/>
      <c r="Q187" s="17"/>
      <c r="R187" s="17"/>
      <c r="S187" s="17"/>
      <c r="T187" s="17"/>
      <c r="U187" s="18"/>
      <c r="V187" s="1"/>
      <c r="W187" s="1"/>
      <c r="X187" s="1"/>
      <c r="Y187" s="1"/>
    </row>
    <row r="188" spans="1:25" ht="15.75" customHeight="1">
      <c r="A188" s="1"/>
      <c r="B188" s="1"/>
      <c r="C188" s="1"/>
      <c r="D188" s="1"/>
      <c r="E188" s="16"/>
      <c r="F188" s="17"/>
      <c r="G188" s="1"/>
      <c r="H188" s="16"/>
      <c r="I188" s="17"/>
      <c r="J188" s="18"/>
      <c r="K188" s="19"/>
      <c r="L188" s="17"/>
      <c r="M188" s="17"/>
      <c r="N188" s="17"/>
      <c r="O188" s="1"/>
      <c r="P188" s="17"/>
      <c r="Q188" s="17"/>
      <c r="R188" s="17"/>
      <c r="S188" s="17"/>
      <c r="T188" s="17"/>
      <c r="U188" s="18"/>
      <c r="V188" s="1"/>
      <c r="W188" s="1"/>
      <c r="X188" s="1"/>
      <c r="Y188" s="1"/>
    </row>
    <row r="189" spans="1:25" ht="15.75" customHeight="1">
      <c r="A189" s="1"/>
      <c r="B189" s="1"/>
      <c r="C189" s="1"/>
      <c r="D189" s="1"/>
      <c r="E189" s="16"/>
      <c r="F189" s="17"/>
      <c r="G189" s="1"/>
      <c r="H189" s="16"/>
      <c r="I189" s="17"/>
      <c r="J189" s="18"/>
      <c r="K189" s="19"/>
      <c r="L189" s="17"/>
      <c r="M189" s="17"/>
      <c r="N189" s="17"/>
      <c r="O189" s="1"/>
      <c r="P189" s="17"/>
      <c r="Q189" s="17"/>
      <c r="R189" s="17"/>
      <c r="S189" s="17"/>
      <c r="T189" s="17"/>
      <c r="U189" s="18"/>
      <c r="V189" s="1"/>
      <c r="W189" s="1"/>
      <c r="X189" s="1"/>
      <c r="Y189" s="1"/>
    </row>
    <row r="190" spans="1:25" ht="15.75" customHeight="1">
      <c r="A190" s="1"/>
      <c r="B190" s="1"/>
      <c r="C190" s="1"/>
      <c r="D190" s="1"/>
      <c r="E190" s="16"/>
      <c r="F190" s="17"/>
      <c r="G190" s="1"/>
      <c r="H190" s="16"/>
      <c r="I190" s="17"/>
      <c r="J190" s="18"/>
      <c r="K190" s="19"/>
      <c r="L190" s="17"/>
      <c r="M190" s="17"/>
      <c r="N190" s="17"/>
      <c r="O190" s="1"/>
      <c r="P190" s="17"/>
      <c r="Q190" s="17"/>
      <c r="R190" s="17"/>
      <c r="S190" s="17"/>
      <c r="T190" s="17"/>
      <c r="U190" s="18"/>
      <c r="V190" s="1"/>
      <c r="W190" s="1"/>
      <c r="X190" s="1"/>
      <c r="Y190" s="1"/>
    </row>
    <row r="191" spans="1:25" ht="15.75" customHeight="1">
      <c r="A191" s="1"/>
      <c r="B191" s="1"/>
      <c r="C191" s="1"/>
      <c r="D191" s="1"/>
      <c r="E191" s="16"/>
      <c r="F191" s="17"/>
      <c r="G191" s="1"/>
      <c r="H191" s="16"/>
      <c r="I191" s="17"/>
      <c r="J191" s="18"/>
      <c r="K191" s="19"/>
      <c r="L191" s="17"/>
      <c r="M191" s="17"/>
      <c r="N191" s="17"/>
      <c r="O191" s="1"/>
      <c r="P191" s="17"/>
      <c r="Q191" s="17"/>
      <c r="R191" s="17"/>
      <c r="S191" s="17"/>
      <c r="T191" s="17"/>
      <c r="U191" s="18"/>
      <c r="V191" s="1"/>
      <c r="W191" s="1"/>
      <c r="X191" s="1"/>
      <c r="Y191" s="1"/>
    </row>
    <row r="192" spans="1:25" ht="15.75" customHeight="1">
      <c r="A192" s="1"/>
      <c r="B192" s="1"/>
      <c r="C192" s="1"/>
      <c r="D192" s="1"/>
      <c r="E192" s="16"/>
      <c r="F192" s="17"/>
      <c r="G192" s="1"/>
      <c r="H192" s="16"/>
      <c r="I192" s="17"/>
      <c r="J192" s="18"/>
      <c r="K192" s="19"/>
      <c r="L192" s="17"/>
      <c r="M192" s="17"/>
      <c r="N192" s="17"/>
      <c r="O192" s="1"/>
      <c r="P192" s="17"/>
      <c r="Q192" s="17"/>
      <c r="R192" s="17"/>
      <c r="S192" s="17"/>
      <c r="T192" s="17"/>
      <c r="U192" s="18"/>
      <c r="V192" s="1"/>
      <c r="W192" s="1"/>
      <c r="X192" s="1"/>
      <c r="Y192" s="1"/>
    </row>
    <row r="193" spans="1:25" ht="15.75" customHeight="1">
      <c r="A193" s="1"/>
      <c r="B193" s="1"/>
      <c r="C193" s="1"/>
      <c r="D193" s="1"/>
      <c r="E193" s="16"/>
      <c r="F193" s="17"/>
      <c r="G193" s="1"/>
      <c r="H193" s="16"/>
      <c r="I193" s="17"/>
      <c r="J193" s="18"/>
      <c r="K193" s="19"/>
      <c r="L193" s="17"/>
      <c r="M193" s="17"/>
      <c r="N193" s="17"/>
      <c r="O193" s="1"/>
      <c r="P193" s="17"/>
      <c r="Q193" s="17"/>
      <c r="R193" s="17"/>
      <c r="S193" s="17"/>
      <c r="T193" s="17"/>
      <c r="U193" s="18"/>
      <c r="V193" s="1"/>
      <c r="W193" s="1"/>
      <c r="X193" s="1"/>
      <c r="Y193" s="1"/>
    </row>
    <row r="194" spans="1:25" ht="15.75" customHeight="1">
      <c r="A194" s="1"/>
      <c r="B194" s="1"/>
      <c r="C194" s="1"/>
      <c r="D194" s="1"/>
      <c r="E194" s="16"/>
      <c r="F194" s="17"/>
      <c r="G194" s="1"/>
      <c r="H194" s="16"/>
      <c r="I194" s="17"/>
      <c r="J194" s="18"/>
      <c r="K194" s="19"/>
      <c r="L194" s="17"/>
      <c r="M194" s="17"/>
      <c r="N194" s="17"/>
      <c r="O194" s="1"/>
      <c r="P194" s="17"/>
      <c r="Q194" s="17"/>
      <c r="R194" s="17"/>
      <c r="S194" s="17"/>
      <c r="T194" s="17"/>
      <c r="U194" s="18"/>
      <c r="V194" s="1"/>
      <c r="W194" s="1"/>
      <c r="X194" s="1"/>
      <c r="Y194" s="1"/>
    </row>
    <row r="195" spans="1:25" ht="15.75" customHeight="1">
      <c r="A195" s="1"/>
      <c r="B195" s="1"/>
      <c r="C195" s="1"/>
      <c r="D195" s="1"/>
      <c r="E195" s="16"/>
      <c r="F195" s="17"/>
      <c r="G195" s="1"/>
      <c r="H195" s="16"/>
      <c r="I195" s="17"/>
      <c r="J195" s="18"/>
      <c r="K195" s="19"/>
      <c r="L195" s="17"/>
      <c r="M195" s="17"/>
      <c r="N195" s="17"/>
      <c r="O195" s="1"/>
      <c r="P195" s="17"/>
      <c r="Q195" s="17"/>
      <c r="R195" s="17"/>
      <c r="S195" s="17"/>
      <c r="T195" s="17"/>
      <c r="U195" s="18"/>
      <c r="V195" s="1"/>
      <c r="W195" s="1"/>
      <c r="X195" s="1"/>
      <c r="Y195" s="1"/>
    </row>
    <row r="196" spans="1:25" ht="15.75" customHeight="1">
      <c r="A196" s="1"/>
      <c r="B196" s="1"/>
      <c r="C196" s="1"/>
      <c r="D196" s="1"/>
      <c r="E196" s="16"/>
      <c r="F196" s="17"/>
      <c r="G196" s="1"/>
      <c r="H196" s="16"/>
      <c r="I196" s="17"/>
      <c r="J196" s="18"/>
      <c r="K196" s="19"/>
      <c r="L196" s="17"/>
      <c r="M196" s="17"/>
      <c r="N196" s="17"/>
      <c r="O196" s="1"/>
      <c r="P196" s="17"/>
      <c r="Q196" s="17"/>
      <c r="R196" s="17"/>
      <c r="S196" s="17"/>
      <c r="T196" s="17"/>
      <c r="U196" s="18"/>
      <c r="V196" s="1"/>
      <c r="W196" s="1"/>
      <c r="X196" s="1"/>
      <c r="Y196" s="1"/>
    </row>
    <row r="197" spans="1:25" ht="15.75" customHeight="1">
      <c r="A197" s="1"/>
      <c r="B197" s="1"/>
      <c r="C197" s="1"/>
      <c r="D197" s="1"/>
      <c r="E197" s="16"/>
      <c r="F197" s="17"/>
      <c r="G197" s="1"/>
      <c r="H197" s="16"/>
      <c r="I197" s="17"/>
      <c r="J197" s="18"/>
      <c r="K197" s="19"/>
      <c r="L197" s="17"/>
      <c r="M197" s="17"/>
      <c r="N197" s="17"/>
      <c r="O197" s="1"/>
      <c r="P197" s="17"/>
      <c r="Q197" s="17"/>
      <c r="R197" s="17"/>
      <c r="S197" s="17"/>
      <c r="T197" s="17"/>
      <c r="U197" s="18"/>
      <c r="V197" s="1"/>
      <c r="W197" s="1"/>
      <c r="X197" s="1"/>
      <c r="Y197" s="1"/>
    </row>
    <row r="198" spans="1:25" ht="15.75" customHeight="1">
      <c r="A198" s="1"/>
      <c r="B198" s="1"/>
      <c r="C198" s="1"/>
      <c r="D198" s="1"/>
      <c r="E198" s="16"/>
      <c r="F198" s="17"/>
      <c r="G198" s="1"/>
      <c r="H198" s="16"/>
      <c r="I198" s="17"/>
      <c r="J198" s="18"/>
      <c r="K198" s="19"/>
      <c r="L198" s="17"/>
      <c r="M198" s="17"/>
      <c r="N198" s="17"/>
      <c r="O198" s="1"/>
      <c r="P198" s="17"/>
      <c r="Q198" s="17"/>
      <c r="R198" s="17"/>
      <c r="S198" s="17"/>
      <c r="T198" s="17"/>
      <c r="U198" s="18"/>
      <c r="V198" s="1"/>
      <c r="W198" s="1"/>
      <c r="X198" s="1"/>
      <c r="Y198" s="1"/>
    </row>
    <row r="199" spans="1:25" ht="15.75" customHeight="1">
      <c r="A199" s="1"/>
      <c r="B199" s="1"/>
      <c r="C199" s="1"/>
      <c r="D199" s="1"/>
      <c r="E199" s="16"/>
      <c r="F199" s="17"/>
      <c r="G199" s="1"/>
      <c r="H199" s="16"/>
      <c r="I199" s="17"/>
      <c r="J199" s="18"/>
      <c r="K199" s="19"/>
      <c r="L199" s="17"/>
      <c r="M199" s="17"/>
      <c r="N199" s="17"/>
      <c r="O199" s="1"/>
      <c r="P199" s="17"/>
      <c r="Q199" s="17"/>
      <c r="R199" s="17"/>
      <c r="S199" s="17"/>
      <c r="T199" s="17"/>
      <c r="U199" s="18"/>
      <c r="V199" s="1"/>
      <c r="W199" s="1"/>
      <c r="X199" s="1"/>
      <c r="Y199" s="1"/>
    </row>
    <row r="200" spans="1:25" ht="15.75" customHeight="1">
      <c r="A200" s="1"/>
      <c r="B200" s="1"/>
      <c r="C200" s="1"/>
      <c r="D200" s="1"/>
      <c r="E200" s="16"/>
      <c r="F200" s="17"/>
      <c r="G200" s="1"/>
      <c r="H200" s="16"/>
      <c r="I200" s="17"/>
      <c r="J200" s="18"/>
      <c r="K200" s="19"/>
      <c r="L200" s="17"/>
      <c r="M200" s="17"/>
      <c r="N200" s="17"/>
      <c r="O200" s="1"/>
      <c r="P200" s="17"/>
      <c r="Q200" s="17"/>
      <c r="R200" s="17"/>
      <c r="S200" s="17"/>
      <c r="T200" s="17"/>
      <c r="U200" s="18"/>
      <c r="V200" s="1"/>
      <c r="W200" s="1"/>
      <c r="X200" s="1"/>
      <c r="Y200" s="1"/>
    </row>
    <row r="201" spans="1:25" ht="15.75" customHeight="1">
      <c r="A201" s="1"/>
      <c r="B201" s="1"/>
      <c r="C201" s="1"/>
      <c r="D201" s="1"/>
      <c r="E201" s="16"/>
      <c r="F201" s="17"/>
      <c r="G201" s="1"/>
      <c r="H201" s="16"/>
      <c r="I201" s="17"/>
      <c r="J201" s="18"/>
      <c r="K201" s="19"/>
      <c r="L201" s="17"/>
      <c r="M201" s="17"/>
      <c r="N201" s="17"/>
      <c r="O201" s="1"/>
      <c r="P201" s="17"/>
      <c r="Q201" s="17"/>
      <c r="R201" s="17"/>
      <c r="S201" s="17"/>
      <c r="T201" s="17"/>
      <c r="U201" s="18"/>
      <c r="V201" s="1"/>
      <c r="W201" s="1"/>
      <c r="X201" s="1"/>
      <c r="Y201" s="1"/>
    </row>
    <row r="202" spans="1:25" ht="15.75" customHeight="1">
      <c r="A202" s="1"/>
      <c r="B202" s="1"/>
      <c r="C202" s="1"/>
      <c r="D202" s="1"/>
      <c r="E202" s="16"/>
      <c r="F202" s="17"/>
      <c r="G202" s="1"/>
      <c r="H202" s="16"/>
      <c r="I202" s="17"/>
      <c r="J202" s="18"/>
      <c r="K202" s="19"/>
      <c r="L202" s="17"/>
      <c r="M202" s="17"/>
      <c r="N202" s="17"/>
      <c r="O202" s="1"/>
      <c r="P202" s="17"/>
      <c r="Q202" s="17"/>
      <c r="R202" s="17"/>
      <c r="S202" s="17"/>
      <c r="T202" s="17"/>
      <c r="U202" s="18"/>
      <c r="V202" s="1"/>
      <c r="W202" s="1"/>
      <c r="X202" s="1"/>
      <c r="Y202" s="1"/>
    </row>
    <row r="203" spans="1:25" ht="15.75" customHeight="1">
      <c r="A203" s="1"/>
      <c r="B203" s="1"/>
      <c r="C203" s="1"/>
      <c r="D203" s="1"/>
      <c r="E203" s="16"/>
      <c r="F203" s="17"/>
      <c r="G203" s="1"/>
      <c r="H203" s="16"/>
      <c r="I203" s="17"/>
      <c r="J203" s="18"/>
      <c r="K203" s="19"/>
      <c r="L203" s="17"/>
      <c r="M203" s="17"/>
      <c r="N203" s="17"/>
      <c r="O203" s="1"/>
      <c r="P203" s="17"/>
      <c r="Q203" s="17"/>
      <c r="R203" s="17"/>
      <c r="S203" s="17"/>
      <c r="T203" s="17"/>
      <c r="U203" s="18"/>
      <c r="V203" s="1"/>
      <c r="W203" s="1"/>
      <c r="X203" s="1"/>
      <c r="Y203" s="1"/>
    </row>
    <row r="204" spans="1:25" ht="15.75" customHeight="1">
      <c r="A204" s="1"/>
      <c r="B204" s="1"/>
      <c r="C204" s="1"/>
      <c r="D204" s="1"/>
      <c r="E204" s="16"/>
      <c r="F204" s="17"/>
      <c r="G204" s="1"/>
      <c r="H204" s="16"/>
      <c r="I204" s="17"/>
      <c r="J204" s="18"/>
      <c r="K204" s="19"/>
      <c r="L204" s="17"/>
      <c r="M204" s="17"/>
      <c r="N204" s="17"/>
      <c r="O204" s="1"/>
      <c r="P204" s="17"/>
      <c r="Q204" s="17"/>
      <c r="R204" s="17"/>
      <c r="S204" s="17"/>
      <c r="T204" s="17"/>
      <c r="U204" s="18"/>
      <c r="V204" s="1"/>
      <c r="W204" s="1"/>
      <c r="X204" s="1"/>
      <c r="Y204" s="1"/>
    </row>
    <row r="205" spans="1:25" ht="15.75" customHeight="1">
      <c r="A205" s="1"/>
      <c r="B205" s="1"/>
      <c r="C205" s="1"/>
      <c r="D205" s="1"/>
      <c r="E205" s="16"/>
      <c r="F205" s="17"/>
      <c r="G205" s="1"/>
      <c r="H205" s="16"/>
      <c r="I205" s="17"/>
      <c r="J205" s="18"/>
      <c r="K205" s="19"/>
      <c r="L205" s="17"/>
      <c r="M205" s="17"/>
      <c r="N205" s="17"/>
      <c r="O205" s="1"/>
      <c r="P205" s="17"/>
      <c r="Q205" s="17"/>
      <c r="R205" s="17"/>
      <c r="S205" s="17"/>
      <c r="T205" s="17"/>
      <c r="U205" s="18"/>
      <c r="V205" s="1"/>
      <c r="W205" s="1"/>
      <c r="X205" s="1"/>
      <c r="Y205" s="1"/>
    </row>
    <row r="206" spans="1:25" ht="15.75" customHeight="1">
      <c r="A206" s="1"/>
      <c r="B206" s="1"/>
      <c r="C206" s="1"/>
      <c r="D206" s="1"/>
      <c r="E206" s="16"/>
      <c r="F206" s="17"/>
      <c r="G206" s="1"/>
      <c r="H206" s="16"/>
      <c r="I206" s="17"/>
      <c r="J206" s="18"/>
      <c r="K206" s="19"/>
      <c r="L206" s="17"/>
      <c r="M206" s="17"/>
      <c r="N206" s="17"/>
      <c r="O206" s="1"/>
      <c r="P206" s="17"/>
      <c r="Q206" s="17"/>
      <c r="R206" s="17"/>
      <c r="S206" s="17"/>
      <c r="T206" s="17"/>
      <c r="U206" s="18"/>
      <c r="V206" s="1"/>
      <c r="W206" s="1"/>
      <c r="X206" s="1"/>
      <c r="Y206" s="1"/>
    </row>
    <row r="207" spans="1:25" ht="15.75" customHeight="1">
      <c r="A207" s="1"/>
      <c r="B207" s="1"/>
      <c r="C207" s="1"/>
      <c r="D207" s="1"/>
      <c r="E207" s="16"/>
      <c r="F207" s="17"/>
      <c r="G207" s="1"/>
      <c r="H207" s="16"/>
      <c r="I207" s="17"/>
      <c r="J207" s="18"/>
      <c r="K207" s="19"/>
      <c r="L207" s="17"/>
      <c r="M207" s="17"/>
      <c r="N207" s="17"/>
      <c r="O207" s="1"/>
      <c r="P207" s="17"/>
      <c r="Q207" s="17"/>
      <c r="R207" s="17"/>
      <c r="S207" s="17"/>
      <c r="T207" s="17"/>
      <c r="U207" s="18"/>
      <c r="V207" s="1"/>
      <c r="W207" s="1"/>
      <c r="X207" s="1"/>
      <c r="Y207" s="1"/>
    </row>
    <row r="208" spans="1:25" ht="15.75" customHeight="1">
      <c r="A208" s="1"/>
      <c r="B208" s="1"/>
      <c r="C208" s="1"/>
      <c r="D208" s="1"/>
      <c r="E208" s="16"/>
      <c r="F208" s="17"/>
      <c r="G208" s="1"/>
      <c r="H208" s="16"/>
      <c r="I208" s="17"/>
      <c r="J208" s="18"/>
      <c r="K208" s="19"/>
      <c r="L208" s="17"/>
      <c r="M208" s="17"/>
      <c r="N208" s="17"/>
      <c r="O208" s="1"/>
      <c r="P208" s="17"/>
      <c r="Q208" s="17"/>
      <c r="R208" s="17"/>
      <c r="S208" s="17"/>
      <c r="T208" s="17"/>
      <c r="U208" s="18"/>
      <c r="V208" s="1"/>
      <c r="W208" s="1"/>
      <c r="X208" s="1"/>
      <c r="Y208" s="1"/>
    </row>
    <row r="209" spans="1:25" ht="15.75" customHeight="1">
      <c r="A209" s="1"/>
      <c r="B209" s="1"/>
      <c r="C209" s="1"/>
      <c r="D209" s="1"/>
      <c r="E209" s="16"/>
      <c r="F209" s="17"/>
      <c r="G209" s="1"/>
      <c r="H209" s="16"/>
      <c r="I209" s="17"/>
      <c r="J209" s="18"/>
      <c r="K209" s="19"/>
      <c r="L209" s="17"/>
      <c r="M209" s="17"/>
      <c r="N209" s="17"/>
      <c r="O209" s="1"/>
      <c r="P209" s="17"/>
      <c r="Q209" s="17"/>
      <c r="R209" s="17"/>
      <c r="S209" s="17"/>
      <c r="T209" s="17"/>
      <c r="U209" s="18"/>
      <c r="V209" s="1"/>
      <c r="W209" s="1"/>
      <c r="X209" s="1"/>
      <c r="Y209" s="1"/>
    </row>
    <row r="210" spans="1:25" ht="15.75" customHeight="1">
      <c r="A210" s="1"/>
      <c r="B210" s="1"/>
      <c r="C210" s="1"/>
      <c r="D210" s="1"/>
      <c r="E210" s="16"/>
      <c r="F210" s="17"/>
      <c r="G210" s="1"/>
      <c r="H210" s="16"/>
      <c r="I210" s="17"/>
      <c r="J210" s="18"/>
      <c r="K210" s="19"/>
      <c r="L210" s="17"/>
      <c r="M210" s="17"/>
      <c r="N210" s="17"/>
      <c r="O210" s="1"/>
      <c r="P210" s="17"/>
      <c r="Q210" s="17"/>
      <c r="R210" s="17"/>
      <c r="S210" s="17"/>
      <c r="T210" s="17"/>
      <c r="U210" s="18"/>
      <c r="V210" s="1"/>
      <c r="W210" s="1"/>
      <c r="X210" s="1"/>
      <c r="Y210" s="1"/>
    </row>
    <row r="211" spans="1:25" ht="15.75" customHeight="1">
      <c r="A211" s="1"/>
      <c r="B211" s="1"/>
      <c r="C211" s="1"/>
      <c r="D211" s="1"/>
      <c r="E211" s="16"/>
      <c r="F211" s="17"/>
      <c r="G211" s="1"/>
      <c r="H211" s="16"/>
      <c r="I211" s="17"/>
      <c r="J211" s="18"/>
      <c r="K211" s="19"/>
      <c r="L211" s="17"/>
      <c r="M211" s="17"/>
      <c r="N211" s="17"/>
      <c r="O211" s="1"/>
      <c r="P211" s="17"/>
      <c r="Q211" s="17"/>
      <c r="R211" s="17"/>
      <c r="S211" s="17"/>
      <c r="T211" s="17"/>
      <c r="U211" s="18"/>
      <c r="V211" s="1"/>
      <c r="W211" s="1"/>
      <c r="X211" s="1"/>
      <c r="Y211" s="1"/>
    </row>
    <row r="212" spans="1:25" ht="15.75" customHeight="1">
      <c r="A212" s="1"/>
      <c r="B212" s="1"/>
      <c r="C212" s="1"/>
      <c r="D212" s="1"/>
      <c r="E212" s="16"/>
      <c r="F212" s="17"/>
      <c r="G212" s="1"/>
      <c r="H212" s="16"/>
      <c r="I212" s="17"/>
      <c r="J212" s="18"/>
      <c r="K212" s="19"/>
      <c r="L212" s="17"/>
      <c r="M212" s="17"/>
      <c r="N212" s="17"/>
      <c r="O212" s="1"/>
      <c r="P212" s="17"/>
      <c r="Q212" s="17"/>
      <c r="R212" s="17"/>
      <c r="S212" s="17"/>
      <c r="T212" s="17"/>
      <c r="U212" s="18"/>
      <c r="V212" s="1"/>
      <c r="W212" s="1"/>
      <c r="X212" s="1"/>
      <c r="Y212" s="1"/>
    </row>
    <row r="213" spans="1:25" ht="15.75" customHeight="1">
      <c r="A213" s="1"/>
      <c r="B213" s="1"/>
      <c r="C213" s="1"/>
      <c r="D213" s="1"/>
      <c r="E213" s="16"/>
      <c r="F213" s="17"/>
      <c r="G213" s="1"/>
      <c r="H213" s="16"/>
      <c r="I213" s="17"/>
      <c r="J213" s="18"/>
      <c r="K213" s="19"/>
      <c r="L213" s="17"/>
      <c r="M213" s="17"/>
      <c r="N213" s="17"/>
      <c r="O213" s="1"/>
      <c r="P213" s="17"/>
      <c r="Q213" s="17"/>
      <c r="R213" s="17"/>
      <c r="S213" s="17"/>
      <c r="T213" s="17"/>
      <c r="U213" s="18"/>
      <c r="V213" s="1"/>
      <c r="W213" s="1"/>
      <c r="X213" s="1"/>
      <c r="Y213" s="1"/>
    </row>
    <row r="214" spans="1:25" ht="15.75" customHeight="1">
      <c r="A214" s="1"/>
      <c r="B214" s="1"/>
      <c r="C214" s="1"/>
      <c r="D214" s="1"/>
      <c r="E214" s="16"/>
      <c r="F214" s="17"/>
      <c r="G214" s="1"/>
      <c r="H214" s="16"/>
      <c r="I214" s="17"/>
      <c r="J214" s="18"/>
      <c r="K214" s="19"/>
      <c r="L214" s="17"/>
      <c r="M214" s="17"/>
      <c r="N214" s="17"/>
      <c r="O214" s="1"/>
      <c r="P214" s="17"/>
      <c r="Q214" s="17"/>
      <c r="R214" s="17"/>
      <c r="S214" s="17"/>
      <c r="T214" s="17"/>
      <c r="U214" s="18"/>
      <c r="V214" s="1"/>
      <c r="W214" s="1"/>
      <c r="X214" s="1"/>
      <c r="Y214" s="1"/>
    </row>
    <row r="215" spans="1:25" ht="15.75" customHeight="1">
      <c r="A215" s="1"/>
      <c r="B215" s="1"/>
      <c r="C215" s="1"/>
      <c r="D215" s="1"/>
      <c r="E215" s="16"/>
      <c r="F215" s="17"/>
      <c r="G215" s="1"/>
      <c r="H215" s="16"/>
      <c r="I215" s="17"/>
      <c r="J215" s="18"/>
      <c r="K215" s="19"/>
      <c r="L215" s="17"/>
      <c r="M215" s="17"/>
      <c r="N215" s="17"/>
      <c r="O215" s="1"/>
      <c r="P215" s="17"/>
      <c r="Q215" s="17"/>
      <c r="R215" s="17"/>
      <c r="S215" s="17"/>
      <c r="T215" s="17"/>
      <c r="U215" s="18"/>
      <c r="V215" s="1"/>
      <c r="W215" s="1"/>
      <c r="X215" s="1"/>
      <c r="Y215" s="1"/>
    </row>
    <row r="216" spans="1:25" ht="15.75" customHeight="1">
      <c r="A216" s="1"/>
      <c r="B216" s="1"/>
      <c r="C216" s="1"/>
      <c r="D216" s="1"/>
      <c r="E216" s="16"/>
      <c r="F216" s="17"/>
      <c r="G216" s="1"/>
      <c r="H216" s="16"/>
      <c r="I216" s="17"/>
      <c r="J216" s="18"/>
      <c r="K216" s="19"/>
      <c r="L216" s="17"/>
      <c r="M216" s="17"/>
      <c r="N216" s="17"/>
      <c r="O216" s="1"/>
      <c r="P216" s="17"/>
      <c r="Q216" s="17"/>
      <c r="R216" s="17"/>
      <c r="S216" s="17"/>
      <c r="T216" s="17"/>
      <c r="U216" s="18"/>
      <c r="V216" s="1"/>
      <c r="W216" s="1"/>
      <c r="X216" s="1"/>
      <c r="Y216" s="1"/>
    </row>
    <row r="217" spans="1:25" ht="15.75" customHeight="1">
      <c r="A217" s="1"/>
      <c r="B217" s="1"/>
      <c r="C217" s="1"/>
      <c r="D217" s="1"/>
      <c r="E217" s="16"/>
      <c r="F217" s="17"/>
      <c r="G217" s="1"/>
      <c r="H217" s="16"/>
      <c r="I217" s="17"/>
      <c r="J217" s="18"/>
      <c r="K217" s="19"/>
      <c r="L217" s="17"/>
      <c r="M217" s="17"/>
      <c r="N217" s="17"/>
      <c r="O217" s="1"/>
      <c r="P217" s="17"/>
      <c r="Q217" s="17"/>
      <c r="R217" s="17"/>
      <c r="S217" s="17"/>
      <c r="T217" s="17"/>
      <c r="U217" s="18"/>
      <c r="V217" s="1"/>
      <c r="W217" s="1"/>
      <c r="X217" s="1"/>
      <c r="Y217" s="1"/>
    </row>
    <row r="218" spans="1:25" ht="15.75" customHeight="1">
      <c r="A218" s="1"/>
      <c r="B218" s="1"/>
      <c r="C218" s="1"/>
      <c r="D218" s="1"/>
      <c r="E218" s="16"/>
      <c r="F218" s="17"/>
      <c r="G218" s="1"/>
      <c r="H218" s="16"/>
      <c r="I218" s="17"/>
      <c r="J218" s="18"/>
      <c r="K218" s="19"/>
      <c r="L218" s="17"/>
      <c r="M218" s="17"/>
      <c r="N218" s="17"/>
      <c r="O218" s="1"/>
      <c r="P218" s="17"/>
      <c r="Q218" s="17"/>
      <c r="R218" s="17"/>
      <c r="S218" s="17"/>
      <c r="T218" s="17"/>
      <c r="U218" s="18"/>
      <c r="V218" s="1"/>
      <c r="W218" s="1"/>
      <c r="X218" s="1"/>
      <c r="Y218" s="1"/>
    </row>
    <row r="219" spans="1:25" ht="15.75" customHeight="1">
      <c r="A219" s="1"/>
      <c r="B219" s="1"/>
      <c r="C219" s="1"/>
      <c r="D219" s="1"/>
      <c r="E219" s="16"/>
      <c r="F219" s="17"/>
      <c r="G219" s="1"/>
      <c r="H219" s="16"/>
      <c r="I219" s="17"/>
      <c r="J219" s="18"/>
      <c r="K219" s="19"/>
      <c r="L219" s="17"/>
      <c r="M219" s="17"/>
      <c r="N219" s="17"/>
      <c r="O219" s="1"/>
      <c r="P219" s="17"/>
      <c r="Q219" s="17"/>
      <c r="R219" s="17"/>
      <c r="S219" s="17"/>
      <c r="T219" s="17"/>
      <c r="U219" s="18"/>
      <c r="V219" s="1"/>
      <c r="W219" s="1"/>
      <c r="X219" s="1"/>
      <c r="Y219" s="1"/>
    </row>
    <row r="220" spans="1:25" ht="15.75" customHeight="1">
      <c r="A220" s="1"/>
      <c r="B220" s="1"/>
      <c r="C220" s="1"/>
      <c r="D220" s="1"/>
      <c r="E220" s="16"/>
      <c r="F220" s="17"/>
      <c r="G220" s="1"/>
      <c r="H220" s="16"/>
      <c r="I220" s="17"/>
      <c r="J220" s="18"/>
      <c r="K220" s="19"/>
      <c r="L220" s="17"/>
      <c r="M220" s="17"/>
      <c r="N220" s="17"/>
      <c r="O220" s="1"/>
      <c r="P220" s="17"/>
      <c r="Q220" s="17"/>
      <c r="R220" s="17"/>
      <c r="S220" s="17"/>
      <c r="T220" s="17"/>
      <c r="U220" s="18"/>
      <c r="V220" s="1"/>
      <c r="W220" s="1"/>
      <c r="X220" s="1"/>
      <c r="Y220" s="1"/>
    </row>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tableParts count="1">
    <tablePart r:id="rId1"/>
  </tableParts>
  <extLst>
    <ext xmlns:x14="http://schemas.microsoft.com/office/spreadsheetml/2009/9/main" uri="{CCE6A557-97BC-4b89-ADB6-D9C93CAAB3DF}">
      <x14:dataValidations xmlns:xm="http://schemas.microsoft.com/office/excel/2006/main" count="5">
        <x14:dataValidation type="list" allowBlank="1" showErrorMessage="1" xr:uid="{00000000-0002-0000-0200-000000000000}">
          <x14:formula1>
            <xm:f>Choice_Data!$A$1:$A$55</xm:f>
          </x14:formula1>
          <xm:sqref>C96:C220</xm:sqref>
        </x14:dataValidation>
        <x14:dataValidation type="list" allowBlank="1" showErrorMessage="1" xr:uid="{00000000-0002-0000-0200-000001000000}">
          <x14:formula1>
            <xm:f>Choice_Data!$C$1:$C$18</xm:f>
          </x14:formula1>
          <xm:sqref>G2:G150</xm:sqref>
        </x14:dataValidation>
        <x14:dataValidation type="list" allowBlank="1" showErrorMessage="1" xr:uid="{00000000-0002-0000-0200-000002000000}">
          <x14:formula1>
            <xm:f>Choice_Data!$D$1:$D$3</xm:f>
          </x14:formula1>
          <xm:sqref>O2:O220 V2:X220</xm:sqref>
        </x14:dataValidation>
        <x14:dataValidation type="list" allowBlank="1" showErrorMessage="1" xr:uid="{00000000-0002-0000-0200-000003000000}">
          <x14:formula1>
            <xm:f>Choice_Data!$B$1:$B$17</xm:f>
          </x14:formula1>
          <xm:sqref>D67:D220</xm:sqref>
        </x14:dataValidation>
        <x14:dataValidation type="list" allowBlank="1" showErrorMessage="1" xr:uid="{00000000-0002-0000-0200-000004000000}">
          <x14:formula1>
            <xm:f>Choice_Data!$C$1:$C$8</xm:f>
          </x14:formula1>
          <xm:sqref>G151:G220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2.59765625" defaultRowHeight="15" customHeight="1"/>
  <cols>
    <col min="1" max="1" width="36.59765625" customWidth="1"/>
    <col min="2" max="2" width="21.3984375" customWidth="1"/>
    <col min="3" max="3" width="30.09765625" customWidth="1"/>
    <col min="4" max="4" width="18.3984375" customWidth="1"/>
    <col min="5" max="6" width="8.69921875" customWidth="1"/>
    <col min="7" max="26" width="14.3984375" customWidth="1"/>
  </cols>
  <sheetData>
    <row r="1" spans="1:4" ht="14.4">
      <c r="A1" s="1" t="s">
        <v>0</v>
      </c>
      <c r="B1" s="1" t="s">
        <v>1</v>
      </c>
      <c r="C1" s="1" t="s">
        <v>3</v>
      </c>
      <c r="D1" s="1" t="s">
        <v>4</v>
      </c>
    </row>
    <row r="2" spans="1:4" ht="14.4">
      <c r="A2" s="1" t="s">
        <v>5</v>
      </c>
      <c r="B2" s="1" t="s">
        <v>6</v>
      </c>
      <c r="C2" s="1" t="s">
        <v>7</v>
      </c>
      <c r="D2" s="1" t="s">
        <v>8</v>
      </c>
    </row>
    <row r="3" spans="1:4" ht="14.4">
      <c r="A3" s="1" t="s">
        <v>9</v>
      </c>
      <c r="B3" s="1" t="s">
        <v>11</v>
      </c>
      <c r="C3" s="1" t="s">
        <v>12</v>
      </c>
      <c r="D3" s="1" t="s">
        <v>14</v>
      </c>
    </row>
    <row r="4" spans="1:4" ht="14.4">
      <c r="A4" s="1" t="s">
        <v>16</v>
      </c>
      <c r="B4" s="1" t="s">
        <v>17</v>
      </c>
      <c r="C4" s="1" t="s">
        <v>19</v>
      </c>
    </row>
    <row r="5" spans="1:4" ht="14.4">
      <c r="A5" s="1" t="s">
        <v>21</v>
      </c>
      <c r="B5" s="1" t="s">
        <v>23</v>
      </c>
      <c r="C5" s="1" t="s">
        <v>24</v>
      </c>
    </row>
    <row r="6" spans="1:4" ht="14.4">
      <c r="A6" s="1" t="s">
        <v>26</v>
      </c>
      <c r="B6" s="1" t="s">
        <v>27</v>
      </c>
      <c r="C6" s="1" t="s">
        <v>29</v>
      </c>
    </row>
    <row r="7" spans="1:4" ht="14.4">
      <c r="A7" s="1" t="s">
        <v>30</v>
      </c>
      <c r="B7" s="1" t="s">
        <v>32</v>
      </c>
      <c r="C7" s="1" t="s">
        <v>33</v>
      </c>
    </row>
    <row r="8" spans="1:4" ht="14.4">
      <c r="A8" s="1" t="s">
        <v>35</v>
      </c>
      <c r="B8" s="1" t="s">
        <v>39</v>
      </c>
      <c r="C8" s="1" t="s">
        <v>41</v>
      </c>
    </row>
    <row r="9" spans="1:4" ht="14.4">
      <c r="A9" s="1" t="s">
        <v>43</v>
      </c>
      <c r="B9" s="1" t="s">
        <v>44</v>
      </c>
      <c r="C9" s="1" t="s">
        <v>46</v>
      </c>
    </row>
    <row r="10" spans="1:4" ht="14.4">
      <c r="A10" s="1" t="s">
        <v>48</v>
      </c>
      <c r="B10" s="1" t="s">
        <v>50</v>
      </c>
      <c r="C10" s="1" t="s">
        <v>52</v>
      </c>
    </row>
    <row r="11" spans="1:4" ht="14.4">
      <c r="A11" s="1" t="s">
        <v>54</v>
      </c>
      <c r="B11" s="1" t="s">
        <v>55</v>
      </c>
      <c r="C11" s="1" t="s">
        <v>57</v>
      </c>
    </row>
    <row r="12" spans="1:4" ht="14.4">
      <c r="A12" s="1" t="s">
        <v>59</v>
      </c>
      <c r="B12" s="1" t="s">
        <v>61</v>
      </c>
      <c r="C12" s="1" t="s">
        <v>62</v>
      </c>
    </row>
    <row r="13" spans="1:4" ht="14.4">
      <c r="A13" s="1" t="s">
        <v>64</v>
      </c>
      <c r="B13" s="1" t="s">
        <v>65</v>
      </c>
      <c r="C13" s="1" t="s">
        <v>67</v>
      </c>
    </row>
    <row r="14" spans="1:4" ht="14.4">
      <c r="A14" s="1" t="s">
        <v>69</v>
      </c>
      <c r="B14" s="1" t="s">
        <v>71</v>
      </c>
      <c r="C14" s="1" t="s">
        <v>72</v>
      </c>
    </row>
    <row r="15" spans="1:4" ht="14.4">
      <c r="A15" s="1" t="s">
        <v>74</v>
      </c>
      <c r="B15" s="1" t="s">
        <v>75</v>
      </c>
      <c r="C15" s="1" t="s">
        <v>77</v>
      </c>
    </row>
    <row r="16" spans="1:4" ht="14.4">
      <c r="A16" s="1" t="s">
        <v>78</v>
      </c>
      <c r="B16" s="1" t="s">
        <v>80</v>
      </c>
      <c r="C16" s="1" t="s">
        <v>81</v>
      </c>
    </row>
    <row r="17" spans="1:3" ht="14.4">
      <c r="A17" s="1" t="s">
        <v>83</v>
      </c>
      <c r="B17" s="1" t="s">
        <v>14</v>
      </c>
      <c r="C17" s="1" t="s">
        <v>86</v>
      </c>
    </row>
    <row r="18" spans="1:3" ht="14.4">
      <c r="A18" s="1" t="s">
        <v>88</v>
      </c>
      <c r="C18" s="1" t="s">
        <v>14</v>
      </c>
    </row>
    <row r="19" spans="1:3" ht="14.4">
      <c r="A19" s="1" t="s">
        <v>90</v>
      </c>
    </row>
    <row r="20" spans="1:3" ht="14.4">
      <c r="A20" s="1" t="s">
        <v>92</v>
      </c>
    </row>
    <row r="21" spans="1:3" ht="15.75" customHeight="1">
      <c r="A21" s="1" t="s">
        <v>94</v>
      </c>
    </row>
    <row r="22" spans="1:3" ht="15.75" customHeight="1">
      <c r="A22" s="1" t="s">
        <v>95</v>
      </c>
    </row>
    <row r="23" spans="1:3" ht="15.75" customHeight="1">
      <c r="A23" s="1" t="s">
        <v>97</v>
      </c>
    </row>
    <row r="24" spans="1:3" ht="15.75" customHeight="1">
      <c r="A24" s="1" t="s">
        <v>99</v>
      </c>
    </row>
    <row r="25" spans="1:3" ht="15.75" customHeight="1">
      <c r="A25" s="1" t="s">
        <v>100</v>
      </c>
    </row>
    <row r="26" spans="1:3" ht="15.75" customHeight="1">
      <c r="A26" s="1" t="s">
        <v>102</v>
      </c>
    </row>
    <row r="27" spans="1:3" ht="15.75" customHeight="1">
      <c r="A27" s="1" t="s">
        <v>103</v>
      </c>
    </row>
    <row r="28" spans="1:3" ht="15.75" customHeight="1">
      <c r="A28" s="1" t="s">
        <v>104</v>
      </c>
    </row>
    <row r="29" spans="1:3" ht="15.75" customHeight="1">
      <c r="A29" s="1" t="s">
        <v>105</v>
      </c>
    </row>
    <row r="30" spans="1:3" ht="15.75" customHeight="1">
      <c r="A30" s="1" t="s">
        <v>106</v>
      </c>
    </row>
    <row r="31" spans="1:3" ht="15.75" customHeight="1">
      <c r="A31" s="1" t="s">
        <v>107</v>
      </c>
    </row>
    <row r="32" spans="1:3" ht="15.75" customHeight="1">
      <c r="A32" s="1" t="s">
        <v>108</v>
      </c>
    </row>
    <row r="33" spans="1:1" ht="15.75" customHeight="1">
      <c r="A33" s="1" t="s">
        <v>109</v>
      </c>
    </row>
    <row r="34" spans="1:1" ht="15.75" customHeight="1">
      <c r="A34" s="1" t="s">
        <v>110</v>
      </c>
    </row>
    <row r="35" spans="1:1" ht="15.75" customHeight="1">
      <c r="A35" s="1" t="s">
        <v>112</v>
      </c>
    </row>
    <row r="36" spans="1:1" ht="15.75" customHeight="1">
      <c r="A36" s="1" t="s">
        <v>113</v>
      </c>
    </row>
    <row r="37" spans="1:1" ht="15.75" customHeight="1">
      <c r="A37" s="1" t="s">
        <v>114</v>
      </c>
    </row>
    <row r="38" spans="1:1" ht="15.75" customHeight="1">
      <c r="A38" s="1" t="s">
        <v>115</v>
      </c>
    </row>
    <row r="39" spans="1:1" ht="15.75" customHeight="1">
      <c r="A39" s="1" t="s">
        <v>116</v>
      </c>
    </row>
    <row r="40" spans="1:1" ht="15.75" customHeight="1">
      <c r="A40" s="1" t="s">
        <v>117</v>
      </c>
    </row>
    <row r="41" spans="1:1" ht="15.75" customHeight="1">
      <c r="A41" s="1" t="s">
        <v>118</v>
      </c>
    </row>
    <row r="42" spans="1:1" ht="15.75" customHeight="1">
      <c r="A42" s="1" t="s">
        <v>119</v>
      </c>
    </row>
    <row r="43" spans="1:1" ht="15.75" customHeight="1">
      <c r="A43" s="1" t="s">
        <v>120</v>
      </c>
    </row>
    <row r="44" spans="1:1" ht="15.75" customHeight="1">
      <c r="A44" s="1" t="s">
        <v>122</v>
      </c>
    </row>
    <row r="45" spans="1:1" ht="15.75" customHeight="1">
      <c r="A45" s="1" t="s">
        <v>124</v>
      </c>
    </row>
    <row r="46" spans="1:1" ht="15.75" customHeight="1">
      <c r="A46" s="1" t="s">
        <v>125</v>
      </c>
    </row>
    <row r="47" spans="1:1" ht="15.75" customHeight="1">
      <c r="A47" s="1" t="s">
        <v>126</v>
      </c>
    </row>
    <row r="48" spans="1:1" ht="15.75" customHeight="1">
      <c r="A48" s="1" t="s">
        <v>127</v>
      </c>
    </row>
    <row r="49" spans="1:1" ht="15.75" customHeight="1">
      <c r="A49" s="1" t="s">
        <v>128</v>
      </c>
    </row>
    <row r="50" spans="1:1" ht="15.75" customHeight="1">
      <c r="A50" s="1" t="s">
        <v>130</v>
      </c>
    </row>
    <row r="51" spans="1:1" ht="15.75" customHeight="1">
      <c r="A51" s="1" t="s">
        <v>131</v>
      </c>
    </row>
    <row r="52" spans="1:1" ht="15.75" customHeight="1">
      <c r="A52" s="1" t="s">
        <v>132</v>
      </c>
    </row>
    <row r="53" spans="1:1" ht="15.75" customHeight="1">
      <c r="A53" s="1" t="s">
        <v>133</v>
      </c>
    </row>
    <row r="54" spans="1:1" ht="15.75" customHeight="1">
      <c r="A54" s="1" t="s">
        <v>80</v>
      </c>
    </row>
    <row r="55" spans="1:1" ht="15.75" customHeight="1">
      <c r="A55" s="1" t="s">
        <v>14</v>
      </c>
    </row>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heetViews>
  <sheetFormatPr defaultColWidth="12.59765625" defaultRowHeight="15" customHeight="1"/>
  <cols>
    <col min="1" max="1" width="16.69921875" customWidth="1"/>
    <col min="2" max="4" width="8.69921875" customWidth="1"/>
    <col min="5" max="5" width="19.59765625" customWidth="1"/>
    <col min="6" max="6" width="25.19921875" customWidth="1"/>
    <col min="7" max="9" width="8.69921875" customWidth="1"/>
    <col min="10" max="26" width="14.3984375" customWidth="1"/>
  </cols>
  <sheetData>
    <row r="1" spans="1:9" ht="14.4">
      <c r="A1" s="1" t="s">
        <v>145</v>
      </c>
      <c r="B1" s="36" t="s">
        <v>147</v>
      </c>
      <c r="C1" s="38" t="s">
        <v>148</v>
      </c>
      <c r="D1" s="40" t="s">
        <v>149</v>
      </c>
    </row>
    <row r="2" spans="1:9" ht="14.4">
      <c r="A2" s="1" t="s">
        <v>150</v>
      </c>
      <c r="B2" s="41" t="s">
        <v>152</v>
      </c>
      <c r="C2" s="43" t="s">
        <v>156</v>
      </c>
      <c r="D2" s="44" t="s">
        <v>157</v>
      </c>
      <c r="E2" s="17"/>
      <c r="H2" s="17"/>
    </row>
    <row r="3" spans="1:9" ht="14.4">
      <c r="A3" s="1" t="s">
        <v>158</v>
      </c>
      <c r="B3" s="41" t="s">
        <v>159</v>
      </c>
      <c r="C3" s="43" t="s">
        <v>160</v>
      </c>
      <c r="D3" s="44" t="s">
        <v>161</v>
      </c>
      <c r="E3" s="17"/>
      <c r="F3" s="17"/>
      <c r="G3" s="17"/>
      <c r="H3" s="17"/>
    </row>
    <row r="4" spans="1:9" ht="14.4">
      <c r="A4" s="1" t="s">
        <v>162</v>
      </c>
      <c r="B4" s="41" t="s">
        <v>163</v>
      </c>
      <c r="C4" s="43" t="s">
        <v>164</v>
      </c>
      <c r="D4" s="44" t="s">
        <v>165</v>
      </c>
      <c r="E4" s="17"/>
      <c r="F4" s="17"/>
      <c r="G4" s="17"/>
      <c r="H4" s="17"/>
    </row>
    <row r="5" spans="1:9" ht="14.4">
      <c r="A5" s="1" t="s">
        <v>166</v>
      </c>
      <c r="B5" s="41" t="s">
        <v>167</v>
      </c>
      <c r="C5" s="43" t="s">
        <v>168</v>
      </c>
      <c r="D5" s="44" t="s">
        <v>169</v>
      </c>
      <c r="E5" s="17"/>
      <c r="F5" s="17"/>
      <c r="G5" s="17"/>
      <c r="H5" s="17"/>
      <c r="I5" s="17"/>
    </row>
    <row r="6" spans="1:9" ht="14.4">
      <c r="A6" s="1" t="s">
        <v>171</v>
      </c>
      <c r="B6" s="41" t="s">
        <v>173</v>
      </c>
      <c r="C6" s="43" t="s">
        <v>174</v>
      </c>
      <c r="D6" s="44" t="s">
        <v>176</v>
      </c>
      <c r="E6" s="17"/>
      <c r="F6" s="17"/>
      <c r="G6" s="17"/>
      <c r="H6" s="17"/>
      <c r="I6" s="17"/>
    </row>
    <row r="7" spans="1:9" ht="14.4">
      <c r="A7" s="1" t="s">
        <v>177</v>
      </c>
      <c r="B7" s="41" t="s">
        <v>178</v>
      </c>
      <c r="C7" s="43" t="s">
        <v>179</v>
      </c>
      <c r="D7" s="44" t="s">
        <v>180</v>
      </c>
      <c r="E7" s="17"/>
      <c r="F7" s="17"/>
      <c r="G7" s="17"/>
      <c r="H7" s="17"/>
      <c r="I7" s="17"/>
    </row>
    <row r="8" spans="1:9" ht="14.4">
      <c r="A8" s="1" t="s">
        <v>181</v>
      </c>
      <c r="B8" s="41" t="s">
        <v>182</v>
      </c>
      <c r="C8" s="43" t="s">
        <v>183</v>
      </c>
      <c r="D8" s="44" t="s">
        <v>184</v>
      </c>
      <c r="E8" s="17"/>
      <c r="F8" s="17"/>
      <c r="G8" s="17"/>
      <c r="H8" s="17"/>
      <c r="I8" s="17"/>
    </row>
    <row r="9" spans="1:9" ht="14.4">
      <c r="A9" s="1" t="s">
        <v>186</v>
      </c>
      <c r="B9" s="41" t="s">
        <v>182</v>
      </c>
      <c r="C9" s="43" t="s">
        <v>189</v>
      </c>
      <c r="D9" s="44" t="s">
        <v>190</v>
      </c>
      <c r="E9" s="17"/>
      <c r="F9" s="17"/>
      <c r="G9" s="17"/>
      <c r="H9" s="17"/>
      <c r="I9" s="17"/>
    </row>
    <row r="10" spans="1:9" ht="14.4">
      <c r="A10" s="1" t="s">
        <v>191</v>
      </c>
      <c r="B10" s="41" t="s">
        <v>193</v>
      </c>
      <c r="C10" s="43">
        <v>7</v>
      </c>
      <c r="D10" s="44" t="s">
        <v>196</v>
      </c>
      <c r="E10" s="17"/>
      <c r="F10" s="17"/>
      <c r="G10" s="17"/>
      <c r="H10" s="17"/>
      <c r="I10" s="17"/>
    </row>
    <row r="11" spans="1:9" ht="14.4">
      <c r="A11" s="1" t="s">
        <v>198</v>
      </c>
      <c r="B11" s="41" t="s">
        <v>199</v>
      </c>
      <c r="C11" s="43"/>
      <c r="D11" s="44" t="s">
        <v>200</v>
      </c>
      <c r="E11" s="17"/>
      <c r="H11" s="17"/>
      <c r="I11" s="17"/>
    </row>
    <row r="12" spans="1:9" ht="14.4">
      <c r="A12" s="1" t="s">
        <v>202</v>
      </c>
      <c r="B12" s="41" t="s">
        <v>199</v>
      </c>
      <c r="C12" s="43"/>
      <c r="D12" s="44" t="s">
        <v>200</v>
      </c>
      <c r="H12" s="17"/>
      <c r="I12" s="17"/>
    </row>
    <row r="13" spans="1:9" ht="14.4">
      <c r="A13" s="1" t="s">
        <v>203</v>
      </c>
      <c r="B13" s="41" t="s">
        <v>204</v>
      </c>
      <c r="C13" s="43"/>
      <c r="D13" s="44" t="s">
        <v>205</v>
      </c>
      <c r="H13" s="17"/>
      <c r="I13" s="17"/>
    </row>
    <row r="14" spans="1:9" ht="14.4">
      <c r="A14" s="1" t="s">
        <v>206</v>
      </c>
      <c r="B14" s="41" t="s">
        <v>208</v>
      </c>
      <c r="C14" s="38" t="s">
        <v>209</v>
      </c>
      <c r="D14" s="44" t="s">
        <v>211</v>
      </c>
      <c r="F14" s="17"/>
      <c r="G14" s="17"/>
      <c r="H14" s="17"/>
      <c r="I14" s="17"/>
    </row>
    <row r="15" spans="1:9" ht="14.4">
      <c r="A15" s="1" t="s">
        <v>213</v>
      </c>
      <c r="B15" s="41" t="s">
        <v>214</v>
      </c>
      <c r="C15" s="38" t="s">
        <v>215</v>
      </c>
      <c r="D15" s="44" t="s">
        <v>200</v>
      </c>
      <c r="H15" s="17"/>
      <c r="I15"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30-4-2026</vt:lpstr>
      <vt:lpstr>อายุ 55 ปี</vt:lpstr>
      <vt:lpstr>2025 PE tracking template</vt:lpstr>
      <vt:lpstr>Choice_Data</vt:lpstr>
      <vt:lpstr>Indicator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Surachet Phisitkul</dc:creator>
  <cp:lastModifiedBy>Tanatorn Pethmunee</cp:lastModifiedBy>
  <dcterms:created xsi:type="dcterms:W3CDTF">2022-01-30T00:31:59Z</dcterms:created>
  <dcterms:modified xsi:type="dcterms:W3CDTF">2026-08-17T08:42:09Z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db608-ddec-4a44-8ad7-7d5a79b7448e_Enabled">
    <vt:lpwstr>true</vt:lpwstr>
  </property>
  <property fmtid="{D5CDD505-2E9C-101B-9397-08002B2CF9AE}" pid="3" name="MSIP_Label_6e4db608-ddec-4a44-8ad7-7d5a79b7448e_SetDate">
    <vt:lpwstr>2022-01-30T00:31:59Z</vt:lpwstr>
  </property>
  <property fmtid="{D5CDD505-2E9C-101B-9397-08002B2CF9AE}" pid="4" name="MSIP_Label_6e4db608-ddec-4a44-8ad7-7d5a79b7448e_Method">
    <vt:lpwstr>Standard</vt:lpwstr>
  </property>
  <property fmtid="{D5CDD505-2E9C-101B-9397-08002B2CF9AE}" pid="5" name="MSIP_Label_6e4db608-ddec-4a44-8ad7-7d5a79b7448e_Name">
    <vt:lpwstr>Internal</vt:lpwstr>
  </property>
  <property fmtid="{D5CDD505-2E9C-101B-9397-08002B2CF9AE}" pid="6" name="MSIP_Label_6e4db608-ddec-4a44-8ad7-7d5a79b7448e_SiteId">
    <vt:lpwstr>fd799da1-bfc1-4234-a91c-72b3a1cb9e26</vt:lpwstr>
  </property>
  <property fmtid="{D5CDD505-2E9C-101B-9397-08002B2CF9AE}" pid="7" name="MSIP_Label_6e4db608-ddec-4a44-8ad7-7d5a79b7448e_ActionId">
    <vt:lpwstr>da6f63ba-72da-49c0-bef8-6b358f04910b</vt:lpwstr>
  </property>
  <property fmtid="{D5CDD505-2E9C-101B-9397-08002B2CF9AE}" pid="8" name="MSIP_Label_6e4db608-ddec-4a44-8ad7-7d5a79b7448e_ContentBits">
    <vt:lpwstr>0</vt:lpwstr>
  </property>
</Properties>
</file>